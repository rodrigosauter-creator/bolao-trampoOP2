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879B6530-7638-43D8-B890-08AFE725301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76" i="9" l="1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75" i="9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75" i="8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75" i="7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75" i="6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75" i="5" a="1"/>
  <c r="W75" i="4" a="1"/>
  <c r="Y106" i="10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N95" i="8" s="1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7" i="6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N87" i="10"/>
  <c r="L87" i="10"/>
  <c r="J87" i="10"/>
  <c r="I87" i="10"/>
  <c r="N86" i="10"/>
  <c r="L86" i="10"/>
  <c r="J86" i="10"/>
  <c r="I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8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G89" i="6"/>
  <c r="I78" i="6"/>
  <c r="G106" i="5"/>
  <c r="G105" i="5"/>
  <c r="G104" i="5"/>
  <c r="G103" i="5"/>
  <c r="G102" i="5"/>
  <c r="G101" i="5"/>
  <c r="G100" i="5"/>
  <c r="G98" i="5"/>
  <c r="G97" i="5"/>
  <c r="G95" i="5"/>
  <c r="G92" i="5"/>
  <c r="G89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8" i="10" l="1"/>
  <c r="G88" i="4"/>
  <c r="G88" i="9"/>
  <c r="G88" i="8"/>
  <c r="S88" i="8" s="1"/>
  <c r="G88" i="6"/>
  <c r="G86" i="4"/>
  <c r="G86" i="10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X88" i="9"/>
  <c r="X88" i="8"/>
  <c r="Z88" i="8" s="1"/>
  <c r="X88" i="5"/>
  <c r="Z88" i="5" s="1"/>
  <c r="X88" i="7"/>
  <c r="Z88" i="7" s="1"/>
  <c r="X88" i="10"/>
  <c r="Z88" i="10" s="1"/>
  <c r="X89" i="4"/>
  <c r="X89" i="6"/>
  <c r="Z89" i="6" s="1"/>
  <c r="X89" i="9"/>
  <c r="Z89" i="9" s="1"/>
  <c r="X89" i="10"/>
  <c r="X89" i="5"/>
  <c r="Z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X95" i="5"/>
  <c r="Z95" i="5" s="1"/>
  <c r="X95" i="6"/>
  <c r="X95" i="8"/>
  <c r="Z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Z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 s="1"/>
  <c r="S92" i="9"/>
  <c r="Q92" i="9"/>
  <c r="R92" i="9"/>
  <c r="S89" i="9"/>
  <c r="Q89" i="9"/>
  <c r="R89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W89" i="9" l="1" a="1"/>
  <c r="O89" i="3" s="1"/>
  <c r="V89" i="9"/>
  <c r="V89" i="5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V88" i="6" s="1"/>
  <c r="AC88" i="4"/>
  <c r="AF88" i="4"/>
  <c r="AE88" i="4"/>
  <c r="AD88" i="4"/>
  <c r="S87" i="9"/>
  <c r="R87" i="9"/>
  <c r="Q87" i="9"/>
  <c r="T87" i="9" s="1"/>
  <c r="U87" i="9" s="1"/>
  <c r="O87" i="3" s="1"/>
  <c r="S87" i="10"/>
  <c r="R87" i="10"/>
  <c r="Q87" i="10"/>
  <c r="V98" i="8"/>
  <c r="V95" i="7"/>
  <c r="V95" i="5"/>
  <c r="V95" i="8"/>
  <c r="V88" i="8"/>
  <c r="Q86" i="4"/>
  <c r="S86" i="4"/>
  <c r="R86" i="4"/>
  <c r="Q86" i="10"/>
  <c r="S86" i="10"/>
  <c r="AC87" i="4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V89" i="6"/>
  <c r="AD89" i="6"/>
  <c r="Z89" i="7"/>
  <c r="AF89" i="7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K101" i="3" s="1"/>
  <c r="T98" i="5"/>
  <c r="U98" i="5" s="1"/>
  <c r="K98" i="3" s="1"/>
  <c r="T95" i="5"/>
  <c r="U95" i="5" s="1"/>
  <c r="K95" i="3" s="1"/>
  <c r="T43" i="5"/>
  <c r="T39" i="5"/>
  <c r="U39" i="5" s="1"/>
  <c r="T13" i="5"/>
  <c r="U13" i="5" s="1"/>
  <c r="W13" i="5" s="1" a="1"/>
  <c r="T95" i="7"/>
  <c r="U95" i="7" s="1"/>
  <c r="M95" i="3" s="1"/>
  <c r="T89" i="7"/>
  <c r="U89" i="7" s="1"/>
  <c r="M89" i="3" s="1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O102" i="3" s="1"/>
  <c r="T100" i="9"/>
  <c r="U100" i="9" s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K100" i="3" s="1"/>
  <c r="V100" i="5"/>
  <c r="T97" i="5"/>
  <c r="U97" i="5" s="1"/>
  <c r="K97" i="3" s="1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O105" i="3" s="1"/>
  <c r="V105" i="9"/>
  <c r="T97" i="9"/>
  <c r="U97" i="9" s="1"/>
  <c r="O97" i="3" s="1"/>
  <c r="V97" i="9"/>
  <c r="T88" i="9"/>
  <c r="U88" i="9" s="1"/>
  <c r="O88" i="3" s="1"/>
  <c r="T97" i="8"/>
  <c r="U97" i="8" s="1"/>
  <c r="N97" i="3" s="1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T90" i="10" s="1"/>
  <c r="Q90" i="8"/>
  <c r="S90" i="8"/>
  <c r="T90" i="8"/>
  <c r="AF90" i="8"/>
  <c r="AE90" i="8"/>
  <c r="AC90" i="4"/>
  <c r="AF90" i="4"/>
  <c r="AE90" i="4"/>
  <c r="AD90" i="4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 s="1"/>
  <c r="W98" i="10" s="1" a="1"/>
  <c r="P98" i="3" s="1"/>
  <c r="T97" i="10"/>
  <c r="U97" i="10" s="1"/>
  <c r="W97" i="10" s="1" a="1"/>
  <c r="P97" i="3" s="1"/>
  <c r="T95" i="10"/>
  <c r="U95" i="10" s="1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N92" i="3" s="1"/>
  <c r="T88" i="8"/>
  <c r="U88" i="8" s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K99" i="3" s="1"/>
  <c r="U92" i="5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O106" i="3" s="1"/>
  <c r="U104" i="9"/>
  <c r="O104" i="3" s="1"/>
  <c r="U103" i="9"/>
  <c r="O103" i="3" s="1"/>
  <c r="U101" i="9"/>
  <c r="O101" i="3" s="1"/>
  <c r="U99" i="9"/>
  <c r="O99" i="3" s="1"/>
  <c r="U98" i="9"/>
  <c r="O98" i="3" s="1"/>
  <c r="U95" i="9"/>
  <c r="O95" i="3" s="1"/>
  <c r="U94" i="9"/>
  <c r="O94" i="3" s="1"/>
  <c r="U92" i="9"/>
  <c r="O92" i="3" s="1"/>
  <c r="T101" i="7"/>
  <c r="T98" i="7"/>
  <c r="T97" i="7"/>
  <c r="U97" i="7" s="1"/>
  <c r="M97" i="3" s="1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93" i="5"/>
  <c r="T87" i="7"/>
  <c r="U87" i="7" s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M100" i="3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7" i="6"/>
  <c r="U87" i="6" s="1"/>
  <c r="L87" i="3" s="1"/>
  <c r="Q87" i="5"/>
  <c r="V87" i="5" s="1"/>
  <c r="R87" i="5"/>
  <c r="S87" i="5"/>
  <c r="R87" i="4"/>
  <c r="S87" i="4"/>
  <c r="Q87" i="4"/>
  <c r="L83" i="3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U90" i="10" l="1"/>
  <c r="W90" i="10" s="1" a="1"/>
  <c r="P90" i="3" s="1"/>
  <c r="U89" i="4"/>
  <c r="W89" i="4" a="1"/>
  <c r="J89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U85" i="8" s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K84" i="3" s="1"/>
  <c r="AG84" i="4"/>
  <c r="AG84" i="10"/>
  <c r="V84" i="4"/>
  <c r="T84" i="4"/>
  <c r="V84" i="6"/>
  <c r="T84" i="6"/>
  <c r="U84" i="6" s="1"/>
  <c r="L84" i="3" s="1"/>
  <c r="T96" i="8"/>
  <c r="U96" i="8" s="1"/>
  <c r="N96" i="3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N89" i="3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N79" i="3" s="1"/>
  <c r="T79" i="6"/>
  <c r="U79" i="6" s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U88" i="7" s="1"/>
  <c r="M88" i="3" s="1"/>
  <c r="T86" i="9"/>
  <c r="U86" i="9" s="1"/>
  <c r="O86" i="3" s="1"/>
  <c r="T86" i="7"/>
  <c r="T85" i="9"/>
  <c r="T85" i="7"/>
  <c r="U85" i="7" s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M104" i="3"/>
  <c r="T86" i="5"/>
  <c r="U86" i="5" s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N100" i="3"/>
  <c r="U101" i="8"/>
  <c r="N101" i="3"/>
  <c r="V96" i="7"/>
  <c r="T96" i="7"/>
  <c r="U96" i="7" s="1"/>
  <c r="M96" i="3" s="1"/>
  <c r="V96" i="10"/>
  <c r="T96" i="10"/>
  <c r="U96" i="10" s="1"/>
  <c r="W96" i="10" s="1" a="1"/>
  <c r="P96" i="3" s="1"/>
  <c r="V96" i="9"/>
  <c r="T96" i="9"/>
  <c r="U96" i="9" s="1"/>
  <c r="O96" i="3" s="1"/>
  <c r="V96" i="4"/>
  <c r="T96" i="4"/>
  <c r="U96" i="4" s="1"/>
  <c r="W96" i="4" s="1" a="1"/>
  <c r="J96" i="3" s="1"/>
  <c r="V96" i="5"/>
  <c r="T96" i="5"/>
  <c r="U96" i="5" s="1"/>
  <c r="K96" i="3" s="1"/>
  <c r="V96" i="6"/>
  <c r="T96" i="6"/>
  <c r="U96" i="6" s="1"/>
  <c r="L96" i="3" s="1"/>
  <c r="V83" i="8"/>
  <c r="T83" i="8"/>
  <c r="V81" i="7"/>
  <c r="T81" i="7"/>
  <c r="V81" i="4"/>
  <c r="T81" i="4"/>
  <c r="V81" i="9"/>
  <c r="T81" i="9"/>
  <c r="U81" i="9" s="1"/>
  <c r="O81" i="3" s="1"/>
  <c r="V81" i="5"/>
  <c r="T81" i="5"/>
  <c r="U81" i="5" s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L81" i="3" s="1"/>
  <c r="V94" i="8"/>
  <c r="T94" i="8"/>
  <c r="U94" i="8" s="1"/>
  <c r="N94" i="3" s="1"/>
  <c r="V94" i="6"/>
  <c r="T94" i="6"/>
  <c r="U94" i="6" s="1"/>
  <c r="L94" i="3" s="1"/>
  <c r="V94" i="5"/>
  <c r="T94" i="5"/>
  <c r="U94" i="5" s="1"/>
  <c r="K94" i="3" s="1"/>
  <c r="V93" i="10"/>
  <c r="T93" i="10"/>
  <c r="U93" i="10" s="1"/>
  <c r="W93" i="10" s="1" a="1"/>
  <c r="P93" i="3" s="1"/>
  <c r="T91" i="7"/>
  <c r="U91" i="7" s="1"/>
  <c r="M91" i="3" s="1"/>
  <c r="V91" i="7"/>
  <c r="V91" i="9"/>
  <c r="T91" i="9"/>
  <c r="U91" i="9" s="1"/>
  <c r="O91" i="3" s="1"/>
  <c r="V91" i="8"/>
  <c r="T91" i="8"/>
  <c r="U91" i="8" s="1"/>
  <c r="N91" i="3" s="1"/>
  <c r="V91" i="6"/>
  <c r="T91" i="6"/>
  <c r="U91" i="6" s="1"/>
  <c r="L91" i="3" s="1"/>
  <c r="T90" i="7"/>
  <c r="U90" i="7" s="1"/>
  <c r="M90" i="3" s="1"/>
  <c r="V90" i="7"/>
  <c r="T90" i="6"/>
  <c r="U90" i="6" s="1"/>
  <c r="L90" i="3" s="1"/>
  <c r="V90" i="6"/>
  <c r="T90" i="5"/>
  <c r="V90" i="5"/>
  <c r="T90" i="4"/>
  <c r="V90" i="4"/>
  <c r="V90" i="9"/>
  <c r="T90" i="9"/>
  <c r="V80" i="7"/>
  <c r="T80" i="7"/>
  <c r="U80" i="7" s="1"/>
  <c r="M80" i="3" s="1"/>
  <c r="V80" i="9"/>
  <c r="T80" i="9"/>
  <c r="U80" i="9" s="1"/>
  <c r="O80" i="3" s="1"/>
  <c r="V80" i="5"/>
  <c r="T80" i="5"/>
  <c r="U80" i="5" s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M79" i="3" s="1"/>
  <c r="V79" i="7"/>
  <c r="T79" i="5"/>
  <c r="U79" i="5" s="1"/>
  <c r="K79" i="3" s="1"/>
  <c r="V79" i="5"/>
  <c r="T79" i="9"/>
  <c r="U79" i="9" s="1"/>
  <c r="O79" i="3" s="1"/>
  <c r="V79" i="9"/>
  <c r="U104" i="6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L88" i="3"/>
  <c r="T42" i="9"/>
  <c r="V42" i="9"/>
  <c r="T5" i="7"/>
  <c r="V5" i="7"/>
  <c r="T87" i="4"/>
  <c r="V87" i="4"/>
  <c r="V76" i="4"/>
  <c r="V75" i="4"/>
  <c r="T57" i="9"/>
  <c r="V57" i="9"/>
  <c r="T84" i="9"/>
  <c r="U84" i="9" s="1"/>
  <c r="O84" i="3" s="1"/>
  <c r="AG82" i="9"/>
  <c r="AG83" i="8"/>
  <c r="T84" i="7"/>
  <c r="U84" i="7" s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K83" i="3"/>
  <c r="T83" i="9"/>
  <c r="U83" i="9" s="1"/>
  <c r="O83" i="3" s="1"/>
  <c r="T83" i="7"/>
  <c r="U83" i="7" s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K82" i="3" s="1"/>
  <c r="V82" i="6"/>
  <c r="T82" i="6"/>
  <c r="U82" i="6" s="1"/>
  <c r="L82" i="3" s="1"/>
  <c r="AG81" i="7"/>
  <c r="T94" i="7"/>
  <c r="V94" i="4"/>
  <c r="V93" i="9"/>
  <c r="T93" i="9"/>
  <c r="U93" i="9" s="1"/>
  <c r="O93" i="3" s="1"/>
  <c r="T93" i="7"/>
  <c r="U93" i="7" s="1"/>
  <c r="M93" i="3" s="1"/>
  <c r="V91" i="4"/>
  <c r="V91" i="5"/>
  <c r="T91" i="5"/>
  <c r="U91" i="5" s="1"/>
  <c r="K91" i="3" s="1"/>
  <c r="V90" i="8"/>
  <c r="U90" i="8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N82" i="3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6" i="7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L89" i="3" s="1"/>
  <c r="T94" i="4"/>
  <c r="O18" i="3"/>
  <c r="N86" i="3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N106" i="3" s="1"/>
  <c r="U105" i="8"/>
  <c r="N105" i="3"/>
  <c r="U104" i="8"/>
  <c r="N104" i="3"/>
  <c r="U103" i="8"/>
  <c r="N103" i="3"/>
  <c r="U102" i="8"/>
  <c r="N102" i="3"/>
  <c r="U99" i="8"/>
  <c r="N99" i="3"/>
  <c r="U98" i="8"/>
  <c r="N98" i="3" s="1"/>
  <c r="U95" i="8"/>
  <c r="N95" i="3" s="1"/>
  <c r="U93" i="8"/>
  <c r="N93" i="3" s="1"/>
  <c r="U106" i="7"/>
  <c r="M106" i="3" s="1"/>
  <c r="U105" i="7"/>
  <c r="M105" i="3"/>
  <c r="U103" i="7"/>
  <c r="M103" i="3" s="1"/>
  <c r="U106" i="6"/>
  <c r="L106" i="3" s="1"/>
  <c r="U105" i="6"/>
  <c r="L105" i="3"/>
  <c r="U103" i="6"/>
  <c r="L103" i="3" s="1"/>
  <c r="U102" i="6"/>
  <c r="L102" i="3" s="1"/>
  <c r="U101" i="6"/>
  <c r="L101" i="3" s="1"/>
  <c r="U100" i="6"/>
  <c r="L100" i="3" s="1"/>
  <c r="U99" i="6"/>
  <c r="L99" i="3" s="1"/>
  <c r="U98" i="6"/>
  <c r="L98" i="3" s="1"/>
  <c r="U97" i="6"/>
  <c r="L97" i="3" s="1"/>
  <c r="U95" i="6"/>
  <c r="L95" i="3" s="1"/>
  <c r="U93" i="6"/>
  <c r="L93" i="3" s="1"/>
  <c r="U92" i="6"/>
  <c r="L92" i="3" s="1"/>
  <c r="U106" i="5"/>
  <c r="K106" i="3"/>
  <c r="U105" i="5"/>
  <c r="K105" i="3"/>
  <c r="U104" i="5"/>
  <c r="K104" i="3"/>
  <c r="U103" i="5"/>
  <c r="K103" i="3" s="1"/>
  <c r="U102" i="5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M101" i="3" s="1"/>
  <c r="U98" i="7"/>
  <c r="M98" i="3" s="1"/>
  <c r="U93" i="5"/>
  <c r="K93" i="3"/>
  <c r="U99" i="7"/>
  <c r="M99" i="3"/>
  <c r="U89" i="5"/>
  <c r="K89" i="3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N75" i="3"/>
  <c r="U62" i="5"/>
  <c r="W62" i="5" s="1" a="1"/>
  <c r="K62" i="3" s="1"/>
  <c r="U62" i="6"/>
  <c r="W62" i="6" a="1"/>
  <c r="L62" i="3" s="1"/>
  <c r="U102" i="7"/>
  <c r="M102" i="3"/>
  <c r="T78" i="4"/>
  <c r="U78" i="4" s="1"/>
  <c r="T78" i="5"/>
  <c r="T78" i="6"/>
  <c r="U78" i="6" s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L77" i="3" s="1"/>
  <c r="T77" i="5"/>
  <c r="T77" i="4"/>
  <c r="T77" i="9"/>
  <c r="U77" i="9" s="1"/>
  <c r="O77" i="3" s="1"/>
  <c r="T77" i="7"/>
  <c r="W88" i="10" a="1"/>
  <c r="P88" i="3" s="1"/>
  <c r="T76" i="7"/>
  <c r="U76" i="7" s="1"/>
  <c r="T76" i="9"/>
  <c r="T76" i="10"/>
  <c r="T76" i="8"/>
  <c r="U76" i="8" s="1"/>
  <c r="T76" i="6"/>
  <c r="U76" i="6" s="1"/>
  <c r="T76" i="5"/>
  <c r="T76" i="4"/>
  <c r="T75" i="9"/>
  <c r="T75" i="7"/>
  <c r="U75" i="7" s="1"/>
  <c r="T75" i="5"/>
  <c r="T75" i="4"/>
  <c r="T75" i="10"/>
  <c r="U75" i="9"/>
  <c r="U75" i="5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90" i="5" l="1"/>
  <c r="K90" i="3"/>
  <c r="U87" i="4"/>
  <c r="W87" i="4" a="1"/>
  <c r="J87" i="3" s="1"/>
  <c r="U87" i="5"/>
  <c r="K87" i="3"/>
  <c r="AG86" i="4"/>
  <c r="AG85" i="6"/>
  <c r="U87" i="8"/>
  <c r="N87" i="3" s="1"/>
  <c r="AG85" i="8"/>
  <c r="U84" i="8"/>
  <c r="N84" i="3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J75" i="3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O75" i="3"/>
  <c r="U79" i="4"/>
  <c r="W79" i="4" a="1"/>
  <c r="J79" i="3" s="1"/>
  <c r="U58" i="4"/>
  <c r="W58" i="4" a="1"/>
  <c r="J58" i="3" s="1"/>
  <c r="U85" i="9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N83" i="3"/>
  <c r="U81" i="7"/>
  <c r="M81" i="3" s="1"/>
  <c r="U81" i="4"/>
  <c r="W81" i="4" a="1"/>
  <c r="J81" i="3" s="1"/>
  <c r="U81" i="8"/>
  <c r="N81" i="3"/>
  <c r="U90" i="4"/>
  <c r="W90" i="4" a="1"/>
  <c r="J90" i="3" s="1"/>
  <c r="U90" i="9"/>
  <c r="W90" i="9" s="1" a="1"/>
  <c r="O90" i="3" s="1"/>
  <c r="U85" i="5"/>
  <c r="K85" i="3" s="1"/>
  <c r="U80" i="8"/>
  <c r="N80" i="3"/>
  <c r="U82" i="9"/>
  <c r="O82" i="3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M82" i="3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O78" i="3" s="1"/>
  <c r="N77" i="3"/>
  <c r="U77" i="10"/>
  <c r="W77" i="10" a="1"/>
  <c r="P77" i="3" s="1"/>
  <c r="U77" i="5"/>
  <c r="K77" i="3"/>
  <c r="U77" i="4"/>
  <c r="J77" i="3"/>
  <c r="U77" i="7"/>
  <c r="M77" i="3"/>
  <c r="U76" i="9"/>
  <c r="U76" i="5"/>
  <c r="K76" i="3"/>
  <c r="N76" i="3"/>
  <c r="M76" i="3"/>
  <c r="L76" i="3"/>
  <c r="U76" i="4"/>
  <c r="W76" i="4" s="1" a="1"/>
  <c r="M75" i="3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<sst xmlns="http://schemas.openxmlformats.org/spreadsheetml/2006/main" count="577" uniqueCount="80">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</sst>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5" fillId="0" borderId="0" xfId="0" applyFont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189</c:v>
                </c:pt>
                <c:pt idx="89">
                  <c:v>189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189</c:v>
                </c:pt>
                <c:pt idx="89">
                  <c:v>189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180</c:v>
                </c:pt>
                <c:pt idx="89">
                  <c:v>180</c:v>
                </c:pt>
                <c:pt idx="90">
                  <c:v>180</c:v>
                </c:pt>
                <c:pt idx="91">
                  <c:v>180</c:v>
                </c:pt>
                <c:pt idx="92">
                  <c:v>180</c:v>
                </c:pt>
                <c:pt idx="93">
                  <c:v>180</c:v>
                </c:pt>
                <c:pt idx="94">
                  <c:v>180</c:v>
                </c:pt>
                <c:pt idx="95">
                  <c:v>180</c:v>
                </c:pt>
                <c:pt idx="96">
                  <c:v>180</c:v>
                </c:pt>
                <c:pt idx="97">
                  <c:v>180</c:v>
                </c:pt>
                <c:pt idx="98">
                  <c:v>180</c:v>
                </c:pt>
                <c:pt idx="99">
                  <c:v>180</c:v>
                </c:pt>
                <c:pt idx="100">
                  <c:v>180</c:v>
                </c:pt>
                <c:pt idx="101">
                  <c:v>180</c:v>
                </c:pt>
                <c:pt idx="102">
                  <c:v>180</c:v>
                </c:pt>
                <c:pt idx="103">
                  <c:v>180</c:v>
                </c:pt>
                <c:pt idx="104">
                  <c:v>180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167</c:v>
                </c:pt>
                <c:pt idx="89">
                  <c:v>167</c:v>
                </c:pt>
                <c:pt idx="90">
                  <c:v>167</c:v>
                </c:pt>
                <c:pt idx="91">
                  <c:v>167</c:v>
                </c:pt>
                <c:pt idx="92">
                  <c:v>167</c:v>
                </c:pt>
                <c:pt idx="93">
                  <c:v>167</c:v>
                </c:pt>
                <c:pt idx="94">
                  <c:v>167</c:v>
                </c:pt>
                <c:pt idx="95">
                  <c:v>167</c:v>
                </c:pt>
                <c:pt idx="96">
                  <c:v>167</c:v>
                </c:pt>
                <c:pt idx="97">
                  <c:v>167</c:v>
                </c:pt>
                <c:pt idx="98">
                  <c:v>167</c:v>
                </c:pt>
                <c:pt idx="99">
                  <c:v>167</c:v>
                </c:pt>
                <c:pt idx="100">
                  <c:v>167</c:v>
                </c:pt>
                <c:pt idx="101">
                  <c:v>167</c:v>
                </c:pt>
                <c:pt idx="102">
                  <c:v>167</c:v>
                </c:pt>
                <c:pt idx="103">
                  <c:v>167</c:v>
                </c:pt>
                <c:pt idx="104">
                  <c:v>167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180</c:v>
                </c:pt>
                <c:pt idx="89">
                  <c:v>180</c:v>
                </c:pt>
                <c:pt idx="90">
                  <c:v>180</c:v>
                </c:pt>
                <c:pt idx="91">
                  <c:v>180</c:v>
                </c:pt>
                <c:pt idx="92">
                  <c:v>180</c:v>
                </c:pt>
                <c:pt idx="93">
                  <c:v>180</c:v>
                </c:pt>
                <c:pt idx="94">
                  <c:v>180</c:v>
                </c:pt>
                <c:pt idx="95">
                  <c:v>180</c:v>
                </c:pt>
                <c:pt idx="96">
                  <c:v>180</c:v>
                </c:pt>
                <c:pt idx="97">
                  <c:v>180</c:v>
                </c:pt>
                <c:pt idx="98">
                  <c:v>180</c:v>
                </c:pt>
                <c:pt idx="99">
                  <c:v>180</c:v>
                </c:pt>
                <c:pt idx="100">
                  <c:v>180</c:v>
                </c:pt>
                <c:pt idx="101">
                  <c:v>180</c:v>
                </c:pt>
                <c:pt idx="102">
                  <c:v>180</c:v>
                </c:pt>
                <c:pt idx="103">
                  <c:v>180</c:v>
                </c:pt>
                <c:pt idx="104">
                  <c:v>180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200</c:v>
                </c:pt>
                <c:pt idx="101">
                  <c:v>200</c:v>
                </c:pt>
                <c:pt idx="102">
                  <c:v>200</c:v>
                </c:pt>
                <c:pt idx="103">
                  <c:v>200</c:v>
                </c:pt>
                <c:pt idx="10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138</c:v>
                </c:pt>
                <c:pt idx="89">
                  <c:v>138</c:v>
                </c:pt>
                <c:pt idx="90">
                  <c:v>138</c:v>
                </c:pt>
                <c:pt idx="91">
                  <c:v>138</c:v>
                </c:pt>
                <c:pt idx="92">
                  <c:v>138</c:v>
                </c:pt>
                <c:pt idx="93">
                  <c:v>138</c:v>
                </c:pt>
                <c:pt idx="94">
                  <c:v>138</c:v>
                </c:pt>
                <c:pt idx="95">
                  <c:v>138</c:v>
                </c:pt>
                <c:pt idx="96">
                  <c:v>138</c:v>
                </c:pt>
                <c:pt idx="97">
                  <c:v>138</c:v>
                </c:pt>
                <c:pt idx="98">
                  <c:v>138</c:v>
                </c:pt>
                <c:pt idx="99">
                  <c:v>138</c:v>
                </c:pt>
                <c:pt idx="100">
                  <c:v>138</c:v>
                </c:pt>
                <c:pt idx="101">
                  <c:v>138</c:v>
                </c:pt>
                <c:pt idx="102">
                  <c:v>138</c:v>
                </c:pt>
                <c:pt idx="103">
                  <c:v>138</c:v>
                </c:pt>
                <c:pt idx="104">
                  <c:v>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75" workbookViewId="0">
      <selection activeCell="F98" sqref="F98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0" t="s">
        <v>0</v>
      </c>
      <c r="B1" s="21"/>
      <c r="C1" s="21"/>
      <c r="D1" s="21"/>
      <c r="E1" s="21"/>
      <c r="F1" s="21"/>
      <c r="G1" s="21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22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/>
      <c r="D95" s="3" t="s">
        <v>4</v>
      </c>
      <c r="E95" s="3"/>
      <c r="F95" s="3" t="s">
        <v>32</v>
      </c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 t="s">
        <v>35</v>
      </c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9" t="s">
        <v>56</v>
      </c>
      <c r="F1" s="19"/>
      <c r="G1" s="19"/>
      <c r="H1" s="19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189</v>
      </c>
      <c r="C3" s="1">
        <f>Rodrigo!Y3</f>
        <v>7</v>
      </c>
      <c r="E3" s="1">
        <v>1</v>
      </c>
      <c r="F3" s="1" t="str" cm="1">
        <f t="array" ref="F3:H9">_xlfn.SORTBY(A3:C9,B3:B9,-1,C3:C9,-1,A3:A9,1)</f>
        <v>Isa</v>
      </c>
      <c r="G3" s="1">
        <v>200</v>
      </c>
      <c r="H3" s="1">
        <v>6</v>
      </c>
    </row>
    <row r="4" spans="1:8" x14ac:dyDescent="0.45">
      <c r="A4" s="1" t="s">
        <v>62</v>
      </c>
      <c r="B4" s="1">
        <f>Arthur!X3</f>
        <v>189</v>
      </c>
      <c r="C4" s="1">
        <f>Arthur!Y3</f>
        <v>7</v>
      </c>
      <c r="E4" s="1">
        <f>IF(AND(G4=G3,H4=H3),E3,2)</f>
        <v>2</v>
      </c>
      <c r="F4" s="1" t="str">
        <v>Arthur</v>
      </c>
      <c r="G4" s="1">
        <v>189</v>
      </c>
      <c r="H4" s="1">
        <v>7</v>
      </c>
    </row>
    <row r="5" spans="1:8" x14ac:dyDescent="0.45">
      <c r="A5" s="1" t="s">
        <v>63</v>
      </c>
      <c r="B5" s="1">
        <f>Dudu!X3</f>
        <v>180</v>
      </c>
      <c r="C5" s="1">
        <f>Dudu!Y3</f>
        <v>9</v>
      </c>
      <c r="E5" s="1">
        <f>IF(AND(G5=G4,H5=H4),E4,3)</f>
        <v>2</v>
      </c>
      <c r="F5" s="1" t="str">
        <v>Rodrigo</v>
      </c>
      <c r="G5" s="1">
        <v>189</v>
      </c>
      <c r="H5" s="1">
        <v>7</v>
      </c>
    </row>
    <row r="6" spans="1:8" x14ac:dyDescent="0.45">
      <c r="A6" s="1" t="s">
        <v>64</v>
      </c>
      <c r="B6" s="1">
        <f>Carol!X3</f>
        <v>167</v>
      </c>
      <c r="C6" s="1">
        <f>Carol!Y3</f>
        <v>6</v>
      </c>
      <c r="E6" s="1">
        <f>IF(AND(G6=G5,H6=H5),E5,4)</f>
        <v>4</v>
      </c>
      <c r="F6" s="1" t="str">
        <v>Dudu</v>
      </c>
      <c r="G6" s="1">
        <v>180</v>
      </c>
      <c r="H6" s="1">
        <v>9</v>
      </c>
    </row>
    <row r="7" spans="1:8" x14ac:dyDescent="0.45">
      <c r="A7" s="1" t="s">
        <v>65</v>
      </c>
      <c r="B7" s="1">
        <f>Ana!X3</f>
        <v>180</v>
      </c>
      <c r="C7" s="1">
        <f>Ana!Y3</f>
        <v>5</v>
      </c>
      <c r="E7" s="1">
        <f>IF(AND(G7=G6,H7=H6),E6,5)</f>
        <v>5</v>
      </c>
      <c r="F7" s="1" t="str">
        <v>Ana</v>
      </c>
      <c r="G7" s="1">
        <v>180</v>
      </c>
      <c r="H7" s="1">
        <v>5</v>
      </c>
    </row>
    <row r="8" spans="1:8" x14ac:dyDescent="0.45">
      <c r="A8" s="1" t="s">
        <v>66</v>
      </c>
      <c r="B8" s="1">
        <f>Isa!X3</f>
        <v>200</v>
      </c>
      <c r="C8" s="1">
        <f>Isa!Y3</f>
        <v>6</v>
      </c>
      <c r="E8" s="1">
        <f>IF(AND(G8=G7,H8=H7),E7,6)</f>
        <v>6</v>
      </c>
      <c r="F8" s="1" t="str">
        <v>Carol</v>
      </c>
      <c r="G8" s="1">
        <v>167</v>
      </c>
      <c r="H8" s="1">
        <v>6</v>
      </c>
    </row>
    <row r="9" spans="1:8" x14ac:dyDescent="0.45">
      <c r="A9" s="1" t="s">
        <v>67</v>
      </c>
      <c r="B9" s="1">
        <f>Trops!X3</f>
        <v>138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138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W76" sqref="W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0" t="str">
        <f>'Tabela de Jogos'!A1</f>
        <v>Tabela de Jogos</v>
      </c>
      <c r="B1" s="21"/>
      <c r="C1" s="21"/>
      <c r="D1" s="21"/>
      <c r="E1" s="21"/>
      <c r="F1" s="21"/>
      <c r="G1" s="21"/>
      <c r="H1" s="3"/>
      <c r="I1" s="20" t="s">
        <v>68</v>
      </c>
      <c r="J1" s="21"/>
      <c r="K1" s="21"/>
      <c r="L1" s="21"/>
      <c r="M1" s="21"/>
      <c r="N1" s="21"/>
      <c r="O1" s="21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189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23">A95</f>
        <v>93</v>
      </c>
      <c r="J95" s="3" t="str">
        <f t="shared" si="123"/>
        <v>Portugal</v>
      </c>
      <c r="K95" s="3"/>
      <c r="L95" s="3" t="str">
        <f t="shared" si="81"/>
        <v>x</v>
      </c>
      <c r="M95" s="3"/>
      <c r="N95" s="3" t="str">
        <f t="shared" si="82"/>
        <v>Espanha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 t="str">
        <f t="shared" si="82"/>
        <v>Egito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 t="str">
        <f t="shared" si="126"/>
        <v>Suíça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5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0" t="str">
        <f>'Tabela de Jogos'!A1</f>
        <v>Tabela de Jogos</v>
      </c>
      <c r="B1" s="21"/>
      <c r="C1" s="21"/>
      <c r="D1" s="21"/>
      <c r="E1" s="21"/>
      <c r="F1" s="21"/>
      <c r="G1" s="21"/>
      <c r="H1" s="3"/>
      <c r="I1" s="20" t="s">
        <v>68</v>
      </c>
      <c r="J1" s="21"/>
      <c r="K1" s="21"/>
      <c r="L1" s="21"/>
      <c r="M1" s="21"/>
      <c r="N1" s="21"/>
      <c r="O1" s="2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189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0" t="str">
        <f>'Tabela de Jogos'!A1</f>
        <v>Tabela de Jogos</v>
      </c>
      <c r="B1" s="21"/>
      <c r="C1" s="21"/>
      <c r="D1" s="21"/>
      <c r="E1" s="21"/>
      <c r="F1" s="21"/>
      <c r="G1" s="21"/>
      <c r="H1" s="3"/>
      <c r="I1" s="20" t="s">
        <v>68</v>
      </c>
      <c r="J1" s="21"/>
      <c r="K1" s="21"/>
      <c r="L1" s="21"/>
      <c r="M1" s="21"/>
      <c r="N1" s="21"/>
      <c r="O1" s="2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180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0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9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0" t="str">
        <f>'Tabela de Jogos'!A1</f>
        <v>Tabela de Jogos</v>
      </c>
      <c r="B1" s="21"/>
      <c r="C1" s="21"/>
      <c r="D1" s="21"/>
      <c r="E1" s="21"/>
      <c r="F1" s="21"/>
      <c r="G1" s="21"/>
      <c r="H1" s="3"/>
      <c r="I1" s="20" t="s">
        <v>68</v>
      </c>
      <c r="J1" s="21"/>
      <c r="K1" s="21"/>
      <c r="L1" s="21"/>
      <c r="M1" s="21"/>
      <c r="N1" s="21"/>
      <c r="O1" s="2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167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68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0" t="str">
        <f>'Tabela de Jogos'!A1</f>
        <v>Tabela de Jogos</v>
      </c>
      <c r="B1" s="21"/>
      <c r="C1" s="21"/>
      <c r="D1" s="21"/>
      <c r="E1" s="21"/>
      <c r="F1" s="21"/>
      <c r="G1" s="21"/>
      <c r="H1" s="3"/>
      <c r="I1" s="20" t="s">
        <v>68</v>
      </c>
      <c r="J1" s="21"/>
      <c r="K1" s="21"/>
      <c r="L1" s="21"/>
      <c r="M1" s="21"/>
      <c r="N1" s="21"/>
      <c r="O1" s="2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180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7" workbookViewId="0">
      <selection activeCell="P91" sqref="P9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0" t="str">
        <f>'Tabela de Jogos'!A1</f>
        <v>Tabela de Jogos</v>
      </c>
      <c r="B1" s="21"/>
      <c r="C1" s="21"/>
      <c r="D1" s="21"/>
      <c r="E1" s="21"/>
      <c r="F1" s="21"/>
      <c r="G1" s="21"/>
      <c r="H1" s="3"/>
      <c r="I1" s="20" t="s">
        <v>68</v>
      </c>
      <c r="J1" s="21"/>
      <c r="K1" s="21"/>
      <c r="L1" s="21"/>
      <c r="M1" s="21"/>
      <c r="N1" s="21"/>
      <c r="O1" s="2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200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91" sqref="P9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0" t="str">
        <f>'Tabela de Jogos'!A1</f>
        <v>Tabela de Jogos</v>
      </c>
      <c r="B1" s="21"/>
      <c r="C1" s="21"/>
      <c r="D1" s="21"/>
      <c r="E1" s="21"/>
      <c r="F1" s="21"/>
      <c r="G1" s="21"/>
      <c r="H1" s="3"/>
      <c r="I1" s="20" t="s">
        <v>68</v>
      </c>
      <c r="J1" s="21"/>
      <c r="K1" s="21"/>
      <c r="L1" s="21"/>
      <c r="M1" s="21"/>
      <c r="N1" s="21"/>
      <c r="O1" s="2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138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189</v>
      </c>
      <c r="D89" s="2">
        <f>IF('Tabela de Jogos'!C89&lt;&gt;"",Dudu!W89+D88,D88)</f>
        <v>180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189</v>
      </c>
      <c r="C90" s="2">
        <f>IF('Tabela de Jogos'!C90&lt;&gt;"",Arthur!W90+C89,C89)</f>
        <v>189</v>
      </c>
      <c r="D90" s="2">
        <f>IF('Tabela de Jogos'!C90&lt;&gt;"",Dudu!W90+D89,D89)</f>
        <v>180</v>
      </c>
      <c r="E90" s="2">
        <f>IF('Tabela de Jogos'!C90&lt;&gt;"",Carol!W90+E89,E89)</f>
        <v>167</v>
      </c>
      <c r="F90" s="2">
        <f>IF('Tabela de Jogos'!C90&lt;&gt;"",Ana!W90+F89,F89)</f>
        <v>180</v>
      </c>
      <c r="G90" s="2">
        <f>IF('Tabela de Jogos'!C90&lt;&gt;"",Isa!W90+G89,G89)</f>
        <v>200</v>
      </c>
      <c r="H90" s="2">
        <f>IF('Tabela de Jogos'!C90&lt;&gt;"",Trops!W90+H89,H89)</f>
        <v>138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189</v>
      </c>
      <c r="C91" s="2">
        <f>IF('Tabela de Jogos'!C91&lt;&gt;"",Arthur!W91+C90,C90)</f>
        <v>189</v>
      </c>
      <c r="D91" s="2">
        <f>IF('Tabela de Jogos'!C91&lt;&gt;"",Dudu!W91+D90,D90)</f>
        <v>180</v>
      </c>
      <c r="E91" s="2">
        <f>IF('Tabela de Jogos'!C91&lt;&gt;"",Carol!W91+E90,E90)</f>
        <v>167</v>
      </c>
      <c r="F91" s="2">
        <f>IF('Tabela de Jogos'!C91&lt;&gt;"",Ana!W91+F90,F90)</f>
        <v>180</v>
      </c>
      <c r="G91" s="2">
        <f>IF('Tabela de Jogos'!C91&lt;&gt;"",Isa!W91+G90,G90)</f>
        <v>200</v>
      </c>
      <c r="H91" s="2">
        <f>IF('Tabela de Jogos'!C91&lt;&gt;"",Trops!W91+H90,H90)</f>
        <v>138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189</v>
      </c>
      <c r="C92" s="2">
        <f>IF('Tabela de Jogos'!C92&lt;&gt;"",Arthur!W92+C91,C91)</f>
        <v>189</v>
      </c>
      <c r="D92" s="2">
        <f>IF('Tabela de Jogos'!C92&lt;&gt;"",Dudu!W92+D91,D91)</f>
        <v>180</v>
      </c>
      <c r="E92" s="2">
        <f>IF('Tabela de Jogos'!C92&lt;&gt;"",Carol!W92+E91,E91)</f>
        <v>167</v>
      </c>
      <c r="F92" s="2">
        <f>IF('Tabela de Jogos'!C92&lt;&gt;"",Ana!W92+F91,F91)</f>
        <v>180</v>
      </c>
      <c r="G92" s="2">
        <f>IF('Tabela de Jogos'!C92&lt;&gt;"",Isa!W92+G91,G91)</f>
        <v>200</v>
      </c>
      <c r="H92" s="2">
        <f>IF('Tabela de Jogos'!C92&lt;&gt;"",Trops!W92+H91,H91)</f>
        <v>138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189</v>
      </c>
      <c r="C93" s="2">
        <f>IF('Tabela de Jogos'!C93&lt;&gt;"",Arthur!W93+C92,C92)</f>
        <v>189</v>
      </c>
      <c r="D93" s="2">
        <f>IF('Tabela de Jogos'!C93&lt;&gt;"",Dudu!W93+D92,D92)</f>
        <v>180</v>
      </c>
      <c r="E93" s="2">
        <f>IF('Tabela de Jogos'!C93&lt;&gt;"",Carol!W93+E92,E92)</f>
        <v>167</v>
      </c>
      <c r="F93" s="2">
        <f>IF('Tabela de Jogos'!C93&lt;&gt;"",Ana!W93+F92,F92)</f>
        <v>180</v>
      </c>
      <c r="G93" s="2">
        <f>IF('Tabela de Jogos'!C93&lt;&gt;"",Isa!W93+G92,G92)</f>
        <v>200</v>
      </c>
      <c r="H93" s="2">
        <f>IF('Tabela de Jogos'!C93&lt;&gt;"",Trops!W93+H92,H92)</f>
        <v>138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189</v>
      </c>
      <c r="C94" s="2">
        <f>IF('Tabela de Jogos'!C94&lt;&gt;"",Arthur!W94+C93,C93)</f>
        <v>189</v>
      </c>
      <c r="D94" s="2">
        <f>IF('Tabela de Jogos'!C94&lt;&gt;"",Dudu!W94+D93,D93)</f>
        <v>180</v>
      </c>
      <c r="E94" s="2">
        <f>IF('Tabela de Jogos'!C94&lt;&gt;"",Carol!W94+E93,E93)</f>
        <v>167</v>
      </c>
      <c r="F94" s="2">
        <f>IF('Tabela de Jogos'!C94&lt;&gt;"",Ana!W94+F93,F93)</f>
        <v>180</v>
      </c>
      <c r="G94" s="2">
        <f>IF('Tabela de Jogos'!C94&lt;&gt;"",Isa!W94+G93,G93)</f>
        <v>200</v>
      </c>
      <c r="H94" s="2">
        <f>IF('Tabela de Jogos'!C94&lt;&gt;"",Trops!W94+H93,H93)</f>
        <v>138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189</v>
      </c>
      <c r="C95" s="2">
        <f>IF('Tabela de Jogos'!C95&lt;&gt;"",Arthur!W95+C94,C94)</f>
        <v>189</v>
      </c>
      <c r="D95" s="2">
        <f>IF('Tabela de Jogos'!C95&lt;&gt;"",Dudu!W95+D94,D94)</f>
        <v>180</v>
      </c>
      <c r="E95" s="2">
        <f>IF('Tabela de Jogos'!C95&lt;&gt;"",Carol!W95+E94,E94)</f>
        <v>167</v>
      </c>
      <c r="F95" s="2">
        <f>IF('Tabela de Jogos'!C95&lt;&gt;"",Ana!W95+F94,F94)</f>
        <v>180</v>
      </c>
      <c r="G95" s="2">
        <f>IF('Tabela de Jogos'!C95&lt;&gt;"",Isa!W95+G94,G94)</f>
        <v>200</v>
      </c>
      <c r="H95" s="2">
        <f>IF('Tabela de Jogos'!C95&lt;&gt;"",Trops!W95+H94,H94)</f>
        <v>138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189</v>
      </c>
      <c r="C96" s="2">
        <f>IF('Tabela de Jogos'!C96&lt;&gt;"",Arthur!W96+C95,C95)</f>
        <v>189</v>
      </c>
      <c r="D96" s="2">
        <f>IF('Tabela de Jogos'!C96&lt;&gt;"",Dudu!W96+D95,D95)</f>
        <v>180</v>
      </c>
      <c r="E96" s="2">
        <f>IF('Tabela de Jogos'!C96&lt;&gt;"",Carol!W96+E95,E95)</f>
        <v>167</v>
      </c>
      <c r="F96" s="2">
        <f>IF('Tabela de Jogos'!C96&lt;&gt;"",Ana!W96+F95,F95)</f>
        <v>180</v>
      </c>
      <c r="G96" s="2">
        <f>IF('Tabela de Jogos'!C96&lt;&gt;"",Isa!W96+G95,G95)</f>
        <v>200</v>
      </c>
      <c r="H96" s="2">
        <f>IF('Tabela de Jogos'!C96&lt;&gt;"",Trops!W96+H95,H95)</f>
        <v>138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189</v>
      </c>
      <c r="C97" s="2">
        <f>IF('Tabela de Jogos'!C97&lt;&gt;"",Arthur!W97+C96,C96)</f>
        <v>189</v>
      </c>
      <c r="D97" s="2">
        <f>IF('Tabela de Jogos'!C97&lt;&gt;"",Dudu!W97+D96,D96)</f>
        <v>180</v>
      </c>
      <c r="E97" s="2">
        <f>IF('Tabela de Jogos'!C97&lt;&gt;"",Carol!W97+E96,E96)</f>
        <v>167</v>
      </c>
      <c r="F97" s="2">
        <f>IF('Tabela de Jogos'!C97&lt;&gt;"",Ana!W97+F96,F96)</f>
        <v>180</v>
      </c>
      <c r="G97" s="2">
        <f>IF('Tabela de Jogos'!C97&lt;&gt;"",Isa!W97+G96,G96)</f>
        <v>200</v>
      </c>
      <c r="H97" s="2">
        <f>IF('Tabela de Jogos'!C97&lt;&gt;"",Trops!W97+H96,H96)</f>
        <v>138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189</v>
      </c>
      <c r="C98" s="2">
        <f>IF('Tabela de Jogos'!C98&lt;&gt;"",Arthur!W98+C97,C97)</f>
        <v>189</v>
      </c>
      <c r="D98" s="2">
        <f>IF('Tabela de Jogos'!C98&lt;&gt;"",Dudu!W98+D97,D97)</f>
        <v>180</v>
      </c>
      <c r="E98" s="2">
        <f>IF('Tabela de Jogos'!C98&lt;&gt;"",Carol!W98+E97,E97)</f>
        <v>167</v>
      </c>
      <c r="F98" s="2">
        <f>IF('Tabela de Jogos'!C98&lt;&gt;"",Ana!W98+F97,F97)</f>
        <v>180</v>
      </c>
      <c r="G98" s="2">
        <f>IF('Tabela de Jogos'!C98&lt;&gt;"",Isa!W98+G97,G97)</f>
        <v>200</v>
      </c>
      <c r="H98" s="2">
        <f>IF('Tabela de Jogos'!C98&lt;&gt;"",Trops!W98+H97,H97)</f>
        <v>138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189</v>
      </c>
      <c r="C99" s="2">
        <f>IF('Tabela de Jogos'!C99&lt;&gt;"",Arthur!W99+C98,C98)</f>
        <v>189</v>
      </c>
      <c r="D99" s="2">
        <f>IF('Tabela de Jogos'!C99&lt;&gt;"",Dudu!W99+D98,D98)</f>
        <v>180</v>
      </c>
      <c r="E99" s="2">
        <f>IF('Tabela de Jogos'!C99&lt;&gt;"",Carol!W99+E98,E98)</f>
        <v>167</v>
      </c>
      <c r="F99" s="2">
        <f>IF('Tabela de Jogos'!C99&lt;&gt;"",Ana!W99+F98,F98)</f>
        <v>180</v>
      </c>
      <c r="G99" s="2">
        <f>IF('Tabela de Jogos'!C99&lt;&gt;"",Isa!W99+G98,G98)</f>
        <v>200</v>
      </c>
      <c r="H99" s="2">
        <f>IF('Tabela de Jogos'!C99&lt;&gt;"",Trops!W99+H98,H98)</f>
        <v>138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189</v>
      </c>
      <c r="C100" s="2">
        <f>IF('Tabela de Jogos'!C100&lt;&gt;"",Arthur!W100+C99,C99)</f>
        <v>189</v>
      </c>
      <c r="D100" s="2">
        <f>IF('Tabela de Jogos'!C100&lt;&gt;"",Dudu!W100+D99,D99)</f>
        <v>180</v>
      </c>
      <c r="E100" s="2">
        <f>IF('Tabela de Jogos'!C100&lt;&gt;"",Carol!W100+E99,E99)</f>
        <v>167</v>
      </c>
      <c r="F100" s="2">
        <f>IF('Tabela de Jogos'!C100&lt;&gt;"",Ana!W100+F99,F99)</f>
        <v>180</v>
      </c>
      <c r="G100" s="2">
        <f>IF('Tabela de Jogos'!C100&lt;&gt;"",Isa!W100+G99,G99)</f>
        <v>200</v>
      </c>
      <c r="H100" s="2">
        <f>IF('Tabela de Jogos'!C100&lt;&gt;"",Trops!W100+H99,H99)</f>
        <v>138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189</v>
      </c>
      <c r="C101" s="2">
        <f>IF('Tabela de Jogos'!C101&lt;&gt;"",Arthur!W101+C100,C100)</f>
        <v>189</v>
      </c>
      <c r="D101" s="2">
        <f>IF('Tabela de Jogos'!C101&lt;&gt;"",Dudu!W101+D100,D100)</f>
        <v>180</v>
      </c>
      <c r="E101" s="2">
        <f>IF('Tabela de Jogos'!C101&lt;&gt;"",Carol!W101+E100,E100)</f>
        <v>167</v>
      </c>
      <c r="F101" s="2">
        <f>IF('Tabela de Jogos'!C101&lt;&gt;"",Ana!W101+F100,F100)</f>
        <v>180</v>
      </c>
      <c r="G101" s="2">
        <f>IF('Tabela de Jogos'!C101&lt;&gt;"",Isa!W101+G100,G100)</f>
        <v>200</v>
      </c>
      <c r="H101" s="2">
        <f>IF('Tabela de Jogos'!C101&lt;&gt;"",Trops!W101+H100,H100)</f>
        <v>138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189</v>
      </c>
      <c r="C102" s="2">
        <f>IF('Tabela de Jogos'!C102&lt;&gt;"",Arthur!W102+C101,C101)</f>
        <v>189</v>
      </c>
      <c r="D102" s="2">
        <f>IF('Tabela de Jogos'!C102&lt;&gt;"",Dudu!W102+D101,D101)</f>
        <v>180</v>
      </c>
      <c r="E102" s="2">
        <f>IF('Tabela de Jogos'!C102&lt;&gt;"",Carol!W102+E101,E101)</f>
        <v>167</v>
      </c>
      <c r="F102" s="2">
        <f>IF('Tabela de Jogos'!C102&lt;&gt;"",Ana!W102+F101,F101)</f>
        <v>180</v>
      </c>
      <c r="G102" s="2">
        <f>IF('Tabela de Jogos'!C102&lt;&gt;"",Isa!W102+G101,G101)</f>
        <v>200</v>
      </c>
      <c r="H102" s="2">
        <f>IF('Tabela de Jogos'!C102&lt;&gt;"",Trops!W102+H101,H101)</f>
        <v>138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189</v>
      </c>
      <c r="C103" s="2">
        <f>IF('Tabela de Jogos'!C103&lt;&gt;"",Arthur!W103+C102,C102)</f>
        <v>189</v>
      </c>
      <c r="D103" s="2">
        <f>IF('Tabela de Jogos'!C103&lt;&gt;"",Dudu!W103+D102,D102)</f>
        <v>180</v>
      </c>
      <c r="E103" s="2">
        <f>IF('Tabela de Jogos'!C103&lt;&gt;"",Carol!W103+E102,E102)</f>
        <v>167</v>
      </c>
      <c r="F103" s="2">
        <f>IF('Tabela de Jogos'!C103&lt;&gt;"",Ana!W103+F102,F102)</f>
        <v>180</v>
      </c>
      <c r="G103" s="2">
        <f>IF('Tabela de Jogos'!C103&lt;&gt;"",Isa!W103+G102,G102)</f>
        <v>200</v>
      </c>
      <c r="H103" s="2">
        <f>IF('Tabela de Jogos'!C103&lt;&gt;"",Trops!W103+H102,H102)</f>
        <v>138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189</v>
      </c>
      <c r="C104" s="2">
        <f>IF('Tabela de Jogos'!C104&lt;&gt;"",Arthur!W104+C103,C103)</f>
        <v>189</v>
      </c>
      <c r="D104" s="2">
        <f>IF('Tabela de Jogos'!C104&lt;&gt;"",Dudu!W104+D103,D103)</f>
        <v>180</v>
      </c>
      <c r="E104" s="2">
        <f>IF('Tabela de Jogos'!C104&lt;&gt;"",Carol!W104+E103,E103)</f>
        <v>167</v>
      </c>
      <c r="F104" s="2">
        <f>IF('Tabela de Jogos'!C104&lt;&gt;"",Ana!W104+F103,F103)</f>
        <v>180</v>
      </c>
      <c r="G104" s="2">
        <f>IF('Tabela de Jogos'!C104&lt;&gt;"",Isa!W104+G103,G103)</f>
        <v>200</v>
      </c>
      <c r="H104" s="2">
        <f>IF('Tabela de Jogos'!C104&lt;&gt;"",Trops!W104+H103,H103)</f>
        <v>138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189</v>
      </c>
      <c r="C105" s="2">
        <f>IF('Tabela de Jogos'!C105&lt;&gt;"",Arthur!W105+C104,C104)</f>
        <v>189</v>
      </c>
      <c r="D105" s="2">
        <f>IF('Tabela de Jogos'!C105&lt;&gt;"",Dudu!W105+D104,D104)</f>
        <v>180</v>
      </c>
      <c r="E105" s="2">
        <f>IF('Tabela de Jogos'!C105&lt;&gt;"",Carol!W105+E104,E104)</f>
        <v>167</v>
      </c>
      <c r="F105" s="2">
        <f>IF('Tabela de Jogos'!C105&lt;&gt;"",Ana!W105+F104,F104)</f>
        <v>180</v>
      </c>
      <c r="G105" s="2">
        <f>IF('Tabela de Jogos'!C105&lt;&gt;"",Isa!W105+G104,G104)</f>
        <v>200</v>
      </c>
      <c r="H105" s="2">
        <f>IF('Tabela de Jogos'!C105&lt;&gt;"",Trops!W105+H104,H104)</f>
        <v>138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189</v>
      </c>
      <c r="C106" s="2">
        <f>IF('Tabela de Jogos'!C106&lt;&gt;"",Arthur!W106+C105,C105)</f>
        <v>189</v>
      </c>
      <c r="D106" s="2">
        <f>IF('Tabela de Jogos'!C106&lt;&gt;"",Dudu!W106+D105,D105)</f>
        <v>180</v>
      </c>
      <c r="E106" s="2">
        <f>IF('Tabela de Jogos'!C106&lt;&gt;"",Carol!W106+E105,E105)</f>
        <v>167</v>
      </c>
      <c r="F106" s="2">
        <f>IF('Tabela de Jogos'!C106&lt;&gt;"",Ana!W106+F105,F105)</f>
        <v>180</v>
      </c>
      <c r="G106" s="2">
        <f>IF('Tabela de Jogos'!C106&lt;&gt;"",Isa!W106+G105,G105)</f>
        <v>200</v>
      </c>
      <c r="H106" s="2">
        <f>IF('Tabela de Jogos'!C106&lt;&gt;"",Trops!W106+H105,H105)</f>
        <v>138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2026-07-03T22:43:33Z</dcterms:modified>
  <cp:category/>
  <cp:contentStatus/>
</cp:coreProperties>
</file>