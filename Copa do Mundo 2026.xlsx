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065A147C-9B9A-47FF-A8AD-06F9EDC83E8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L41" i="10" l="1"/>
  <c r="J31" i="5"/>
  <c r="O31" i="7"/>
  <c r="O32" i="7"/>
  <c r="O33" i="7"/>
  <c r="O34" i="7"/>
  <c r="K4" i="3"/>
  <c r="L4" i="3"/>
  <c r="N4" i="3"/>
  <c r="O4" i="3"/>
  <c r="P4" i="3"/>
  <c r="K5" i="3"/>
  <c r="L5" i="3"/>
  <c r="N5" i="3"/>
  <c r="O5" i="3"/>
  <c r="P5" i="3"/>
  <c r="K6" i="3"/>
  <c r="L6" i="3"/>
  <c r="N6" i="3"/>
  <c r="O6" i="3"/>
  <c r="P6" i="3"/>
  <c r="K7" i="3"/>
  <c r="L7" i="3"/>
  <c r="N7" i="3"/>
  <c r="O7" i="3"/>
  <c r="P7" i="3"/>
  <c r="K8" i="3"/>
  <c r="L8" i="3"/>
  <c r="N8" i="3"/>
  <c r="O8" i="3"/>
  <c r="P8" i="3"/>
  <c r="K9" i="3"/>
  <c r="L9" i="3"/>
  <c r="N9" i="3"/>
  <c r="O9" i="3"/>
  <c r="P9" i="3"/>
  <c r="K10" i="3"/>
  <c r="L10" i="3"/>
  <c r="N10" i="3"/>
  <c r="O10" i="3"/>
  <c r="P10" i="3"/>
  <c r="K11" i="3"/>
  <c r="L11" i="3"/>
  <c r="N11" i="3"/>
  <c r="O11" i="3"/>
  <c r="P11" i="3"/>
  <c r="K51" i="3"/>
  <c r="L51" i="3"/>
  <c r="N51" i="3"/>
  <c r="O51" i="3"/>
  <c r="P51" i="3"/>
  <c r="K52" i="3"/>
  <c r="L52" i="3"/>
  <c r="N52" i="3"/>
  <c r="O52" i="3"/>
  <c r="P52" i="3"/>
  <c r="K53" i="3"/>
  <c r="L53" i="3"/>
  <c r="N53" i="3"/>
  <c r="O53" i="3"/>
  <c r="P53" i="3"/>
  <c r="K54" i="3"/>
  <c r="L54" i="3"/>
  <c r="N54" i="3"/>
  <c r="O54" i="3"/>
  <c r="P54" i="3"/>
  <c r="K55" i="3"/>
  <c r="L55" i="3"/>
  <c r="N55" i="3"/>
  <c r="O55" i="3"/>
  <c r="P55" i="3"/>
  <c r="K56" i="3"/>
  <c r="L56" i="3"/>
  <c r="N56" i="3"/>
  <c r="O56" i="3"/>
  <c r="P56" i="3"/>
  <c r="K57" i="3"/>
  <c r="L57" i="3"/>
  <c r="N57" i="3"/>
  <c r="O57" i="3"/>
  <c r="P57" i="3"/>
  <c r="K58" i="3"/>
  <c r="L58" i="3"/>
  <c r="N58" i="3"/>
  <c r="O58" i="3"/>
  <c r="P58" i="3"/>
  <c r="K59" i="3"/>
  <c r="L59" i="3"/>
  <c r="N59" i="3"/>
  <c r="O59" i="3"/>
  <c r="P59" i="3"/>
  <c r="K60" i="3"/>
  <c r="L60" i="3"/>
  <c r="N60" i="3"/>
  <c r="O60" i="3"/>
  <c r="P60" i="3"/>
  <c r="K61" i="3"/>
  <c r="L61" i="3"/>
  <c r="N61" i="3"/>
  <c r="O61" i="3"/>
  <c r="P61" i="3"/>
  <c r="K62" i="3"/>
  <c r="L62" i="3"/>
  <c r="N62" i="3"/>
  <c r="O62" i="3"/>
  <c r="P62" i="3"/>
  <c r="K63" i="3"/>
  <c r="L63" i="3"/>
  <c r="N63" i="3"/>
  <c r="O63" i="3"/>
  <c r="P63" i="3"/>
  <c r="K64" i="3"/>
  <c r="L64" i="3"/>
  <c r="N64" i="3"/>
  <c r="O64" i="3"/>
  <c r="P64" i="3"/>
  <c r="K65" i="3"/>
  <c r="L65" i="3"/>
  <c r="N65" i="3"/>
  <c r="O65" i="3"/>
  <c r="P65" i="3"/>
  <c r="K66" i="3"/>
  <c r="L66" i="3"/>
  <c r="N66" i="3"/>
  <c r="O66" i="3"/>
  <c r="P66" i="3"/>
  <c r="K67" i="3"/>
  <c r="L67" i="3"/>
  <c r="N67" i="3"/>
  <c r="O67" i="3"/>
  <c r="P67" i="3"/>
  <c r="K68" i="3"/>
  <c r="L68" i="3"/>
  <c r="N68" i="3"/>
  <c r="O68" i="3"/>
  <c r="P68" i="3"/>
  <c r="K69" i="3"/>
  <c r="L69" i="3"/>
  <c r="N69" i="3"/>
  <c r="O69" i="3"/>
  <c r="P69" i="3"/>
  <c r="K70" i="3"/>
  <c r="L70" i="3"/>
  <c r="N70" i="3"/>
  <c r="O70" i="3"/>
  <c r="P70" i="3"/>
  <c r="K71" i="3"/>
  <c r="L71" i="3"/>
  <c r="N71" i="3"/>
  <c r="O71" i="3"/>
  <c r="P71" i="3"/>
  <c r="K72" i="3"/>
  <c r="L72" i="3"/>
  <c r="N72" i="3"/>
  <c r="O72" i="3"/>
  <c r="P72" i="3"/>
  <c r="K73" i="3"/>
  <c r="L73" i="3"/>
  <c r="N73" i="3"/>
  <c r="O73" i="3"/>
  <c r="P73" i="3"/>
  <c r="K74" i="3"/>
  <c r="L74" i="3"/>
  <c r="N74" i="3"/>
  <c r="O74" i="3"/>
  <c r="P74" i="3"/>
  <c r="K75" i="3"/>
  <c r="L75" i="3"/>
  <c r="N75" i="3"/>
  <c r="O75" i="3"/>
  <c r="P75" i="3"/>
  <c r="K76" i="3"/>
  <c r="L76" i="3"/>
  <c r="N76" i="3"/>
  <c r="O76" i="3"/>
  <c r="P76" i="3"/>
  <c r="K77" i="3"/>
  <c r="L77" i="3"/>
  <c r="N77" i="3"/>
  <c r="O77" i="3"/>
  <c r="P77" i="3"/>
  <c r="K78" i="3"/>
  <c r="L78" i="3"/>
  <c r="N78" i="3"/>
  <c r="O78" i="3"/>
  <c r="P78" i="3"/>
  <c r="K79" i="3"/>
  <c r="L79" i="3"/>
  <c r="N79" i="3"/>
  <c r="O79" i="3"/>
  <c r="P79" i="3"/>
  <c r="K80" i="3"/>
  <c r="L80" i="3"/>
  <c r="N80" i="3"/>
  <c r="O80" i="3"/>
  <c r="P80" i="3"/>
  <c r="K81" i="3"/>
  <c r="L81" i="3"/>
  <c r="N81" i="3"/>
  <c r="O81" i="3"/>
  <c r="P81" i="3"/>
  <c r="K82" i="3"/>
  <c r="L82" i="3"/>
  <c r="N82" i="3"/>
  <c r="O82" i="3"/>
  <c r="P82" i="3"/>
  <c r="K83" i="3"/>
  <c r="L83" i="3"/>
  <c r="N83" i="3"/>
  <c r="O83" i="3"/>
  <c r="P83" i="3"/>
  <c r="K84" i="3"/>
  <c r="L84" i="3"/>
  <c r="N84" i="3"/>
  <c r="O84" i="3"/>
  <c r="P84" i="3"/>
  <c r="K85" i="3"/>
  <c r="L85" i="3"/>
  <c r="N85" i="3"/>
  <c r="O85" i="3"/>
  <c r="P85" i="3"/>
  <c r="K86" i="3"/>
  <c r="L86" i="3"/>
  <c r="N86" i="3"/>
  <c r="O86" i="3"/>
  <c r="P86" i="3"/>
  <c r="K87" i="3"/>
  <c r="L87" i="3"/>
  <c r="N87" i="3"/>
  <c r="O87" i="3"/>
  <c r="P87" i="3"/>
  <c r="K88" i="3"/>
  <c r="L88" i="3"/>
  <c r="N88" i="3"/>
  <c r="O88" i="3"/>
  <c r="P88" i="3"/>
  <c r="K89" i="3"/>
  <c r="L89" i="3"/>
  <c r="N89" i="3"/>
  <c r="O89" i="3"/>
  <c r="P89" i="3"/>
  <c r="K90" i="3"/>
  <c r="L90" i="3"/>
  <c r="N90" i="3"/>
  <c r="O90" i="3"/>
  <c r="P90" i="3"/>
  <c r="K91" i="3"/>
  <c r="L91" i="3"/>
  <c r="N91" i="3"/>
  <c r="O91" i="3"/>
  <c r="P91" i="3"/>
  <c r="K92" i="3"/>
  <c r="L92" i="3"/>
  <c r="N92" i="3"/>
  <c r="O92" i="3"/>
  <c r="P92" i="3"/>
  <c r="K93" i="3"/>
  <c r="L93" i="3"/>
  <c r="N93" i="3"/>
  <c r="O93" i="3"/>
  <c r="P93" i="3"/>
  <c r="K94" i="3"/>
  <c r="L94" i="3"/>
  <c r="N94" i="3"/>
  <c r="O94" i="3"/>
  <c r="P94" i="3"/>
  <c r="K95" i="3"/>
  <c r="L95" i="3"/>
  <c r="N95" i="3"/>
  <c r="O95" i="3"/>
  <c r="P95" i="3"/>
  <c r="K96" i="3"/>
  <c r="L96" i="3"/>
  <c r="N96" i="3"/>
  <c r="O96" i="3"/>
  <c r="P96" i="3"/>
  <c r="K97" i="3"/>
  <c r="L97" i="3"/>
  <c r="N97" i="3"/>
  <c r="O97" i="3"/>
  <c r="P97" i="3"/>
  <c r="K98" i="3"/>
  <c r="L98" i="3"/>
  <c r="N98" i="3"/>
  <c r="O98" i="3"/>
  <c r="P98" i="3"/>
  <c r="K99" i="3"/>
  <c r="L99" i="3"/>
  <c r="N99" i="3"/>
  <c r="O99" i="3"/>
  <c r="P99" i="3"/>
  <c r="K100" i="3"/>
  <c r="L100" i="3"/>
  <c r="N100" i="3"/>
  <c r="O100" i="3"/>
  <c r="P100" i="3"/>
  <c r="K101" i="3"/>
  <c r="L101" i="3"/>
  <c r="N101" i="3"/>
  <c r="O101" i="3"/>
  <c r="P101" i="3"/>
  <c r="K102" i="3"/>
  <c r="L102" i="3"/>
  <c r="N102" i="3"/>
  <c r="O102" i="3"/>
  <c r="P102" i="3"/>
  <c r="K103" i="3"/>
  <c r="L103" i="3"/>
  <c r="N103" i="3"/>
  <c r="O103" i="3"/>
  <c r="P103" i="3"/>
  <c r="K104" i="3"/>
  <c r="L104" i="3"/>
  <c r="N104" i="3"/>
  <c r="O104" i="3"/>
  <c r="P104" i="3"/>
  <c r="K105" i="3"/>
  <c r="L105" i="3"/>
  <c r="N105" i="3"/>
  <c r="O105" i="3"/>
  <c r="P105" i="3"/>
  <c r="K106" i="3"/>
  <c r="L106" i="3"/>
  <c r="N106" i="3"/>
  <c r="O106" i="3"/>
  <c r="P106" i="3"/>
  <c r="P3" i="3"/>
  <c r="O3" i="3"/>
  <c r="N3" i="3"/>
  <c r="L3" i="3"/>
  <c r="K3" i="3"/>
  <c r="W4" i="10" a="1"/>
  <c r="W5" i="10" a="1"/>
  <c r="W6" i="10" a="1"/>
  <c r="W51" i="10" a="1"/>
  <c r="W52" i="10" a="1"/>
  <c r="W53" i="10" a="1"/>
  <c r="W54" i="10" a="1"/>
  <c r="W55" i="10" a="1"/>
  <c r="W56" i="10" a="1"/>
  <c r="W57" i="10" a="1"/>
  <c r="W58" i="10" a="1"/>
  <c r="W59" i="10" a="1"/>
  <c r="W60" i="10" a="1"/>
  <c r="W61" i="10" a="1"/>
  <c r="W62" i="10" a="1"/>
  <c r="W63" i="10" a="1"/>
  <c r="W64" i="10" a="1"/>
  <c r="W65" i="10" a="1"/>
  <c r="W66" i="10" a="1"/>
  <c r="W67" i="10" a="1"/>
  <c r="W68" i="10" a="1"/>
  <c r="W69" i="10" a="1"/>
  <c r="W70" i="10" a="1"/>
  <c r="W71" i="10" a="1"/>
  <c r="W72" i="10" a="1"/>
  <c r="W73" i="10" a="1"/>
  <c r="W74" i="10" a="1"/>
  <c r="W75" i="10" a="1"/>
  <c r="W76" i="10" a="1"/>
  <c r="W77" i="10" a="1"/>
  <c r="W78" i="10" a="1"/>
  <c r="W79" i="10" a="1"/>
  <c r="W80" i="10" a="1"/>
  <c r="W81" i="10" a="1"/>
  <c r="W82" i="10" a="1"/>
  <c r="W83" i="10" a="1"/>
  <c r="W84" i="10" a="1"/>
  <c r="W85" i="10" a="1"/>
  <c r="W86" i="10" a="1"/>
  <c r="W87" i="10" a="1"/>
  <c r="W88" i="10" a="1"/>
  <c r="W89" i="10" a="1"/>
  <c r="W90" i="10" a="1"/>
  <c r="W91" i="10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3" i="10" a="1"/>
  <c r="W4" i="9" a="1"/>
  <c r="W5" i="9" a="1"/>
  <c r="W6" i="9" a="1"/>
  <c r="W51" i="9" a="1"/>
  <c r="W52" i="9" a="1"/>
  <c r="W53" i="9" a="1"/>
  <c r="W54" i="9" a="1"/>
  <c r="W55" i="9" a="1"/>
  <c r="W56" i="9" a="1"/>
  <c r="W57" i="9" a="1"/>
  <c r="W58" i="9" a="1"/>
  <c r="W59" i="9" a="1"/>
  <c r="W60" i="9" a="1"/>
  <c r="W61" i="9" a="1"/>
  <c r="W62" i="9" a="1"/>
  <c r="W63" i="9" a="1"/>
  <c r="W64" i="9" a="1"/>
  <c r="W65" i="9" a="1"/>
  <c r="W66" i="9" a="1"/>
  <c r="W67" i="9" a="1"/>
  <c r="W68" i="9" a="1"/>
  <c r="W69" i="9" a="1"/>
  <c r="W70" i="9" a="1"/>
  <c r="W71" i="9" a="1"/>
  <c r="W72" i="9" a="1"/>
  <c r="W73" i="9" a="1"/>
  <c r="W74" i="9" a="1"/>
  <c r="W75" i="9" a="1"/>
  <c r="W76" i="9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89" i="9" a="1"/>
  <c r="W90" i="9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3" i="9" a="1"/>
  <c r="W4" i="8" a="1"/>
  <c r="W5" i="8" a="1"/>
  <c r="W6" i="8" a="1"/>
  <c r="W51" i="8" a="1"/>
  <c r="W52" i="8" a="1"/>
  <c r="W53" i="8" a="1"/>
  <c r="W54" i="8" a="1"/>
  <c r="W55" i="8" a="1"/>
  <c r="W56" i="8" a="1"/>
  <c r="W57" i="8" a="1"/>
  <c r="W58" i="8" a="1"/>
  <c r="W59" i="8" a="1"/>
  <c r="W60" i="8" a="1"/>
  <c r="W61" i="8" a="1"/>
  <c r="W62" i="8" a="1"/>
  <c r="W63" i="8" a="1"/>
  <c r="W64" i="8" a="1"/>
  <c r="W65" i="8" a="1"/>
  <c r="W66" i="8" a="1"/>
  <c r="W67" i="8" a="1"/>
  <c r="W68" i="8" a="1"/>
  <c r="W69" i="8" a="1"/>
  <c r="W70" i="8" a="1"/>
  <c r="W71" i="8" a="1"/>
  <c r="W72" i="8" a="1"/>
  <c r="W73" i="8" a="1"/>
  <c r="W74" i="8" a="1"/>
  <c r="W75" i="8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89" i="8" a="1"/>
  <c r="W90" i="8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3" i="8" a="1"/>
  <c r="W4" i="6" a="1"/>
  <c r="W5" i="6" a="1"/>
  <c r="W6" i="6" a="1"/>
  <c r="O19" i="6"/>
  <c r="W51" i="6" a="1"/>
  <c r="W52" i="6" a="1"/>
  <c r="W53" i="6" a="1"/>
  <c r="W54" i="6" a="1"/>
  <c r="W55" i="6" a="1"/>
  <c r="W56" i="6" a="1"/>
  <c r="W57" i="6" a="1"/>
  <c r="W58" i="6" a="1"/>
  <c r="W59" i="6" a="1"/>
  <c r="W60" i="6" a="1"/>
  <c r="W61" i="6" a="1"/>
  <c r="W62" i="6" a="1"/>
  <c r="W63" i="6" a="1"/>
  <c r="W64" i="6" a="1"/>
  <c r="W65" i="6" a="1"/>
  <c r="W66" i="6" a="1"/>
  <c r="W67" i="6" a="1"/>
  <c r="W68" i="6" a="1"/>
  <c r="W69" i="6" a="1"/>
  <c r="W70" i="6" a="1"/>
  <c r="W71" i="6" a="1"/>
  <c r="W72" i="6" a="1"/>
  <c r="W73" i="6" a="1"/>
  <c r="W74" i="6" a="1"/>
  <c r="W75" i="6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89" i="6" a="1"/>
  <c r="W90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3" i="6" a="1"/>
  <c r="W4" i="5" a="1"/>
  <c r="W5" i="5" a="1"/>
  <c r="W6" i="5" a="1"/>
  <c r="W51" i="5" a="1"/>
  <c r="W52" i="5" a="1"/>
  <c r="W53" i="5" a="1"/>
  <c r="W54" i="5" a="1"/>
  <c r="W55" i="5" a="1"/>
  <c r="W56" i="5" a="1"/>
  <c r="W57" i="5" a="1"/>
  <c r="W58" i="5" a="1"/>
  <c r="W59" i="5" a="1"/>
  <c r="W60" i="5" a="1"/>
  <c r="W61" i="5" a="1"/>
  <c r="W62" i="5" a="1"/>
  <c r="W63" i="5" a="1"/>
  <c r="W64" i="5" a="1"/>
  <c r="W65" i="5" a="1"/>
  <c r="W66" i="5" a="1"/>
  <c r="W67" i="5" a="1"/>
  <c r="W68" i="5" a="1"/>
  <c r="W69" i="5" a="1"/>
  <c r="W70" i="5" a="1"/>
  <c r="W71" i="5" a="1"/>
  <c r="W72" i="5" a="1"/>
  <c r="W73" i="5" a="1"/>
  <c r="W74" i="5" a="1"/>
  <c r="W75" i="5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89" i="5" a="1"/>
  <c r="W90" i="5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W3" i="5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E85" i="10"/>
  <c r="D85" i="10"/>
  <c r="C85" i="10"/>
  <c r="B85" i="10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A76" i="10"/>
  <c r="O75" i="10"/>
  <c r="F75" i="10"/>
  <c r="E75" i="10"/>
  <c r="D75" i="10"/>
  <c r="C75" i="10"/>
  <c r="B75" i="10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J82" i="9"/>
  <c r="I82" i="9"/>
  <c r="F82" i="9"/>
  <c r="E82" i="9"/>
  <c r="D82" i="9"/>
  <c r="C82" i="9"/>
  <c r="B82" i="9"/>
  <c r="A82" i="9"/>
  <c r="O81" i="9"/>
  <c r="F81" i="9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A76" i="9"/>
  <c r="O75" i="9"/>
  <c r="F75" i="9"/>
  <c r="E75" i="9"/>
  <c r="D75" i="9"/>
  <c r="C75" i="9"/>
  <c r="B75" i="9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D56" i="9"/>
  <c r="C56" i="9"/>
  <c r="B56" i="9"/>
  <c r="A56" i="9"/>
  <c r="O55" i="9"/>
  <c r="F55" i="9"/>
  <c r="E55" i="9"/>
  <c r="D55" i="9"/>
  <c r="C55" i="9"/>
  <c r="B55" i="9"/>
  <c r="A55" i="9"/>
  <c r="O54" i="9"/>
  <c r="F54" i="9"/>
  <c r="E54" i="9"/>
  <c r="D54" i="9"/>
  <c r="C54" i="9"/>
  <c r="B54" i="9"/>
  <c r="A54" i="9"/>
  <c r="O53" i="9"/>
  <c r="F53" i="9"/>
  <c r="E53" i="9"/>
  <c r="D53" i="9"/>
  <c r="C53" i="9"/>
  <c r="B53" i="9"/>
  <c r="A53" i="9"/>
  <c r="O52" i="9"/>
  <c r="F52" i="9"/>
  <c r="E52" i="9"/>
  <c r="D52" i="9"/>
  <c r="C52" i="9"/>
  <c r="B52" i="9"/>
  <c r="A52" i="9"/>
  <c r="O51" i="9"/>
  <c r="F51" i="9"/>
  <c r="E51" i="9"/>
  <c r="D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A83" i="8"/>
  <c r="O82" i="8"/>
  <c r="F82" i="8"/>
  <c r="E82" i="8"/>
  <c r="D82" i="8"/>
  <c r="C82" i="8"/>
  <c r="B82" i="8"/>
  <c r="A82" i="8"/>
  <c r="O81" i="8"/>
  <c r="F81" i="8"/>
  <c r="E81" i="8"/>
  <c r="D81" i="8"/>
  <c r="C81" i="8"/>
  <c r="B81" i="8"/>
  <c r="A81" i="8"/>
  <c r="O80" i="8"/>
  <c r="F80" i="8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D56" i="8"/>
  <c r="C56" i="8"/>
  <c r="B56" i="8"/>
  <c r="A56" i="8"/>
  <c r="O55" i="8"/>
  <c r="F55" i="8"/>
  <c r="E55" i="8"/>
  <c r="D55" i="8"/>
  <c r="C55" i="8"/>
  <c r="B55" i="8"/>
  <c r="A55" i="8"/>
  <c r="O54" i="8"/>
  <c r="F54" i="8"/>
  <c r="E54" i="8"/>
  <c r="D54" i="8"/>
  <c r="C54" i="8"/>
  <c r="B54" i="8"/>
  <c r="A54" i="8"/>
  <c r="O53" i="8"/>
  <c r="F53" i="8"/>
  <c r="E53" i="8"/>
  <c r="D53" i="8"/>
  <c r="C53" i="8"/>
  <c r="B53" i="8"/>
  <c r="A53" i="8"/>
  <c r="O52" i="8"/>
  <c r="F52" i="8"/>
  <c r="E52" i="8"/>
  <c r="D52" i="8"/>
  <c r="C52" i="8"/>
  <c r="B52" i="8"/>
  <c r="A52" i="8"/>
  <c r="O51" i="8"/>
  <c r="F51" i="8"/>
  <c r="E51" i="8"/>
  <c r="D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A76" i="7"/>
  <c r="O75" i="7"/>
  <c r="F75" i="7"/>
  <c r="E75" i="7"/>
  <c r="D75" i="7"/>
  <c r="C75" i="7"/>
  <c r="B75" i="7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D56" i="7"/>
  <c r="C56" i="7"/>
  <c r="B56" i="7"/>
  <c r="A56" i="7"/>
  <c r="O55" i="7"/>
  <c r="F55" i="7"/>
  <c r="E55" i="7"/>
  <c r="D55" i="7"/>
  <c r="C55" i="7"/>
  <c r="B55" i="7"/>
  <c r="A55" i="7"/>
  <c r="O54" i="7"/>
  <c r="F54" i="7"/>
  <c r="E54" i="7"/>
  <c r="D54" i="7"/>
  <c r="C54" i="7"/>
  <c r="B54" i="7"/>
  <c r="A54" i="7"/>
  <c r="O53" i="7"/>
  <c r="F53" i="7"/>
  <c r="E53" i="7"/>
  <c r="D53" i="7"/>
  <c r="C53" i="7"/>
  <c r="B53" i="7"/>
  <c r="A53" i="7"/>
  <c r="O52" i="7"/>
  <c r="F52" i="7"/>
  <c r="E52" i="7"/>
  <c r="D52" i="7"/>
  <c r="C52" i="7"/>
  <c r="B52" i="7"/>
  <c r="A52" i="7"/>
  <c r="O51" i="7"/>
  <c r="F51" i="7"/>
  <c r="E51" i="7"/>
  <c r="D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F34" i="7"/>
  <c r="E34" i="7"/>
  <c r="D34" i="7"/>
  <c r="C34" i="7"/>
  <c r="B34" i="7"/>
  <c r="A34" i="7"/>
  <c r="F33" i="7"/>
  <c r="E33" i="7"/>
  <c r="D33" i="7"/>
  <c r="C33" i="7"/>
  <c r="B33" i="7"/>
  <c r="A33" i="7"/>
  <c r="F32" i="7"/>
  <c r="E32" i="7"/>
  <c r="D32" i="7"/>
  <c r="C32" i="7"/>
  <c r="B32" i="7"/>
  <c r="A32" i="7"/>
  <c r="F31" i="7"/>
  <c r="E31" i="7"/>
  <c r="D31" i="7"/>
  <c r="C31" i="7"/>
  <c r="B31" i="7"/>
  <c r="A31" i="7"/>
  <c r="F30" i="7"/>
  <c r="E30" i="7"/>
  <c r="D30" i="7"/>
  <c r="C30" i="7"/>
  <c r="B30" i="7"/>
  <c r="A30" i="7"/>
  <c r="F29" i="7"/>
  <c r="E29" i="7"/>
  <c r="D29" i="7"/>
  <c r="C29" i="7"/>
  <c r="B29" i="7"/>
  <c r="A29" i="7"/>
  <c r="F28" i="7"/>
  <c r="E28" i="7"/>
  <c r="D28" i="7"/>
  <c r="C28" i="7"/>
  <c r="B28" i="7"/>
  <c r="A28" i="7"/>
  <c r="F27" i="7"/>
  <c r="E27" i="7"/>
  <c r="D27" i="7"/>
  <c r="C27" i="7"/>
  <c r="B27" i="7"/>
  <c r="A27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F24" i="7"/>
  <c r="E24" i="7"/>
  <c r="D24" i="7"/>
  <c r="C24" i="7"/>
  <c r="B24" i="7"/>
  <c r="A24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F21" i="7"/>
  <c r="E21" i="7"/>
  <c r="D21" i="7"/>
  <c r="C21" i="7"/>
  <c r="B21" i="7"/>
  <c r="A21" i="7"/>
  <c r="F20" i="7"/>
  <c r="E20" i="7"/>
  <c r="D20" i="7"/>
  <c r="C20" i="7"/>
  <c r="B20" i="7"/>
  <c r="A20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F17" i="7"/>
  <c r="E17" i="7"/>
  <c r="D17" i="7"/>
  <c r="C17" i="7"/>
  <c r="B17" i="7"/>
  <c r="A17" i="7"/>
  <c r="F16" i="7"/>
  <c r="E16" i="7"/>
  <c r="D16" i="7"/>
  <c r="C16" i="7"/>
  <c r="B16" i="7"/>
  <c r="A16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F12" i="7"/>
  <c r="E12" i="7"/>
  <c r="D12" i="7"/>
  <c r="C12" i="7"/>
  <c r="B12" i="7"/>
  <c r="A12" i="7"/>
  <c r="F11" i="7"/>
  <c r="E11" i="7"/>
  <c r="D11" i="7"/>
  <c r="C11" i="7"/>
  <c r="B11" i="7"/>
  <c r="A11" i="7"/>
  <c r="F10" i="7"/>
  <c r="E10" i="7"/>
  <c r="D10" i="7"/>
  <c r="C10" i="7"/>
  <c r="B10" i="7"/>
  <c r="A10" i="7"/>
  <c r="F9" i="7"/>
  <c r="E9" i="7"/>
  <c r="D9" i="7"/>
  <c r="C9" i="7"/>
  <c r="B9" i="7"/>
  <c r="A9" i="7"/>
  <c r="F8" i="7"/>
  <c r="E8" i="7"/>
  <c r="D8" i="7"/>
  <c r="C8" i="7"/>
  <c r="B8" i="7"/>
  <c r="A8" i="7"/>
  <c r="O7" i="7"/>
  <c r="F7" i="7"/>
  <c r="E7" i="7"/>
  <c r="D7" i="7"/>
  <c r="C7" i="7"/>
  <c r="B7" i="7"/>
  <c r="A7" i="7"/>
  <c r="F6" i="7"/>
  <c r="E6" i="7"/>
  <c r="D6" i="7"/>
  <c r="C6" i="7"/>
  <c r="B6" i="7"/>
  <c r="A6" i="7"/>
  <c r="F5" i="7"/>
  <c r="E5" i="7"/>
  <c r="D5" i="7"/>
  <c r="C5" i="7"/>
  <c r="B5" i="7"/>
  <c r="A5" i="7"/>
  <c r="O4" i="7"/>
  <c r="F4" i="7"/>
  <c r="E4" i="7"/>
  <c r="D4" i="7"/>
  <c r="C4" i="7"/>
  <c r="B4" i="7"/>
  <c r="A4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A76" i="6"/>
  <c r="O75" i="6"/>
  <c r="F75" i="6"/>
  <c r="E75" i="6"/>
  <c r="D75" i="6"/>
  <c r="C75" i="6"/>
  <c r="B75" i="6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D56" i="6"/>
  <c r="C56" i="6"/>
  <c r="B56" i="6"/>
  <c r="A56" i="6"/>
  <c r="O55" i="6"/>
  <c r="F55" i="6"/>
  <c r="E55" i="6"/>
  <c r="D55" i="6"/>
  <c r="C55" i="6"/>
  <c r="B55" i="6"/>
  <c r="A55" i="6"/>
  <c r="O54" i="6"/>
  <c r="F54" i="6"/>
  <c r="E54" i="6"/>
  <c r="D54" i="6"/>
  <c r="C54" i="6"/>
  <c r="B54" i="6"/>
  <c r="A54" i="6"/>
  <c r="O53" i="6"/>
  <c r="F53" i="6"/>
  <c r="E53" i="6"/>
  <c r="D53" i="6"/>
  <c r="C53" i="6"/>
  <c r="B53" i="6"/>
  <c r="A53" i="6"/>
  <c r="O52" i="6"/>
  <c r="F52" i="6"/>
  <c r="E52" i="6"/>
  <c r="D52" i="6"/>
  <c r="C52" i="6"/>
  <c r="B52" i="6"/>
  <c r="A52" i="6"/>
  <c r="O51" i="6"/>
  <c r="F51" i="6"/>
  <c r="E51" i="6"/>
  <c r="D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A76" i="5"/>
  <c r="O75" i="5"/>
  <c r="F75" i="5"/>
  <c r="E75" i="5"/>
  <c r="D75" i="5"/>
  <c r="C75" i="5"/>
  <c r="B75" i="5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D56" i="5"/>
  <c r="C56" i="5"/>
  <c r="B56" i="5"/>
  <c r="A56" i="5"/>
  <c r="O55" i="5"/>
  <c r="F55" i="5"/>
  <c r="E55" i="5"/>
  <c r="D55" i="5"/>
  <c r="C55" i="5"/>
  <c r="B55" i="5"/>
  <c r="A55" i="5"/>
  <c r="O54" i="5"/>
  <c r="F54" i="5"/>
  <c r="E54" i="5"/>
  <c r="D54" i="5"/>
  <c r="C54" i="5"/>
  <c r="B54" i="5"/>
  <c r="A54" i="5"/>
  <c r="O53" i="5"/>
  <c r="F53" i="5"/>
  <c r="E53" i="5"/>
  <c r="D53" i="5"/>
  <c r="C53" i="5"/>
  <c r="B53" i="5"/>
  <c r="A53" i="5"/>
  <c r="O52" i="5"/>
  <c r="F52" i="5"/>
  <c r="E52" i="5"/>
  <c r="D52" i="5"/>
  <c r="C52" i="5"/>
  <c r="B52" i="5"/>
  <c r="A52" i="5"/>
  <c r="O51" i="5"/>
  <c r="F51" i="5"/>
  <c r="E51" i="5"/>
  <c r="D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F34" i="4"/>
  <c r="E34" i="4"/>
  <c r="D34" i="4"/>
  <c r="C34" i="4"/>
  <c r="B34" i="4"/>
  <c r="A34" i="4"/>
  <c r="F33" i="4"/>
  <c r="E33" i="4"/>
  <c r="D33" i="4"/>
  <c r="C33" i="4"/>
  <c r="B33" i="4"/>
  <c r="A33" i="4"/>
  <c r="F32" i="4"/>
  <c r="E32" i="4"/>
  <c r="D32" i="4"/>
  <c r="C32" i="4"/>
  <c r="B32" i="4"/>
  <c r="A32" i="4"/>
  <c r="F31" i="4"/>
  <c r="E31" i="4"/>
  <c r="D31" i="4"/>
  <c r="C31" i="4"/>
  <c r="B31" i="4"/>
  <c r="A31" i="4"/>
  <c r="F30" i="4"/>
  <c r="E30" i="4"/>
  <c r="D30" i="4"/>
  <c r="C30" i="4"/>
  <c r="B30" i="4"/>
  <c r="A30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F27" i="4"/>
  <c r="E27" i="4"/>
  <c r="D27" i="4"/>
  <c r="C27" i="4"/>
  <c r="B27" i="4"/>
  <c r="A27" i="4"/>
  <c r="F26" i="4"/>
  <c r="E26" i="4"/>
  <c r="D26" i="4"/>
  <c r="C26" i="4"/>
  <c r="B26" i="4"/>
  <c r="A26" i="4"/>
  <c r="F25" i="4"/>
  <c r="E25" i="4"/>
  <c r="D25" i="4"/>
  <c r="C25" i="4"/>
  <c r="B25" i="4"/>
  <c r="A25" i="4"/>
  <c r="F24" i="4"/>
  <c r="E24" i="4"/>
  <c r="D24" i="4"/>
  <c r="C24" i="4"/>
  <c r="B24" i="4"/>
  <c r="A24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F21" i="4"/>
  <c r="E21" i="4"/>
  <c r="D21" i="4"/>
  <c r="C21" i="4"/>
  <c r="B21" i="4"/>
  <c r="A21" i="4"/>
  <c r="F20" i="4"/>
  <c r="E20" i="4"/>
  <c r="D20" i="4"/>
  <c r="C20" i="4"/>
  <c r="B20" i="4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D3" i="3"/>
  <c r="G4" i="3"/>
  <c r="H4" i="3"/>
  <c r="F4" i="3"/>
  <c r="D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J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N85" i="10"/>
  <c r="L85" i="10"/>
  <c r="J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N81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G78" i="10"/>
  <c r="N77" i="10"/>
  <c r="L77" i="10"/>
  <c r="J77" i="10"/>
  <c r="I77" i="10"/>
  <c r="G77" i="10"/>
  <c r="N76" i="10"/>
  <c r="L76" i="10"/>
  <c r="J76" i="10"/>
  <c r="I76" i="10"/>
  <c r="G76" i="10"/>
  <c r="N75" i="10"/>
  <c r="L75" i="10"/>
  <c r="J75" i="10"/>
  <c r="I75" i="10"/>
  <c r="G75" i="10"/>
  <c r="N74" i="10"/>
  <c r="L74" i="10"/>
  <c r="J74" i="10"/>
  <c r="I74" i="10"/>
  <c r="G74" i="10"/>
  <c r="N73" i="10"/>
  <c r="L73" i="10"/>
  <c r="J73" i="10"/>
  <c r="I73" i="10"/>
  <c r="G73" i="10"/>
  <c r="N72" i="10"/>
  <c r="L72" i="10"/>
  <c r="J72" i="10"/>
  <c r="I72" i="10"/>
  <c r="G72" i="10"/>
  <c r="N71" i="10"/>
  <c r="L71" i="10"/>
  <c r="J71" i="10"/>
  <c r="I71" i="10"/>
  <c r="G71" i="10"/>
  <c r="N70" i="10"/>
  <c r="L70" i="10"/>
  <c r="J70" i="10"/>
  <c r="I70" i="10"/>
  <c r="G70" i="10"/>
  <c r="N69" i="10"/>
  <c r="L69" i="10"/>
  <c r="J69" i="10"/>
  <c r="I69" i="10"/>
  <c r="G69" i="10"/>
  <c r="N68" i="10"/>
  <c r="L68" i="10"/>
  <c r="J68" i="10"/>
  <c r="I68" i="10"/>
  <c r="G68" i="10"/>
  <c r="N67" i="10"/>
  <c r="L67" i="10"/>
  <c r="J67" i="10"/>
  <c r="I67" i="10"/>
  <c r="G67" i="10"/>
  <c r="N66" i="10"/>
  <c r="L66" i="10"/>
  <c r="J66" i="10"/>
  <c r="I66" i="10"/>
  <c r="G66" i="10"/>
  <c r="N65" i="10"/>
  <c r="L65" i="10"/>
  <c r="J65" i="10"/>
  <c r="I65" i="10"/>
  <c r="G65" i="10"/>
  <c r="N64" i="10"/>
  <c r="L64" i="10"/>
  <c r="J64" i="10"/>
  <c r="I64" i="10"/>
  <c r="G64" i="10"/>
  <c r="N63" i="10"/>
  <c r="L63" i="10"/>
  <c r="J63" i="10"/>
  <c r="I63" i="10"/>
  <c r="G63" i="10"/>
  <c r="N62" i="10"/>
  <c r="L62" i="10"/>
  <c r="J62" i="10"/>
  <c r="I62" i="10"/>
  <c r="G62" i="10"/>
  <c r="N61" i="10"/>
  <c r="L61" i="10"/>
  <c r="J61" i="10"/>
  <c r="I61" i="10"/>
  <c r="G61" i="10"/>
  <c r="N60" i="10"/>
  <c r="L60" i="10"/>
  <c r="J60" i="10"/>
  <c r="I60" i="10"/>
  <c r="G60" i="10"/>
  <c r="N59" i="10"/>
  <c r="L59" i="10"/>
  <c r="J59" i="10"/>
  <c r="I59" i="10"/>
  <c r="G59" i="10"/>
  <c r="N58" i="10"/>
  <c r="L58" i="10"/>
  <c r="J58" i="10"/>
  <c r="I58" i="10"/>
  <c r="G58" i="10"/>
  <c r="N57" i="10"/>
  <c r="L57" i="10"/>
  <c r="J57" i="10"/>
  <c r="I57" i="10"/>
  <c r="G57" i="10"/>
  <c r="N56" i="10"/>
  <c r="L56" i="10"/>
  <c r="J56" i="10"/>
  <c r="I56" i="10"/>
  <c r="G56" i="10"/>
  <c r="N55" i="10"/>
  <c r="L55" i="10"/>
  <c r="J55" i="10"/>
  <c r="I55" i="10"/>
  <c r="G55" i="10"/>
  <c r="N54" i="10"/>
  <c r="L54" i="10"/>
  <c r="J54" i="10"/>
  <c r="I54" i="10"/>
  <c r="G54" i="10"/>
  <c r="N53" i="10"/>
  <c r="L53" i="10"/>
  <c r="J53" i="10"/>
  <c r="I53" i="10"/>
  <c r="G53" i="10"/>
  <c r="N52" i="10"/>
  <c r="L52" i="10"/>
  <c r="J52" i="10"/>
  <c r="I52" i="10"/>
  <c r="G52" i="10"/>
  <c r="N51" i="10"/>
  <c r="L51" i="10"/>
  <c r="J51" i="10"/>
  <c r="I51" i="10"/>
  <c r="G51" i="10"/>
  <c r="N50" i="10"/>
  <c r="L50" i="10"/>
  <c r="J50" i="10"/>
  <c r="I50" i="10"/>
  <c r="G50" i="10"/>
  <c r="N49" i="10"/>
  <c r="L49" i="10"/>
  <c r="J49" i="10"/>
  <c r="I49" i="10"/>
  <c r="G49" i="10"/>
  <c r="N48" i="10"/>
  <c r="L48" i="10"/>
  <c r="J48" i="10"/>
  <c r="I48" i="10"/>
  <c r="G48" i="10"/>
  <c r="N47" i="10"/>
  <c r="L47" i="10"/>
  <c r="J47" i="10"/>
  <c r="I47" i="10"/>
  <c r="G47" i="10"/>
  <c r="N46" i="10"/>
  <c r="L46" i="10"/>
  <c r="J46" i="10"/>
  <c r="I46" i="10"/>
  <c r="N45" i="10"/>
  <c r="L45" i="10"/>
  <c r="J45" i="10"/>
  <c r="I45" i="10"/>
  <c r="N44" i="10"/>
  <c r="L44" i="10"/>
  <c r="J44" i="10"/>
  <c r="I44" i="10"/>
  <c r="N43" i="10"/>
  <c r="L43" i="10"/>
  <c r="J43" i="10"/>
  <c r="I43" i="10"/>
  <c r="N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I40" i="10"/>
  <c r="N39" i="10"/>
  <c r="L39" i="10"/>
  <c r="J39" i="10"/>
  <c r="I39" i="10"/>
  <c r="N38" i="10"/>
  <c r="L38" i="10"/>
  <c r="J38" i="10"/>
  <c r="I38" i="10"/>
  <c r="N37" i="10"/>
  <c r="L37" i="10"/>
  <c r="J37" i="10"/>
  <c r="I37" i="10"/>
  <c r="N36" i="10"/>
  <c r="L36" i="10"/>
  <c r="J36" i="10"/>
  <c r="I36" i="10"/>
  <c r="N35" i="10"/>
  <c r="L35" i="10"/>
  <c r="J35" i="10"/>
  <c r="I35" i="10"/>
  <c r="N34" i="10"/>
  <c r="L34" i="10"/>
  <c r="J34" i="10"/>
  <c r="I34" i="10"/>
  <c r="N33" i="10"/>
  <c r="L33" i="10"/>
  <c r="J33" i="10"/>
  <c r="I33" i="10"/>
  <c r="N32" i="10"/>
  <c r="L32" i="10"/>
  <c r="J32" i="10"/>
  <c r="I32" i="10"/>
  <c r="N31" i="10"/>
  <c r="L31" i="10"/>
  <c r="J31" i="10"/>
  <c r="I31" i="10"/>
  <c r="N30" i="10"/>
  <c r="L30" i="10"/>
  <c r="J30" i="10"/>
  <c r="I30" i="10"/>
  <c r="N29" i="10"/>
  <c r="L29" i="10"/>
  <c r="J29" i="10"/>
  <c r="I29" i="10"/>
  <c r="G29" i="10"/>
  <c r="N28" i="10"/>
  <c r="L28" i="10"/>
  <c r="J28" i="10"/>
  <c r="I28" i="10"/>
  <c r="N27" i="10"/>
  <c r="L27" i="10"/>
  <c r="J27" i="10"/>
  <c r="I27" i="10"/>
  <c r="N26" i="10"/>
  <c r="L26" i="10"/>
  <c r="J26" i="10"/>
  <c r="I26" i="10"/>
  <c r="N25" i="10"/>
  <c r="L25" i="10"/>
  <c r="J25" i="10"/>
  <c r="I25" i="10"/>
  <c r="N24" i="10"/>
  <c r="L24" i="10"/>
  <c r="J24" i="10"/>
  <c r="I24" i="10"/>
  <c r="N23" i="10"/>
  <c r="L23" i="10"/>
  <c r="J23" i="10"/>
  <c r="I23" i="10"/>
  <c r="N22" i="10"/>
  <c r="L22" i="10"/>
  <c r="J22" i="10"/>
  <c r="I22" i="10"/>
  <c r="G22" i="10"/>
  <c r="N21" i="10"/>
  <c r="L21" i="10"/>
  <c r="J21" i="10"/>
  <c r="I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S89" i="9"/>
  <c r="N89" i="9"/>
  <c r="L89" i="9"/>
  <c r="J89" i="9"/>
  <c r="I89" i="9"/>
  <c r="G89" i="9"/>
  <c r="N88" i="9"/>
  <c r="L88" i="9"/>
  <c r="J88" i="9"/>
  <c r="I88" i="9"/>
  <c r="G88" i="9"/>
  <c r="N87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R85" i="8"/>
  <c r="I85" i="8"/>
  <c r="I81" i="8"/>
  <c r="G81" i="8"/>
  <c r="N80" i="8"/>
  <c r="L80" i="8"/>
  <c r="J80" i="8"/>
  <c r="I80" i="8"/>
  <c r="G80" i="8"/>
  <c r="N79" i="8"/>
  <c r="L79" i="8"/>
  <c r="J79" i="8"/>
  <c r="I79" i="8"/>
  <c r="G79" i="8"/>
  <c r="I78" i="8"/>
  <c r="G78" i="8"/>
  <c r="N77" i="8"/>
  <c r="L77" i="8"/>
  <c r="J77" i="8"/>
  <c r="I77" i="8"/>
  <c r="G77" i="8"/>
  <c r="N76" i="8"/>
  <c r="L76" i="8"/>
  <c r="J76" i="8"/>
  <c r="I76" i="8"/>
  <c r="G76" i="8"/>
  <c r="N75" i="8"/>
  <c r="L75" i="8"/>
  <c r="J75" i="8"/>
  <c r="I75" i="8"/>
  <c r="G75" i="8"/>
  <c r="N74" i="8"/>
  <c r="L74" i="8"/>
  <c r="J74" i="8"/>
  <c r="I74" i="8"/>
  <c r="G74" i="8"/>
  <c r="S73" i="8"/>
  <c r="R73" i="8"/>
  <c r="Q73" i="8"/>
  <c r="I72" i="8"/>
  <c r="G72" i="8"/>
  <c r="N71" i="8"/>
  <c r="L71" i="8"/>
  <c r="J71" i="8"/>
  <c r="I71" i="8"/>
  <c r="G71" i="8"/>
  <c r="N70" i="8"/>
  <c r="L70" i="8"/>
  <c r="J70" i="8"/>
  <c r="I70" i="8"/>
  <c r="G70" i="8"/>
  <c r="J69" i="8"/>
  <c r="G69" i="8"/>
  <c r="J68" i="8"/>
  <c r="G68" i="8"/>
  <c r="R67" i="8"/>
  <c r="I67" i="8"/>
  <c r="N66" i="8"/>
  <c r="L66" i="8"/>
  <c r="J66" i="8"/>
  <c r="I66" i="8"/>
  <c r="G66" i="8"/>
  <c r="S65" i="8"/>
  <c r="R65" i="8"/>
  <c r="N59" i="8"/>
  <c r="L59" i="8"/>
  <c r="J59" i="8"/>
  <c r="G59" i="8"/>
  <c r="I58" i="8"/>
  <c r="G58" i="8"/>
  <c r="G57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R3" i="5"/>
  <c r="L2" i="5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I3" i="4"/>
  <c r="M2" i="4"/>
  <c r="K2" i="4"/>
  <c r="J2" i="4"/>
  <c r="N81" i="9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G78" i="9"/>
  <c r="N77" i="9"/>
  <c r="L77" i="9"/>
  <c r="J77" i="9"/>
  <c r="I77" i="9"/>
  <c r="G77" i="9"/>
  <c r="N76" i="9"/>
  <c r="L76" i="9"/>
  <c r="J76" i="9"/>
  <c r="I76" i="9"/>
  <c r="G76" i="9"/>
  <c r="N75" i="9"/>
  <c r="L75" i="9"/>
  <c r="J75" i="9"/>
  <c r="I75" i="9"/>
  <c r="G75" i="9"/>
  <c r="N74" i="9"/>
  <c r="L74" i="9"/>
  <c r="J74" i="9"/>
  <c r="I74" i="9"/>
  <c r="G74" i="9"/>
  <c r="N73" i="9"/>
  <c r="L73" i="9"/>
  <c r="J73" i="9"/>
  <c r="I73" i="9"/>
  <c r="G73" i="9"/>
  <c r="N72" i="9"/>
  <c r="L72" i="9"/>
  <c r="J72" i="9"/>
  <c r="I72" i="9"/>
  <c r="G72" i="9"/>
  <c r="N71" i="9"/>
  <c r="L71" i="9"/>
  <c r="J71" i="9"/>
  <c r="I71" i="9"/>
  <c r="G71" i="9"/>
  <c r="N70" i="9"/>
  <c r="L70" i="9"/>
  <c r="J70" i="9"/>
  <c r="I70" i="9"/>
  <c r="G70" i="9"/>
  <c r="N69" i="9"/>
  <c r="L69" i="9"/>
  <c r="J69" i="9"/>
  <c r="I69" i="9"/>
  <c r="G69" i="9"/>
  <c r="N68" i="9"/>
  <c r="L68" i="9"/>
  <c r="J68" i="9"/>
  <c r="I68" i="9"/>
  <c r="G68" i="9"/>
  <c r="N67" i="9"/>
  <c r="L67" i="9"/>
  <c r="J67" i="9"/>
  <c r="I67" i="9"/>
  <c r="G67" i="9"/>
  <c r="N66" i="9"/>
  <c r="L66" i="9"/>
  <c r="J66" i="9"/>
  <c r="I66" i="9"/>
  <c r="G66" i="9"/>
  <c r="N65" i="9"/>
  <c r="L65" i="9"/>
  <c r="J65" i="9"/>
  <c r="I65" i="9"/>
  <c r="G65" i="9"/>
  <c r="N64" i="9"/>
  <c r="L64" i="9"/>
  <c r="J64" i="9"/>
  <c r="I64" i="9"/>
  <c r="G64" i="9"/>
  <c r="N63" i="9"/>
  <c r="L63" i="9"/>
  <c r="J63" i="9"/>
  <c r="I63" i="9"/>
  <c r="G63" i="9"/>
  <c r="N62" i="9"/>
  <c r="L62" i="9"/>
  <c r="J62" i="9"/>
  <c r="I62" i="9"/>
  <c r="G62" i="9"/>
  <c r="N61" i="9"/>
  <c r="L61" i="9"/>
  <c r="J61" i="9"/>
  <c r="I61" i="9"/>
  <c r="G61" i="9"/>
  <c r="N60" i="9"/>
  <c r="L60" i="9"/>
  <c r="J60" i="9"/>
  <c r="I60" i="9"/>
  <c r="G60" i="9"/>
  <c r="N59" i="9"/>
  <c r="L59" i="9"/>
  <c r="J59" i="9"/>
  <c r="I59" i="9"/>
  <c r="G59" i="9"/>
  <c r="N58" i="9"/>
  <c r="L58" i="9"/>
  <c r="J58" i="9"/>
  <c r="I58" i="9"/>
  <c r="G58" i="9"/>
  <c r="S57" i="9"/>
  <c r="R57" i="9"/>
  <c r="Q57" i="9"/>
  <c r="N57" i="9"/>
  <c r="L57" i="9"/>
  <c r="J57" i="9"/>
  <c r="I57" i="9"/>
  <c r="G57" i="9"/>
  <c r="N56" i="9"/>
  <c r="L56" i="9"/>
  <c r="J56" i="9"/>
  <c r="I56" i="9"/>
  <c r="G56" i="9"/>
  <c r="N55" i="9"/>
  <c r="L55" i="9"/>
  <c r="J55" i="9"/>
  <c r="I55" i="9"/>
  <c r="G55" i="9"/>
  <c r="N54" i="9"/>
  <c r="L54" i="9"/>
  <c r="J54" i="9"/>
  <c r="I54" i="9"/>
  <c r="G54" i="9"/>
  <c r="N53" i="9"/>
  <c r="L53" i="9"/>
  <c r="J53" i="9"/>
  <c r="I53" i="9"/>
  <c r="G53" i="9"/>
  <c r="N52" i="9"/>
  <c r="L52" i="9"/>
  <c r="J52" i="9"/>
  <c r="I52" i="9"/>
  <c r="G52" i="9"/>
  <c r="N51" i="9"/>
  <c r="L51" i="9"/>
  <c r="J51" i="9"/>
  <c r="I51" i="9"/>
  <c r="G51" i="9"/>
  <c r="N50" i="9"/>
  <c r="L50" i="9"/>
  <c r="J50" i="9"/>
  <c r="I50" i="9"/>
  <c r="G50" i="9"/>
  <c r="N49" i="9"/>
  <c r="L49" i="9"/>
  <c r="J49" i="9"/>
  <c r="I49" i="9"/>
  <c r="G49" i="9"/>
  <c r="N48" i="9"/>
  <c r="L48" i="9"/>
  <c r="J48" i="9"/>
  <c r="I48" i="9"/>
  <c r="G48" i="9"/>
  <c r="N47" i="9"/>
  <c r="L47" i="9"/>
  <c r="J47" i="9"/>
  <c r="I47" i="9"/>
  <c r="G47" i="9"/>
  <c r="N46" i="9"/>
  <c r="L46" i="9"/>
  <c r="J46" i="9"/>
  <c r="I46" i="9"/>
  <c r="N45" i="9"/>
  <c r="L45" i="9"/>
  <c r="J45" i="9"/>
  <c r="I45" i="9"/>
  <c r="N44" i="9"/>
  <c r="L44" i="9"/>
  <c r="J44" i="9"/>
  <c r="I44" i="9"/>
  <c r="N43" i="9"/>
  <c r="L43" i="9"/>
  <c r="J43" i="9"/>
  <c r="I43" i="9"/>
  <c r="N42" i="9"/>
  <c r="L42" i="9"/>
  <c r="J42" i="9"/>
  <c r="I42" i="9"/>
  <c r="N41" i="9"/>
  <c r="L41" i="9"/>
  <c r="J41" i="9"/>
  <c r="I41" i="9"/>
  <c r="N40" i="9"/>
  <c r="L40" i="9"/>
  <c r="J40" i="9"/>
  <c r="I40" i="9"/>
  <c r="N39" i="9"/>
  <c r="L39" i="9"/>
  <c r="J39" i="9"/>
  <c r="I39" i="9"/>
  <c r="N38" i="9"/>
  <c r="L38" i="9"/>
  <c r="J38" i="9"/>
  <c r="I38" i="9"/>
  <c r="N37" i="9"/>
  <c r="L37" i="9"/>
  <c r="J37" i="9"/>
  <c r="I37" i="9"/>
  <c r="N36" i="9"/>
  <c r="L36" i="9"/>
  <c r="J36" i="9"/>
  <c r="I36" i="9"/>
  <c r="N35" i="9"/>
  <c r="L35" i="9"/>
  <c r="J35" i="9"/>
  <c r="I35" i="9"/>
  <c r="N34" i="9"/>
  <c r="L34" i="9"/>
  <c r="J34" i="9"/>
  <c r="I34" i="9"/>
  <c r="N33" i="9"/>
  <c r="L33" i="9"/>
  <c r="J33" i="9"/>
  <c r="I33" i="9"/>
  <c r="N32" i="9"/>
  <c r="L32" i="9"/>
  <c r="J32" i="9"/>
  <c r="I32" i="9"/>
  <c r="N31" i="9"/>
  <c r="L31" i="9"/>
  <c r="J31" i="9"/>
  <c r="I31" i="9"/>
  <c r="N30" i="9"/>
  <c r="L30" i="9"/>
  <c r="J30" i="9"/>
  <c r="I30" i="9"/>
  <c r="N29" i="9"/>
  <c r="L29" i="9"/>
  <c r="J29" i="9"/>
  <c r="I29" i="9"/>
  <c r="G29" i="9"/>
  <c r="N28" i="9"/>
  <c r="L28" i="9"/>
  <c r="J28" i="9"/>
  <c r="I28" i="9"/>
  <c r="N27" i="9"/>
  <c r="L27" i="9"/>
  <c r="J27" i="9"/>
  <c r="I27" i="9"/>
  <c r="N26" i="9"/>
  <c r="L26" i="9"/>
  <c r="J26" i="9"/>
  <c r="I26" i="9"/>
  <c r="N25" i="9"/>
  <c r="L25" i="9"/>
  <c r="J25" i="9"/>
  <c r="I25" i="9"/>
  <c r="N24" i="9"/>
  <c r="L24" i="9"/>
  <c r="J24" i="9"/>
  <c r="I24" i="9"/>
  <c r="N23" i="9"/>
  <c r="L23" i="9"/>
  <c r="J23" i="9"/>
  <c r="I23" i="9"/>
  <c r="N22" i="9"/>
  <c r="L22" i="9"/>
  <c r="J22" i="9"/>
  <c r="I22" i="9"/>
  <c r="G22" i="9"/>
  <c r="N21" i="9"/>
  <c r="L21" i="9"/>
  <c r="J21" i="9"/>
  <c r="I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S85" i="8"/>
  <c r="Q85" i="8"/>
  <c r="N85" i="8"/>
  <c r="L85" i="8"/>
  <c r="J85" i="8"/>
  <c r="G85" i="8"/>
  <c r="N84" i="8"/>
  <c r="L84" i="8"/>
  <c r="J84" i="8"/>
  <c r="I84" i="8"/>
  <c r="G84" i="8"/>
  <c r="N83" i="8"/>
  <c r="L83" i="8"/>
  <c r="J83" i="8"/>
  <c r="I83" i="8"/>
  <c r="G83" i="8"/>
  <c r="N82" i="8"/>
  <c r="L82" i="8"/>
  <c r="J82" i="8"/>
  <c r="I82" i="8"/>
  <c r="G82" i="8"/>
  <c r="N81" i="8"/>
  <c r="L81" i="8"/>
  <c r="J81" i="8"/>
  <c r="N78" i="8"/>
  <c r="L78" i="8"/>
  <c r="J78" i="8"/>
  <c r="N73" i="8"/>
  <c r="L73" i="8"/>
  <c r="J73" i="8"/>
  <c r="I73" i="8"/>
  <c r="G73" i="8"/>
  <c r="N72" i="8"/>
  <c r="L72" i="8"/>
  <c r="J72" i="8"/>
  <c r="N69" i="8"/>
  <c r="L69" i="8"/>
  <c r="I69" i="8"/>
  <c r="N68" i="8"/>
  <c r="L68" i="8"/>
  <c r="I68" i="8"/>
  <c r="N67" i="8"/>
  <c r="L67" i="8"/>
  <c r="J67" i="8"/>
  <c r="G67" i="8"/>
  <c r="N65" i="8"/>
  <c r="L65" i="8"/>
  <c r="J65" i="8"/>
  <c r="I65" i="8"/>
  <c r="G65" i="8"/>
  <c r="N64" i="8"/>
  <c r="L64" i="8"/>
  <c r="J64" i="8"/>
  <c r="I64" i="8"/>
  <c r="G64" i="8"/>
  <c r="N63" i="8"/>
  <c r="L63" i="8"/>
  <c r="J63" i="8"/>
  <c r="I63" i="8"/>
  <c r="G63" i="8"/>
  <c r="N62" i="8"/>
  <c r="L62" i="8"/>
  <c r="J62" i="8"/>
  <c r="I62" i="8"/>
  <c r="G62" i="8"/>
  <c r="N61" i="8"/>
  <c r="L61" i="8"/>
  <c r="J61" i="8"/>
  <c r="I61" i="8"/>
  <c r="G61" i="8"/>
  <c r="N60" i="8"/>
  <c r="L60" i="8"/>
  <c r="J60" i="8"/>
  <c r="I60" i="8"/>
  <c r="G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L56" i="8"/>
  <c r="J56" i="8"/>
  <c r="I56" i="8"/>
  <c r="G56" i="8"/>
  <c r="N55" i="8"/>
  <c r="L55" i="8"/>
  <c r="J55" i="8"/>
  <c r="I55" i="8"/>
  <c r="G55" i="8"/>
  <c r="N54" i="8"/>
  <c r="L54" i="8"/>
  <c r="J54" i="8"/>
  <c r="I54" i="8"/>
  <c r="G54" i="8"/>
  <c r="N53" i="8"/>
  <c r="L53" i="8"/>
  <c r="J53" i="8"/>
  <c r="I53" i="8"/>
  <c r="G53" i="8"/>
  <c r="N52" i="8"/>
  <c r="L52" i="8"/>
  <c r="J52" i="8"/>
  <c r="I52" i="8"/>
  <c r="G52" i="8"/>
  <c r="N51" i="8"/>
  <c r="L51" i="8"/>
  <c r="J51" i="8"/>
  <c r="I51" i="8"/>
  <c r="G51" i="8"/>
  <c r="N50" i="8"/>
  <c r="L50" i="8"/>
  <c r="J50" i="8"/>
  <c r="I50" i="8"/>
  <c r="G50" i="8"/>
  <c r="N49" i="8"/>
  <c r="L49" i="8"/>
  <c r="J49" i="8"/>
  <c r="I49" i="8"/>
  <c r="G49" i="8"/>
  <c r="N48" i="8"/>
  <c r="L48" i="8"/>
  <c r="J48" i="8"/>
  <c r="I48" i="8"/>
  <c r="G48" i="8"/>
  <c r="N47" i="8"/>
  <c r="L47" i="8"/>
  <c r="J47" i="8"/>
  <c r="I47" i="8"/>
  <c r="G47" i="8"/>
  <c r="N46" i="8"/>
  <c r="L46" i="8"/>
  <c r="J46" i="8"/>
  <c r="I46" i="8"/>
  <c r="N45" i="8"/>
  <c r="L45" i="8"/>
  <c r="J45" i="8"/>
  <c r="I45" i="8"/>
  <c r="N44" i="8"/>
  <c r="L44" i="8"/>
  <c r="J44" i="8"/>
  <c r="I44" i="8"/>
  <c r="N43" i="8"/>
  <c r="L43" i="8"/>
  <c r="J43" i="8"/>
  <c r="I43" i="8"/>
  <c r="N42" i="8"/>
  <c r="L42" i="8"/>
  <c r="J42" i="8"/>
  <c r="I42" i="8"/>
  <c r="N41" i="8"/>
  <c r="L41" i="8"/>
  <c r="J41" i="8"/>
  <c r="I41" i="8"/>
  <c r="N40" i="8"/>
  <c r="L40" i="8"/>
  <c r="J40" i="8"/>
  <c r="I40" i="8"/>
  <c r="N39" i="8"/>
  <c r="L39" i="8"/>
  <c r="J39" i="8"/>
  <c r="I39" i="8"/>
  <c r="N38" i="8"/>
  <c r="L38" i="8"/>
  <c r="J38" i="8"/>
  <c r="I38" i="8"/>
  <c r="N37" i="8"/>
  <c r="L37" i="8"/>
  <c r="J37" i="8"/>
  <c r="I37" i="8"/>
  <c r="N36" i="8"/>
  <c r="L36" i="8"/>
  <c r="J36" i="8"/>
  <c r="I36" i="8"/>
  <c r="N35" i="8"/>
  <c r="L35" i="8"/>
  <c r="J35" i="8"/>
  <c r="I35" i="8"/>
  <c r="N34" i="8"/>
  <c r="L34" i="8"/>
  <c r="J34" i="8"/>
  <c r="I34" i="8"/>
  <c r="N33" i="8"/>
  <c r="L33" i="8"/>
  <c r="J33" i="8"/>
  <c r="I33" i="8"/>
  <c r="N32" i="8"/>
  <c r="L32" i="8"/>
  <c r="J32" i="8"/>
  <c r="I32" i="8"/>
  <c r="N31" i="8"/>
  <c r="L31" i="8"/>
  <c r="J31" i="8"/>
  <c r="I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N27" i="8"/>
  <c r="L27" i="8"/>
  <c r="J27" i="8"/>
  <c r="I27" i="8"/>
  <c r="N26" i="8"/>
  <c r="L26" i="8"/>
  <c r="J26" i="8"/>
  <c r="I26" i="8"/>
  <c r="N25" i="8"/>
  <c r="L25" i="8"/>
  <c r="J25" i="8"/>
  <c r="I25" i="8"/>
  <c r="N24" i="8"/>
  <c r="L24" i="8"/>
  <c r="J24" i="8"/>
  <c r="I24" i="8"/>
  <c r="N23" i="8"/>
  <c r="L23" i="8"/>
  <c r="J23" i="8"/>
  <c r="I23" i="8"/>
  <c r="N22" i="8"/>
  <c r="L22" i="8"/>
  <c r="J22" i="8"/>
  <c r="I22" i="8"/>
  <c r="G22" i="8"/>
  <c r="N21" i="8"/>
  <c r="L21" i="8"/>
  <c r="J21" i="8"/>
  <c r="I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N81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G78" i="7"/>
  <c r="N77" i="7"/>
  <c r="L77" i="7"/>
  <c r="J77" i="7"/>
  <c r="I77" i="7"/>
  <c r="G77" i="7"/>
  <c r="N76" i="7"/>
  <c r="L76" i="7"/>
  <c r="J76" i="7"/>
  <c r="I76" i="7"/>
  <c r="G76" i="7"/>
  <c r="N75" i="7"/>
  <c r="L75" i="7"/>
  <c r="J75" i="7"/>
  <c r="I75" i="7"/>
  <c r="G75" i="7"/>
  <c r="N74" i="7"/>
  <c r="L74" i="7"/>
  <c r="J74" i="7"/>
  <c r="I74" i="7"/>
  <c r="G74" i="7"/>
  <c r="N73" i="7"/>
  <c r="L73" i="7"/>
  <c r="J73" i="7"/>
  <c r="I73" i="7"/>
  <c r="G73" i="7"/>
  <c r="N72" i="7"/>
  <c r="L72" i="7"/>
  <c r="J72" i="7"/>
  <c r="I72" i="7"/>
  <c r="G72" i="7"/>
  <c r="N71" i="7"/>
  <c r="L71" i="7"/>
  <c r="J71" i="7"/>
  <c r="I71" i="7"/>
  <c r="G71" i="7"/>
  <c r="N70" i="7"/>
  <c r="L70" i="7"/>
  <c r="J70" i="7"/>
  <c r="I70" i="7"/>
  <c r="G70" i="7"/>
  <c r="N69" i="7"/>
  <c r="L69" i="7"/>
  <c r="J69" i="7"/>
  <c r="I69" i="7"/>
  <c r="G69" i="7"/>
  <c r="N68" i="7"/>
  <c r="L68" i="7"/>
  <c r="J68" i="7"/>
  <c r="I68" i="7"/>
  <c r="G68" i="7"/>
  <c r="N67" i="7"/>
  <c r="L67" i="7"/>
  <c r="J67" i="7"/>
  <c r="I67" i="7"/>
  <c r="G67" i="7"/>
  <c r="N66" i="7"/>
  <c r="L66" i="7"/>
  <c r="J66" i="7"/>
  <c r="I66" i="7"/>
  <c r="G66" i="7"/>
  <c r="N65" i="7"/>
  <c r="L65" i="7"/>
  <c r="J65" i="7"/>
  <c r="I65" i="7"/>
  <c r="G65" i="7"/>
  <c r="N64" i="7"/>
  <c r="L64" i="7"/>
  <c r="J64" i="7"/>
  <c r="I64" i="7"/>
  <c r="G64" i="7"/>
  <c r="N63" i="7"/>
  <c r="L63" i="7"/>
  <c r="J63" i="7"/>
  <c r="I63" i="7"/>
  <c r="G63" i="7"/>
  <c r="N62" i="7"/>
  <c r="L62" i="7"/>
  <c r="J62" i="7"/>
  <c r="I62" i="7"/>
  <c r="G62" i="7"/>
  <c r="N61" i="7"/>
  <c r="L61" i="7"/>
  <c r="J61" i="7"/>
  <c r="I61" i="7"/>
  <c r="G61" i="7"/>
  <c r="N60" i="7"/>
  <c r="L60" i="7"/>
  <c r="J60" i="7"/>
  <c r="I60" i="7"/>
  <c r="G60" i="7"/>
  <c r="N59" i="7"/>
  <c r="L59" i="7"/>
  <c r="J59" i="7"/>
  <c r="I59" i="7"/>
  <c r="G59" i="7"/>
  <c r="N58" i="7"/>
  <c r="L58" i="7"/>
  <c r="J58" i="7"/>
  <c r="I58" i="7"/>
  <c r="G58" i="7"/>
  <c r="N57" i="7"/>
  <c r="L57" i="7"/>
  <c r="J57" i="7"/>
  <c r="I57" i="7"/>
  <c r="G57" i="7"/>
  <c r="N56" i="7"/>
  <c r="L56" i="7"/>
  <c r="J56" i="7"/>
  <c r="I56" i="7"/>
  <c r="G56" i="7"/>
  <c r="N55" i="7"/>
  <c r="L55" i="7"/>
  <c r="J55" i="7"/>
  <c r="I55" i="7"/>
  <c r="G55" i="7"/>
  <c r="N54" i="7"/>
  <c r="L54" i="7"/>
  <c r="J54" i="7"/>
  <c r="I54" i="7"/>
  <c r="G54" i="7"/>
  <c r="N53" i="7"/>
  <c r="L53" i="7"/>
  <c r="J53" i="7"/>
  <c r="I53" i="7"/>
  <c r="G53" i="7"/>
  <c r="N52" i="7"/>
  <c r="L52" i="7"/>
  <c r="J52" i="7"/>
  <c r="I52" i="7"/>
  <c r="G52" i="7"/>
  <c r="N51" i="7"/>
  <c r="L51" i="7"/>
  <c r="J51" i="7"/>
  <c r="I51" i="7"/>
  <c r="G51" i="7"/>
  <c r="N50" i="7"/>
  <c r="L50" i="7"/>
  <c r="J50" i="7"/>
  <c r="I50" i="7"/>
  <c r="G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G47" i="7"/>
  <c r="N46" i="7"/>
  <c r="L46" i="7"/>
  <c r="J46" i="7"/>
  <c r="I46" i="7"/>
  <c r="N45" i="7"/>
  <c r="L45" i="7"/>
  <c r="J45" i="7"/>
  <c r="I45" i="7"/>
  <c r="N44" i="7"/>
  <c r="L44" i="7"/>
  <c r="J44" i="7"/>
  <c r="I44" i="7"/>
  <c r="N43" i="7"/>
  <c r="L43" i="7"/>
  <c r="J43" i="7"/>
  <c r="I43" i="7"/>
  <c r="N42" i="7"/>
  <c r="L42" i="7"/>
  <c r="J42" i="7"/>
  <c r="I42" i="7"/>
  <c r="N41" i="7"/>
  <c r="L41" i="7"/>
  <c r="J41" i="7"/>
  <c r="I41" i="7"/>
  <c r="N40" i="7"/>
  <c r="L40" i="7"/>
  <c r="J40" i="7"/>
  <c r="I40" i="7"/>
  <c r="N39" i="7"/>
  <c r="L39" i="7"/>
  <c r="J39" i="7"/>
  <c r="I39" i="7"/>
  <c r="N38" i="7"/>
  <c r="L38" i="7"/>
  <c r="J38" i="7"/>
  <c r="I38" i="7"/>
  <c r="N37" i="7"/>
  <c r="L37" i="7"/>
  <c r="J37" i="7"/>
  <c r="I37" i="7"/>
  <c r="N36" i="7"/>
  <c r="L36" i="7"/>
  <c r="J36" i="7"/>
  <c r="I36" i="7"/>
  <c r="N35" i="7"/>
  <c r="J35" i="7"/>
  <c r="I35" i="7"/>
  <c r="N34" i="7"/>
  <c r="J34" i="7"/>
  <c r="I34" i="7"/>
  <c r="N33" i="7"/>
  <c r="J33" i="7"/>
  <c r="I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N81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G77" i="6"/>
  <c r="N76" i="6"/>
  <c r="L76" i="6"/>
  <c r="J76" i="6"/>
  <c r="I76" i="6"/>
  <c r="G76" i="6"/>
  <c r="N75" i="6"/>
  <c r="L75" i="6"/>
  <c r="J75" i="6"/>
  <c r="I75" i="6"/>
  <c r="G75" i="6"/>
  <c r="N74" i="6"/>
  <c r="L74" i="6"/>
  <c r="J74" i="6"/>
  <c r="I74" i="6"/>
  <c r="G74" i="6"/>
  <c r="N73" i="6"/>
  <c r="L73" i="6"/>
  <c r="J73" i="6"/>
  <c r="I73" i="6"/>
  <c r="G73" i="6"/>
  <c r="S72" i="6"/>
  <c r="R72" i="6"/>
  <c r="Q72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S88" i="5"/>
  <c r="N84" i="5"/>
  <c r="L84" i="5"/>
  <c r="J84" i="5"/>
  <c r="I84" i="5"/>
  <c r="G84" i="5"/>
  <c r="N83" i="5"/>
  <c r="N82" i="5"/>
  <c r="L82" i="5"/>
  <c r="J82" i="5"/>
  <c r="I82" i="5"/>
  <c r="G82" i="5"/>
  <c r="N81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G77" i="5"/>
  <c r="N76" i="5"/>
  <c r="L76" i="5"/>
  <c r="J76" i="5"/>
  <c r="I76" i="5"/>
  <c r="G76" i="5"/>
  <c r="N75" i="5"/>
  <c r="L75" i="5"/>
  <c r="J75" i="5"/>
  <c r="I75" i="5"/>
  <c r="G75" i="5"/>
  <c r="N74" i="5"/>
  <c r="L74" i="5"/>
  <c r="J74" i="5"/>
  <c r="I74" i="5"/>
  <c r="G74" i="5"/>
  <c r="N73" i="5"/>
  <c r="L73" i="5"/>
  <c r="J73" i="5"/>
  <c r="I73" i="5"/>
  <c r="G73" i="5"/>
  <c r="N72" i="5"/>
  <c r="J72" i="5"/>
  <c r="I72" i="5"/>
  <c r="G72" i="5"/>
  <c r="N70" i="5"/>
  <c r="L70" i="5"/>
  <c r="J70" i="5"/>
  <c r="G70" i="5"/>
  <c r="N69" i="5"/>
  <c r="L69" i="5"/>
  <c r="J69" i="5"/>
  <c r="I69" i="5"/>
  <c r="G69" i="5"/>
  <c r="N68" i="5"/>
  <c r="L68" i="5"/>
  <c r="J68" i="5"/>
  <c r="I68" i="5"/>
  <c r="G68" i="5"/>
  <c r="N67" i="5"/>
  <c r="L67" i="5"/>
  <c r="J67" i="5"/>
  <c r="I67" i="5"/>
  <c r="G67" i="5"/>
  <c r="S66" i="5"/>
  <c r="R66" i="5"/>
  <c r="I66" i="5"/>
  <c r="N65" i="5"/>
  <c r="L65" i="5"/>
  <c r="J65" i="5"/>
  <c r="I65" i="5"/>
  <c r="G65" i="5"/>
  <c r="J64" i="5"/>
  <c r="G64" i="5"/>
  <c r="N63" i="5"/>
  <c r="L63" i="5"/>
  <c r="J63" i="5"/>
  <c r="I63" i="5"/>
  <c r="G63" i="5"/>
  <c r="L62" i="5"/>
  <c r="J62" i="5"/>
  <c r="G62" i="5"/>
  <c r="N61" i="5"/>
  <c r="L61" i="5"/>
  <c r="J61" i="5"/>
  <c r="I61" i="5"/>
  <c r="G61" i="5"/>
  <c r="J60" i="5"/>
  <c r="G60" i="5"/>
  <c r="N59" i="5"/>
  <c r="L59" i="5"/>
  <c r="J59" i="5"/>
  <c r="I59" i="5"/>
  <c r="G59" i="5"/>
  <c r="S58" i="5"/>
  <c r="R58" i="5"/>
  <c r="I58" i="5"/>
  <c r="N57" i="5"/>
  <c r="L57" i="5"/>
  <c r="J57" i="5"/>
  <c r="I57" i="5"/>
  <c r="G57" i="5"/>
  <c r="I56" i="5"/>
  <c r="G56" i="5"/>
  <c r="N55" i="5"/>
  <c r="L55" i="5"/>
  <c r="J55" i="5"/>
  <c r="I55" i="5"/>
  <c r="G55" i="5"/>
  <c r="S54" i="5"/>
  <c r="R54" i="5"/>
  <c r="I54" i="5"/>
  <c r="I53" i="5"/>
  <c r="G53" i="5"/>
  <c r="J52" i="5"/>
  <c r="G52" i="5"/>
  <c r="R51" i="5"/>
  <c r="G50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N3" i="4"/>
  <c r="L3" i="4"/>
  <c r="J3" i="4"/>
  <c r="G3" i="4"/>
  <c r="N2" i="4"/>
  <c r="L2" i="4"/>
  <c r="I2" i="4"/>
  <c r="J32" i="7"/>
  <c r="I32" i="7"/>
  <c r="G32" i="7"/>
  <c r="N31" i="7"/>
  <c r="J31" i="7"/>
  <c r="I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N27" i="7"/>
  <c r="L27" i="7"/>
  <c r="J27" i="7"/>
  <c r="I27" i="7"/>
  <c r="N26" i="7"/>
  <c r="L26" i="7"/>
  <c r="J26" i="7"/>
  <c r="I26" i="7"/>
  <c r="N25" i="7"/>
  <c r="L25" i="7"/>
  <c r="J25" i="7"/>
  <c r="I25" i="7"/>
  <c r="N24" i="7"/>
  <c r="L24" i="7"/>
  <c r="J24" i="7"/>
  <c r="I24" i="7"/>
  <c r="N23" i="7"/>
  <c r="L23" i="7"/>
  <c r="J23" i="7"/>
  <c r="I23" i="7"/>
  <c r="N22" i="7"/>
  <c r="L22" i="7"/>
  <c r="J22" i="7"/>
  <c r="I22" i="7"/>
  <c r="G22" i="7"/>
  <c r="N21" i="7"/>
  <c r="L21" i="7"/>
  <c r="J21" i="7"/>
  <c r="I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G72" i="6"/>
  <c r="N71" i="6"/>
  <c r="L71" i="6"/>
  <c r="J71" i="6"/>
  <c r="I71" i="6"/>
  <c r="G71" i="6"/>
  <c r="N70" i="6"/>
  <c r="L70" i="6"/>
  <c r="J70" i="6"/>
  <c r="I70" i="6"/>
  <c r="G70" i="6"/>
  <c r="N69" i="6"/>
  <c r="L69" i="6"/>
  <c r="J69" i="6"/>
  <c r="I69" i="6"/>
  <c r="G69" i="6"/>
  <c r="N68" i="6"/>
  <c r="L68" i="6"/>
  <c r="J68" i="6"/>
  <c r="I68" i="6"/>
  <c r="G68" i="6"/>
  <c r="N67" i="6"/>
  <c r="L67" i="6"/>
  <c r="J67" i="6"/>
  <c r="I67" i="6"/>
  <c r="G67" i="6"/>
  <c r="N66" i="6"/>
  <c r="L66" i="6"/>
  <c r="J66" i="6"/>
  <c r="I66" i="6"/>
  <c r="G66" i="6"/>
  <c r="N65" i="6"/>
  <c r="L65" i="6"/>
  <c r="J65" i="6"/>
  <c r="I65" i="6"/>
  <c r="G65" i="6"/>
  <c r="N64" i="6"/>
  <c r="L64" i="6"/>
  <c r="J64" i="6"/>
  <c r="I64" i="6"/>
  <c r="G64" i="6"/>
  <c r="N63" i="6"/>
  <c r="L63" i="6"/>
  <c r="J63" i="6"/>
  <c r="I63" i="6"/>
  <c r="G63" i="6"/>
  <c r="N62" i="6"/>
  <c r="L62" i="6"/>
  <c r="J62" i="6"/>
  <c r="I62" i="6"/>
  <c r="G62" i="6"/>
  <c r="N61" i="6"/>
  <c r="L61" i="6"/>
  <c r="J61" i="6"/>
  <c r="I61" i="6"/>
  <c r="G61" i="6"/>
  <c r="N60" i="6"/>
  <c r="L60" i="6"/>
  <c r="J60" i="6"/>
  <c r="I60" i="6"/>
  <c r="G60" i="6"/>
  <c r="N59" i="6"/>
  <c r="L59" i="6"/>
  <c r="J59" i="6"/>
  <c r="I59" i="6"/>
  <c r="G59" i="6"/>
  <c r="N58" i="6"/>
  <c r="L58" i="6"/>
  <c r="J58" i="6"/>
  <c r="I58" i="6"/>
  <c r="G58" i="6"/>
  <c r="N57" i="6"/>
  <c r="L57" i="6"/>
  <c r="J57" i="6"/>
  <c r="I57" i="6"/>
  <c r="G57" i="6"/>
  <c r="N56" i="6"/>
  <c r="L56" i="6"/>
  <c r="J56" i="6"/>
  <c r="I56" i="6"/>
  <c r="G56" i="6"/>
  <c r="N55" i="6"/>
  <c r="L55" i="6"/>
  <c r="J55" i="6"/>
  <c r="I55" i="6"/>
  <c r="G55" i="6"/>
  <c r="N54" i="6"/>
  <c r="L54" i="6"/>
  <c r="J54" i="6"/>
  <c r="I54" i="6"/>
  <c r="G54" i="6"/>
  <c r="N53" i="6"/>
  <c r="L53" i="6"/>
  <c r="J53" i="6"/>
  <c r="I53" i="6"/>
  <c r="G53" i="6"/>
  <c r="N52" i="6"/>
  <c r="L52" i="6"/>
  <c r="J52" i="6"/>
  <c r="I52" i="6"/>
  <c r="G52" i="6"/>
  <c r="N51" i="6"/>
  <c r="L51" i="6"/>
  <c r="J51" i="6"/>
  <c r="I51" i="6"/>
  <c r="G51" i="6"/>
  <c r="N50" i="6"/>
  <c r="L50" i="6"/>
  <c r="J50" i="6"/>
  <c r="I50" i="6"/>
  <c r="G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G47" i="6"/>
  <c r="N46" i="6"/>
  <c r="L46" i="6"/>
  <c r="J46" i="6"/>
  <c r="I46" i="6"/>
  <c r="N45" i="6"/>
  <c r="L45" i="6"/>
  <c r="J45" i="6"/>
  <c r="I45" i="6"/>
  <c r="N44" i="6"/>
  <c r="L44" i="6"/>
  <c r="J44" i="6"/>
  <c r="I44" i="6"/>
  <c r="N43" i="6"/>
  <c r="L43" i="6"/>
  <c r="J43" i="6"/>
  <c r="I43" i="6"/>
  <c r="N42" i="6"/>
  <c r="L42" i="6"/>
  <c r="J42" i="6"/>
  <c r="I42" i="6"/>
  <c r="N41" i="6"/>
  <c r="L41" i="6"/>
  <c r="J41" i="6"/>
  <c r="I41" i="6"/>
  <c r="N40" i="6"/>
  <c r="L40" i="6"/>
  <c r="J40" i="6"/>
  <c r="I40" i="6"/>
  <c r="N39" i="6"/>
  <c r="L39" i="6"/>
  <c r="J39" i="6"/>
  <c r="I39" i="6"/>
  <c r="N38" i="6"/>
  <c r="L38" i="6"/>
  <c r="J38" i="6"/>
  <c r="I38" i="6"/>
  <c r="N37" i="6"/>
  <c r="L37" i="6"/>
  <c r="J37" i="6"/>
  <c r="I37" i="6"/>
  <c r="N36" i="6"/>
  <c r="L36" i="6"/>
  <c r="J36" i="6"/>
  <c r="I36" i="6"/>
  <c r="N35" i="6"/>
  <c r="L35" i="6"/>
  <c r="J35" i="6"/>
  <c r="I35" i="6"/>
  <c r="N34" i="6"/>
  <c r="L34" i="6"/>
  <c r="J34" i="6"/>
  <c r="I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N27" i="6"/>
  <c r="L27" i="6"/>
  <c r="J27" i="6"/>
  <c r="I27" i="6"/>
  <c r="N26" i="6"/>
  <c r="L26" i="6"/>
  <c r="J26" i="6"/>
  <c r="I26" i="6"/>
  <c r="N25" i="6"/>
  <c r="L25" i="6"/>
  <c r="J25" i="6"/>
  <c r="I25" i="6"/>
  <c r="N24" i="6"/>
  <c r="L24" i="6"/>
  <c r="J24" i="6"/>
  <c r="I24" i="6"/>
  <c r="N23" i="6"/>
  <c r="L23" i="6"/>
  <c r="J23" i="6"/>
  <c r="I23" i="6"/>
  <c r="N22" i="6"/>
  <c r="L22" i="6"/>
  <c r="J22" i="6"/>
  <c r="I22" i="6"/>
  <c r="G22" i="6"/>
  <c r="N21" i="6"/>
  <c r="L21" i="6"/>
  <c r="J21" i="6"/>
  <c r="I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Q88" i="5"/>
  <c r="N87" i="5"/>
  <c r="L87" i="5"/>
  <c r="J87" i="5"/>
  <c r="I87" i="5"/>
  <c r="G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G71" i="5"/>
  <c r="I70" i="5"/>
  <c r="N66" i="5"/>
  <c r="L66" i="5"/>
  <c r="J66" i="5"/>
  <c r="G66" i="5"/>
  <c r="N64" i="5"/>
  <c r="L64" i="5"/>
  <c r="I64" i="5"/>
  <c r="N62" i="5"/>
  <c r="I62" i="5"/>
  <c r="N60" i="5"/>
  <c r="L60" i="5"/>
  <c r="I60" i="5"/>
  <c r="N58" i="5"/>
  <c r="L58" i="5"/>
  <c r="J58" i="5"/>
  <c r="G58" i="5"/>
  <c r="N56" i="5"/>
  <c r="L56" i="5"/>
  <c r="J56" i="5"/>
  <c r="N54" i="5"/>
  <c r="L54" i="5"/>
  <c r="J54" i="5"/>
  <c r="G54" i="5"/>
  <c r="N53" i="5"/>
  <c r="L53" i="5"/>
  <c r="J53" i="5"/>
  <c r="N52" i="5"/>
  <c r="L52" i="5"/>
  <c r="I52" i="5"/>
  <c r="N51" i="5"/>
  <c r="L51" i="5"/>
  <c r="J51" i="5"/>
  <c r="I51" i="5"/>
  <c r="G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G47" i="5"/>
  <c r="N46" i="5"/>
  <c r="L46" i="5"/>
  <c r="J46" i="5"/>
  <c r="I46" i="5"/>
  <c r="N45" i="5"/>
  <c r="L45" i="5"/>
  <c r="J45" i="5"/>
  <c r="I45" i="5"/>
  <c r="N44" i="5"/>
  <c r="L44" i="5"/>
  <c r="J44" i="5"/>
  <c r="I44" i="5"/>
  <c r="N43" i="5"/>
  <c r="L43" i="5"/>
  <c r="J43" i="5"/>
  <c r="I43" i="5"/>
  <c r="G43" i="5"/>
  <c r="N42" i="5"/>
  <c r="L42" i="5"/>
  <c r="J42" i="5"/>
  <c r="I42" i="5"/>
  <c r="N41" i="5"/>
  <c r="L41" i="5"/>
  <c r="J41" i="5"/>
  <c r="I41" i="5"/>
  <c r="N40" i="5"/>
  <c r="L40" i="5"/>
  <c r="J40" i="5"/>
  <c r="I40" i="5"/>
  <c r="N39" i="5"/>
  <c r="L39" i="5"/>
  <c r="J39" i="5"/>
  <c r="I39" i="5"/>
  <c r="G39" i="5"/>
  <c r="N38" i="5"/>
  <c r="L38" i="5"/>
  <c r="J38" i="5"/>
  <c r="I38" i="5"/>
  <c r="N37" i="5"/>
  <c r="L37" i="5"/>
  <c r="J37" i="5"/>
  <c r="I37" i="5"/>
  <c r="N36" i="5"/>
  <c r="L36" i="5"/>
  <c r="J36" i="5"/>
  <c r="I36" i="5"/>
  <c r="N35" i="5"/>
  <c r="L35" i="5"/>
  <c r="J35" i="5"/>
  <c r="I35" i="5"/>
  <c r="N34" i="5"/>
  <c r="L34" i="5"/>
  <c r="J34" i="5"/>
  <c r="I34" i="5"/>
  <c r="N33" i="5"/>
  <c r="L33" i="5"/>
  <c r="J33" i="5"/>
  <c r="I33" i="5"/>
  <c r="G33" i="5"/>
  <c r="N32" i="5"/>
  <c r="L32" i="5"/>
  <c r="J32" i="5"/>
  <c r="I32" i="5"/>
  <c r="G32" i="5"/>
  <c r="N31" i="5"/>
  <c r="L31" i="5"/>
  <c r="I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N27" i="5"/>
  <c r="L27" i="5"/>
  <c r="J27" i="5"/>
  <c r="I27" i="5"/>
  <c r="N26" i="5"/>
  <c r="L26" i="5"/>
  <c r="J26" i="5"/>
  <c r="I26" i="5"/>
  <c r="N25" i="5"/>
  <c r="L25" i="5"/>
  <c r="J25" i="5"/>
  <c r="I25" i="5"/>
  <c r="N24" i="5"/>
  <c r="L24" i="5"/>
  <c r="J24" i="5"/>
  <c r="I24" i="5"/>
  <c r="N23" i="5"/>
  <c r="L23" i="5"/>
  <c r="J23" i="5"/>
  <c r="I23" i="5"/>
  <c r="N22" i="5"/>
  <c r="L22" i="5"/>
  <c r="J22" i="5"/>
  <c r="I22" i="5"/>
  <c r="G22" i="5"/>
  <c r="N21" i="5"/>
  <c r="L21" i="5"/>
  <c r="J21" i="5"/>
  <c r="I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J87" i="4"/>
  <c r="I87" i="4"/>
  <c r="G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G77" i="4"/>
  <c r="N76" i="4"/>
  <c r="L76" i="4"/>
  <c r="J76" i="4"/>
  <c r="I76" i="4"/>
  <c r="G76" i="4"/>
  <c r="N75" i="4"/>
  <c r="L75" i="4"/>
  <c r="J75" i="4"/>
  <c r="I75" i="4"/>
  <c r="G75" i="4"/>
  <c r="N74" i="4"/>
  <c r="L74" i="4"/>
  <c r="J74" i="4"/>
  <c r="I74" i="4"/>
  <c r="G74" i="4"/>
  <c r="N73" i="4"/>
  <c r="L73" i="4"/>
  <c r="J73" i="4"/>
  <c r="I73" i="4"/>
  <c r="G73" i="4"/>
  <c r="N72" i="4"/>
  <c r="L72" i="4"/>
  <c r="J72" i="4"/>
  <c r="I72" i="4"/>
  <c r="G72" i="4"/>
  <c r="N71" i="4"/>
  <c r="L71" i="4"/>
  <c r="J71" i="4"/>
  <c r="I71" i="4"/>
  <c r="G71" i="4"/>
  <c r="N70" i="4"/>
  <c r="L70" i="4"/>
  <c r="J70" i="4"/>
  <c r="I70" i="4"/>
  <c r="G70" i="4"/>
  <c r="N69" i="4"/>
  <c r="L69" i="4"/>
  <c r="J69" i="4"/>
  <c r="I69" i="4"/>
  <c r="G69" i="4"/>
  <c r="N68" i="4"/>
  <c r="L68" i="4"/>
  <c r="J68" i="4"/>
  <c r="I68" i="4"/>
  <c r="G68" i="4"/>
  <c r="N67" i="4"/>
  <c r="L67" i="4"/>
  <c r="J67" i="4"/>
  <c r="I67" i="4"/>
  <c r="G67" i="4"/>
  <c r="N66" i="4"/>
  <c r="L66" i="4"/>
  <c r="J66" i="4"/>
  <c r="I66" i="4"/>
  <c r="G66" i="4"/>
  <c r="N65" i="4"/>
  <c r="L65" i="4"/>
  <c r="J65" i="4"/>
  <c r="I65" i="4"/>
  <c r="G65" i="4"/>
  <c r="N64" i="4"/>
  <c r="L64" i="4"/>
  <c r="J64" i="4"/>
  <c r="I64" i="4"/>
  <c r="G64" i="4"/>
  <c r="N63" i="4"/>
  <c r="L63" i="4"/>
  <c r="J63" i="4"/>
  <c r="I63" i="4"/>
  <c r="G63" i="4"/>
  <c r="N62" i="4"/>
  <c r="L62" i="4"/>
  <c r="J62" i="4"/>
  <c r="I62" i="4"/>
  <c r="G62" i="4"/>
  <c r="N61" i="4"/>
  <c r="L61" i="4"/>
  <c r="J61" i="4"/>
  <c r="I61" i="4"/>
  <c r="G61" i="4"/>
  <c r="N60" i="4"/>
  <c r="L60" i="4"/>
  <c r="J60" i="4"/>
  <c r="I60" i="4"/>
  <c r="G60" i="4"/>
  <c r="N59" i="4"/>
  <c r="L59" i="4"/>
  <c r="J59" i="4"/>
  <c r="I59" i="4"/>
  <c r="G59" i="4"/>
  <c r="N58" i="4"/>
  <c r="L58" i="4"/>
  <c r="J58" i="4"/>
  <c r="I58" i="4"/>
  <c r="G58" i="4"/>
  <c r="N57" i="4"/>
  <c r="L57" i="4"/>
  <c r="J57" i="4"/>
  <c r="I57" i="4"/>
  <c r="G57" i="4"/>
  <c r="N56" i="4"/>
  <c r="L56" i="4"/>
  <c r="J56" i="4"/>
  <c r="I56" i="4"/>
  <c r="G56" i="4"/>
  <c r="N55" i="4"/>
  <c r="L55" i="4"/>
  <c r="J55" i="4"/>
  <c r="I55" i="4"/>
  <c r="G55" i="4"/>
  <c r="N54" i="4"/>
  <c r="L54" i="4"/>
  <c r="J54" i="4"/>
  <c r="I54" i="4"/>
  <c r="G54" i="4"/>
  <c r="N53" i="4"/>
  <c r="L53" i="4"/>
  <c r="J53" i="4"/>
  <c r="I53" i="4"/>
  <c r="G53" i="4"/>
  <c r="N52" i="4"/>
  <c r="L52" i="4"/>
  <c r="J52" i="4"/>
  <c r="I52" i="4"/>
  <c r="G52" i="4"/>
  <c r="N51" i="4"/>
  <c r="L51" i="4"/>
  <c r="J51" i="4"/>
  <c r="I51" i="4"/>
  <c r="G51" i="4"/>
  <c r="N50" i="4"/>
  <c r="L50" i="4"/>
  <c r="J50" i="4"/>
  <c r="I50" i="4"/>
  <c r="G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G47" i="4"/>
  <c r="N46" i="4"/>
  <c r="L46" i="4"/>
  <c r="J46" i="4"/>
  <c r="I46" i="4"/>
  <c r="N45" i="4"/>
  <c r="L45" i="4"/>
  <c r="J45" i="4"/>
  <c r="I45" i="4"/>
  <c r="N44" i="4"/>
  <c r="L44" i="4"/>
  <c r="J44" i="4"/>
  <c r="I44" i="4"/>
  <c r="N43" i="4"/>
  <c r="L43" i="4"/>
  <c r="J43" i="4"/>
  <c r="I43" i="4"/>
  <c r="G43" i="4"/>
  <c r="N42" i="4"/>
  <c r="L42" i="4"/>
  <c r="J42" i="4"/>
  <c r="I42" i="4"/>
  <c r="N41" i="4"/>
  <c r="L41" i="4"/>
  <c r="J41" i="4"/>
  <c r="I41" i="4"/>
  <c r="N40" i="4"/>
  <c r="L40" i="4"/>
  <c r="J40" i="4"/>
  <c r="I40" i="4"/>
  <c r="N39" i="4"/>
  <c r="L39" i="4"/>
  <c r="J39" i="4"/>
  <c r="I39" i="4"/>
  <c r="G39" i="4"/>
  <c r="N38" i="4"/>
  <c r="L38" i="4"/>
  <c r="J38" i="4"/>
  <c r="I38" i="4"/>
  <c r="N37" i="4"/>
  <c r="L37" i="4"/>
  <c r="J37" i="4"/>
  <c r="I37" i="4"/>
  <c r="N36" i="4"/>
  <c r="L36" i="4"/>
  <c r="J36" i="4"/>
  <c r="I36" i="4"/>
  <c r="N35" i="4"/>
  <c r="L35" i="4"/>
  <c r="J35" i="4"/>
  <c r="I35" i="4"/>
  <c r="N34" i="4"/>
  <c r="J34" i="4"/>
  <c r="I34" i="4"/>
  <c r="N33" i="4"/>
  <c r="J33" i="4"/>
  <c r="I33" i="4"/>
  <c r="G33" i="4"/>
  <c r="N32" i="4"/>
  <c r="J32" i="4"/>
  <c r="I32" i="4"/>
  <c r="G32" i="4"/>
  <c r="N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N27" i="4"/>
  <c r="L27" i="4"/>
  <c r="J27" i="4"/>
  <c r="I27" i="4"/>
  <c r="N26" i="4"/>
  <c r="L26" i="4"/>
  <c r="J26" i="4"/>
  <c r="I26" i="4"/>
  <c r="N25" i="4"/>
  <c r="L25" i="4"/>
  <c r="J25" i="4"/>
  <c r="I25" i="4"/>
  <c r="N24" i="4"/>
  <c r="L24" i="4"/>
  <c r="J24" i="4"/>
  <c r="I24" i="4"/>
  <c r="G24" i="4"/>
  <c r="N23" i="4"/>
  <c r="L23" i="4"/>
  <c r="J23" i="4"/>
  <c r="I23" i="4"/>
  <c r="N22" i="4"/>
  <c r="L22" i="4"/>
  <c r="J22" i="4"/>
  <c r="I22" i="4"/>
  <c r="G22" i="4"/>
  <c r="N21" i="4"/>
  <c r="L21" i="4"/>
  <c r="J21" i="4"/>
  <c r="I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R47" i="5"/>
  <c r="Q47" i="5"/>
  <c r="S47" i="5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8" i="10"/>
  <c r="R88" i="10"/>
  <c r="Q88" i="10"/>
  <c r="S87" i="10"/>
  <c r="R87" i="10"/>
  <c r="Q87" i="10"/>
  <c r="S86" i="10"/>
  <c r="R86" i="10"/>
  <c r="Q86" i="10"/>
  <c r="S85" i="10"/>
  <c r="R85" i="10"/>
  <c r="Q85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78" i="10"/>
  <c r="R78" i="10"/>
  <c r="Q78" i="10"/>
  <c r="S77" i="10"/>
  <c r="R77" i="10"/>
  <c r="Q77" i="10"/>
  <c r="S76" i="10"/>
  <c r="R76" i="10"/>
  <c r="Q76" i="10"/>
  <c r="S75" i="10"/>
  <c r="R75" i="10"/>
  <c r="Q75" i="10"/>
  <c r="S74" i="10"/>
  <c r="R74" i="10"/>
  <c r="Q74" i="10"/>
  <c r="S73" i="10"/>
  <c r="R73" i="10"/>
  <c r="Q73" i="10"/>
  <c r="S72" i="10"/>
  <c r="R72" i="10"/>
  <c r="Q72" i="10"/>
  <c r="S71" i="10"/>
  <c r="R71" i="10"/>
  <c r="Q71" i="10"/>
  <c r="S70" i="10"/>
  <c r="R70" i="10"/>
  <c r="Q70" i="10"/>
  <c r="S69" i="10"/>
  <c r="R69" i="10"/>
  <c r="Q69" i="10"/>
  <c r="S68" i="10"/>
  <c r="R68" i="10"/>
  <c r="Q68" i="10"/>
  <c r="S67" i="10"/>
  <c r="R67" i="10"/>
  <c r="Q67" i="10"/>
  <c r="S66" i="10"/>
  <c r="R66" i="10"/>
  <c r="Q66" i="10"/>
  <c r="S65" i="10"/>
  <c r="R65" i="10"/>
  <c r="Q65" i="10"/>
  <c r="S64" i="10"/>
  <c r="R64" i="10"/>
  <c r="Q64" i="10"/>
  <c r="S63" i="10"/>
  <c r="R63" i="10"/>
  <c r="Q63" i="10"/>
  <c r="S62" i="10"/>
  <c r="R62" i="10"/>
  <c r="Q62" i="10"/>
  <c r="S61" i="10"/>
  <c r="R61" i="10"/>
  <c r="Q61" i="10"/>
  <c r="S60" i="10"/>
  <c r="R60" i="10"/>
  <c r="Q60" i="10"/>
  <c r="S59" i="10"/>
  <c r="R59" i="10"/>
  <c r="Q59" i="10"/>
  <c r="S58" i="10"/>
  <c r="R58" i="10"/>
  <c r="Q58" i="10"/>
  <c r="S57" i="10"/>
  <c r="R57" i="10"/>
  <c r="Q57" i="10"/>
  <c r="S56" i="10"/>
  <c r="R56" i="10"/>
  <c r="Q56" i="10"/>
  <c r="S55" i="10"/>
  <c r="R55" i="10"/>
  <c r="Q55" i="10"/>
  <c r="S54" i="10"/>
  <c r="R54" i="10"/>
  <c r="Q54" i="10"/>
  <c r="S53" i="10"/>
  <c r="R53" i="10"/>
  <c r="Q53" i="10"/>
  <c r="S52" i="10"/>
  <c r="R52" i="10"/>
  <c r="Q52" i="10"/>
  <c r="S51" i="10"/>
  <c r="R51" i="10"/>
  <c r="Q51" i="10"/>
  <c r="S49" i="10"/>
  <c r="R49" i="10"/>
  <c r="Q49" i="10"/>
  <c r="S48" i="10"/>
  <c r="R48" i="10"/>
  <c r="Q48" i="10"/>
  <c r="S47" i="10"/>
  <c r="R47" i="10"/>
  <c r="Q47" i="10"/>
  <c r="S29" i="10"/>
  <c r="S22" i="10"/>
  <c r="R106" i="9"/>
  <c r="R102" i="9"/>
  <c r="S101" i="9"/>
  <c r="Q96" i="9"/>
  <c r="S94" i="9"/>
  <c r="S91" i="9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R29" i="10"/>
  <c r="R22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7" i="9"/>
  <c r="R87" i="9"/>
  <c r="Q87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R87" i="8"/>
  <c r="S86" i="8"/>
  <c r="Q86" i="8"/>
  <c r="T85" i="8"/>
  <c r="S81" i="8"/>
  <c r="S80" i="8"/>
  <c r="R80" i="8"/>
  <c r="Q80" i="8"/>
  <c r="S78" i="8"/>
  <c r="Q78" i="8"/>
  <c r="S77" i="8"/>
  <c r="Q77" i="8"/>
  <c r="S76" i="8"/>
  <c r="Q76" i="8"/>
  <c r="S75" i="8"/>
  <c r="R75" i="8"/>
  <c r="Q75" i="8"/>
  <c r="S74" i="8"/>
  <c r="R74" i="8"/>
  <c r="Q74" i="8"/>
  <c r="T73" i="8"/>
  <c r="S72" i="8"/>
  <c r="R72" i="8"/>
  <c r="S71" i="8"/>
  <c r="R71" i="8"/>
  <c r="Q71" i="8"/>
  <c r="S70" i="8"/>
  <c r="Q70" i="8"/>
  <c r="S69" i="8"/>
  <c r="Q69" i="8"/>
  <c r="R68" i="8"/>
  <c r="S66" i="8"/>
  <c r="R66" i="8"/>
  <c r="Q66" i="8"/>
  <c r="R58" i="8"/>
  <c r="S57" i="8"/>
  <c r="Q57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78" i="9"/>
  <c r="R78" i="9"/>
  <c r="Q78" i="9"/>
  <c r="S77" i="9"/>
  <c r="R77" i="9"/>
  <c r="Q77" i="9"/>
  <c r="S76" i="9"/>
  <c r="R76" i="9"/>
  <c r="Q76" i="9"/>
  <c r="S75" i="9"/>
  <c r="R75" i="9"/>
  <c r="Q75" i="9"/>
  <c r="S74" i="9"/>
  <c r="R74" i="9"/>
  <c r="Q74" i="9"/>
  <c r="S73" i="9"/>
  <c r="R73" i="9"/>
  <c r="Q73" i="9"/>
  <c r="S72" i="9"/>
  <c r="R72" i="9"/>
  <c r="Q72" i="9"/>
  <c r="S71" i="9"/>
  <c r="R71" i="9"/>
  <c r="Q71" i="9"/>
  <c r="S70" i="9"/>
  <c r="R70" i="9"/>
  <c r="Q70" i="9"/>
  <c r="S69" i="9"/>
  <c r="R69" i="9"/>
  <c r="Q69" i="9"/>
  <c r="S68" i="9"/>
  <c r="R68" i="9"/>
  <c r="Q68" i="9"/>
  <c r="S67" i="9"/>
  <c r="R67" i="9"/>
  <c r="Q67" i="9"/>
  <c r="S66" i="9"/>
  <c r="R66" i="9"/>
  <c r="Q66" i="9"/>
  <c r="S65" i="9"/>
  <c r="R65" i="9"/>
  <c r="Q65" i="9"/>
  <c r="S64" i="9"/>
  <c r="R64" i="9"/>
  <c r="Q64" i="9"/>
  <c r="T63" i="9"/>
  <c r="S63" i="9"/>
  <c r="R63" i="9"/>
  <c r="Q63" i="9"/>
  <c r="S62" i="9"/>
  <c r="R62" i="9"/>
  <c r="Q62" i="9"/>
  <c r="S61" i="9"/>
  <c r="R61" i="9"/>
  <c r="Q61" i="9"/>
  <c r="S60" i="9"/>
  <c r="R60" i="9"/>
  <c r="Q60" i="9"/>
  <c r="S59" i="9"/>
  <c r="R59" i="9"/>
  <c r="Q59" i="9"/>
  <c r="S58" i="9"/>
  <c r="R58" i="9"/>
  <c r="Q58" i="9"/>
  <c r="T57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56" i="9"/>
  <c r="R56" i="9"/>
  <c r="Q56" i="9"/>
  <c r="S55" i="9"/>
  <c r="R55" i="9"/>
  <c r="Q55" i="9"/>
  <c r="S54" i="9"/>
  <c r="R54" i="9"/>
  <c r="Q54" i="9"/>
  <c r="S53" i="9"/>
  <c r="R53" i="9"/>
  <c r="Q53" i="9"/>
  <c r="S52" i="9"/>
  <c r="R52" i="9"/>
  <c r="Q52" i="9"/>
  <c r="S51" i="9"/>
  <c r="R51" i="9"/>
  <c r="Q51" i="9"/>
  <c r="S50" i="9"/>
  <c r="R50" i="9"/>
  <c r="Q50" i="9"/>
  <c r="S49" i="9"/>
  <c r="R49" i="9"/>
  <c r="Q49" i="9"/>
  <c r="S48" i="9"/>
  <c r="R48" i="9"/>
  <c r="Q48" i="9"/>
  <c r="S47" i="9"/>
  <c r="R47" i="9"/>
  <c r="Q47" i="9"/>
  <c r="R29" i="9"/>
  <c r="Q29" i="9"/>
  <c r="S22" i="9"/>
  <c r="R22" i="9"/>
  <c r="Q22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R78" i="8"/>
  <c r="R77" i="8"/>
  <c r="R76" i="8"/>
  <c r="Q72" i="8"/>
  <c r="T70" i="8"/>
  <c r="R70" i="8"/>
  <c r="R69" i="8"/>
  <c r="S68" i="8"/>
  <c r="Q68" i="8"/>
  <c r="S67" i="8"/>
  <c r="Q67" i="8"/>
  <c r="Q65" i="8"/>
  <c r="S64" i="8"/>
  <c r="R64" i="8"/>
  <c r="Q64" i="8"/>
  <c r="S63" i="8"/>
  <c r="R63" i="8"/>
  <c r="Q63" i="8"/>
  <c r="S62" i="8"/>
  <c r="R62" i="8"/>
  <c r="Q62" i="8"/>
  <c r="S61" i="8"/>
  <c r="R61" i="8"/>
  <c r="Q61" i="8"/>
  <c r="S60" i="8"/>
  <c r="R60" i="8"/>
  <c r="Q60" i="8"/>
  <c r="S59" i="8"/>
  <c r="R59" i="8"/>
  <c r="Q59" i="8"/>
  <c r="S58" i="8"/>
  <c r="Q58" i="8"/>
  <c r="R57" i="8"/>
  <c r="Q106" i="7"/>
  <c r="R105" i="7"/>
  <c r="Q104" i="7"/>
  <c r="S103" i="7"/>
  <c r="Q102" i="7"/>
  <c r="S101" i="7"/>
  <c r="Q100" i="7"/>
  <c r="S99" i="7"/>
  <c r="Q99" i="7"/>
  <c r="Q98" i="7"/>
  <c r="R97" i="7"/>
  <c r="R99" i="4"/>
  <c r="Q98" i="4"/>
  <c r="S94" i="4"/>
  <c r="R93" i="4"/>
  <c r="Q92" i="4"/>
  <c r="S91" i="4"/>
  <c r="Q90" i="4"/>
  <c r="Q88" i="4"/>
  <c r="R87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56" i="8"/>
  <c r="R56" i="8"/>
  <c r="Q56" i="8"/>
  <c r="S55" i="8"/>
  <c r="R55" i="8"/>
  <c r="Q55" i="8"/>
  <c r="S54" i="8"/>
  <c r="R54" i="8"/>
  <c r="Q54" i="8"/>
  <c r="S53" i="8"/>
  <c r="R53" i="8"/>
  <c r="Q53" i="8"/>
  <c r="S52" i="8"/>
  <c r="R52" i="8"/>
  <c r="Q52" i="8"/>
  <c r="S51" i="8"/>
  <c r="R51" i="8"/>
  <c r="Q51" i="8"/>
  <c r="S50" i="8"/>
  <c r="R50" i="8"/>
  <c r="Q50" i="8"/>
  <c r="S49" i="8"/>
  <c r="R49" i="8"/>
  <c r="Q49" i="8"/>
  <c r="S48" i="8"/>
  <c r="R48" i="8"/>
  <c r="Q48" i="8"/>
  <c r="S47" i="8"/>
  <c r="R47" i="8"/>
  <c r="Q47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S81" i="5"/>
  <c r="R81" i="5"/>
  <c r="Q81" i="5"/>
  <c r="S80" i="5"/>
  <c r="R80" i="5"/>
  <c r="Q80" i="5"/>
  <c r="S79" i="5"/>
  <c r="R79" i="5"/>
  <c r="Q79" i="5"/>
  <c r="S78" i="5"/>
  <c r="R78" i="5"/>
  <c r="Q78" i="5"/>
  <c r="S77" i="5"/>
  <c r="R77" i="5"/>
  <c r="Q77" i="5"/>
  <c r="S76" i="5"/>
  <c r="R76" i="5"/>
  <c r="Q76" i="5"/>
  <c r="S75" i="5"/>
  <c r="R75" i="5"/>
  <c r="Q75" i="5"/>
  <c r="S74" i="5"/>
  <c r="R74" i="5"/>
  <c r="Q74" i="5"/>
  <c r="S73" i="5"/>
  <c r="R73" i="5"/>
  <c r="Q73" i="5"/>
  <c r="S72" i="5"/>
  <c r="R72" i="5"/>
  <c r="Q72" i="5"/>
  <c r="S71" i="5"/>
  <c r="R71" i="5"/>
  <c r="Q71" i="5"/>
  <c r="S69" i="5"/>
  <c r="Q69" i="5"/>
  <c r="S68" i="5"/>
  <c r="Q68" i="5"/>
  <c r="R67" i="5"/>
  <c r="Q67" i="5"/>
  <c r="S65" i="5"/>
  <c r="Q65" i="5"/>
  <c r="S64" i="5"/>
  <c r="R64" i="5"/>
  <c r="S63" i="5"/>
  <c r="Q63" i="5"/>
  <c r="S62" i="5"/>
  <c r="R62" i="5"/>
  <c r="Q62" i="5"/>
  <c r="S61" i="5"/>
  <c r="Q61" i="5"/>
  <c r="S60" i="5"/>
  <c r="Q60" i="5"/>
  <c r="S59" i="5"/>
  <c r="Q59" i="5"/>
  <c r="S57" i="5"/>
  <c r="Q57" i="5"/>
  <c r="S56" i="5"/>
  <c r="Q56" i="5"/>
  <c r="S55" i="5"/>
  <c r="Q55" i="5"/>
  <c r="R53" i="5"/>
  <c r="S52" i="5"/>
  <c r="R52" i="5"/>
  <c r="R50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6" i="6"/>
  <c r="R6" i="6"/>
  <c r="S5" i="6"/>
  <c r="Q5" i="6"/>
  <c r="S4" i="6"/>
  <c r="Q4" i="6"/>
  <c r="S43" i="5"/>
  <c r="Q43" i="5"/>
  <c r="Q30" i="8"/>
  <c r="S29" i="8"/>
  <c r="R29" i="8"/>
  <c r="Q29" i="8"/>
  <c r="S22" i="8"/>
  <c r="R22" i="8"/>
  <c r="Q22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7" i="7"/>
  <c r="R87" i="7"/>
  <c r="Q87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78" i="7"/>
  <c r="R78" i="7"/>
  <c r="Q78" i="7"/>
  <c r="S77" i="7"/>
  <c r="R77" i="7"/>
  <c r="Q77" i="7"/>
  <c r="S76" i="7"/>
  <c r="R76" i="7"/>
  <c r="Q76" i="7"/>
  <c r="S75" i="7"/>
  <c r="R75" i="7"/>
  <c r="Q75" i="7"/>
  <c r="S74" i="7"/>
  <c r="R74" i="7"/>
  <c r="Q74" i="7"/>
  <c r="S73" i="7"/>
  <c r="R73" i="7"/>
  <c r="Q73" i="7"/>
  <c r="S72" i="7"/>
  <c r="R72" i="7"/>
  <c r="Q72" i="7"/>
  <c r="S71" i="7"/>
  <c r="R71" i="7"/>
  <c r="Q71" i="7"/>
  <c r="S70" i="7"/>
  <c r="R70" i="7"/>
  <c r="Q70" i="7"/>
  <c r="S69" i="7"/>
  <c r="R69" i="7"/>
  <c r="Q69" i="7"/>
  <c r="S68" i="7"/>
  <c r="R68" i="7"/>
  <c r="Q68" i="7"/>
  <c r="S67" i="7"/>
  <c r="R67" i="7"/>
  <c r="Q67" i="7"/>
  <c r="S66" i="7"/>
  <c r="R66" i="7"/>
  <c r="Q66" i="7"/>
  <c r="S65" i="7"/>
  <c r="R65" i="7"/>
  <c r="Q65" i="7"/>
  <c r="Q64" i="7"/>
  <c r="S63" i="7"/>
  <c r="R63" i="7"/>
  <c r="Q63" i="7"/>
  <c r="S62" i="7"/>
  <c r="R62" i="7"/>
  <c r="Q62" i="7"/>
  <c r="S61" i="7"/>
  <c r="R61" i="7"/>
  <c r="Q61" i="7"/>
  <c r="S60" i="7"/>
  <c r="R60" i="7"/>
  <c r="Q60" i="7"/>
  <c r="S59" i="7"/>
  <c r="R59" i="7"/>
  <c r="Q59" i="7"/>
  <c r="S58" i="7"/>
  <c r="R58" i="7"/>
  <c r="Q58" i="7"/>
  <c r="S57" i="7"/>
  <c r="R57" i="7"/>
  <c r="Q57" i="7"/>
  <c r="S56" i="7"/>
  <c r="R56" i="7"/>
  <c r="Q56" i="7"/>
  <c r="S55" i="7"/>
  <c r="R55" i="7"/>
  <c r="Q55" i="7"/>
  <c r="S54" i="7"/>
  <c r="R54" i="7"/>
  <c r="Q54" i="7"/>
  <c r="S53" i="7"/>
  <c r="R53" i="7"/>
  <c r="Q53" i="7"/>
  <c r="S52" i="7"/>
  <c r="R52" i="7"/>
  <c r="Q52" i="7"/>
  <c r="S51" i="7"/>
  <c r="R51" i="7"/>
  <c r="Q51" i="7"/>
  <c r="S50" i="7"/>
  <c r="R50" i="7"/>
  <c r="Q50" i="7"/>
  <c r="S49" i="7"/>
  <c r="R49" i="7"/>
  <c r="Q49" i="7"/>
  <c r="S48" i="7"/>
  <c r="R48" i="7"/>
  <c r="Q48" i="7"/>
  <c r="S47" i="7"/>
  <c r="R47" i="7"/>
  <c r="Q47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7" i="6"/>
  <c r="R87" i="6"/>
  <c r="Q87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S81" i="6"/>
  <c r="R81" i="6"/>
  <c r="Q81" i="6"/>
  <c r="S80" i="6"/>
  <c r="R80" i="6"/>
  <c r="Q80" i="6"/>
  <c r="S79" i="6"/>
  <c r="R79" i="6"/>
  <c r="Q79" i="6"/>
  <c r="S78" i="6"/>
  <c r="R78" i="6"/>
  <c r="Q78" i="6"/>
  <c r="S77" i="6"/>
  <c r="R77" i="6"/>
  <c r="Q77" i="6"/>
  <c r="S76" i="6"/>
  <c r="R76" i="6"/>
  <c r="Q76" i="6"/>
  <c r="S75" i="6"/>
  <c r="R75" i="6"/>
  <c r="Q75" i="6"/>
  <c r="S74" i="6"/>
  <c r="R74" i="6"/>
  <c r="Q74" i="6"/>
  <c r="S73" i="6"/>
  <c r="R73" i="6"/>
  <c r="Q73" i="6"/>
  <c r="T72" i="6"/>
  <c r="S71" i="6"/>
  <c r="R71" i="6"/>
  <c r="Q71" i="6"/>
  <c r="S70" i="6"/>
  <c r="R70" i="6"/>
  <c r="Q70" i="6"/>
  <c r="S69" i="6"/>
  <c r="R69" i="6"/>
  <c r="Q69" i="6"/>
  <c r="S68" i="6"/>
  <c r="R68" i="6"/>
  <c r="Q68" i="6"/>
  <c r="S67" i="6"/>
  <c r="R67" i="6"/>
  <c r="Q67" i="6"/>
  <c r="S66" i="6"/>
  <c r="R66" i="6"/>
  <c r="Q66" i="6"/>
  <c r="S65" i="6"/>
  <c r="R65" i="6"/>
  <c r="Q65" i="6"/>
  <c r="S64" i="6"/>
  <c r="R64" i="6"/>
  <c r="Q64" i="6"/>
  <c r="S63" i="6"/>
  <c r="R63" i="6"/>
  <c r="Q63" i="6"/>
  <c r="S62" i="6"/>
  <c r="R62" i="6"/>
  <c r="Q62" i="6"/>
  <c r="S61" i="6"/>
  <c r="R61" i="6"/>
  <c r="Q61" i="6"/>
  <c r="S60" i="6"/>
  <c r="R60" i="6"/>
  <c r="Q60" i="6"/>
  <c r="S59" i="6"/>
  <c r="R59" i="6"/>
  <c r="Q59" i="6"/>
  <c r="S58" i="6"/>
  <c r="R58" i="6"/>
  <c r="Q58" i="6"/>
  <c r="S57" i="6"/>
  <c r="R57" i="6"/>
  <c r="Q57" i="6"/>
  <c r="S56" i="6"/>
  <c r="R56" i="6"/>
  <c r="Q56" i="6"/>
  <c r="S55" i="6"/>
  <c r="R55" i="6"/>
  <c r="Q55" i="6"/>
  <c r="S54" i="6"/>
  <c r="R54" i="6"/>
  <c r="Q54" i="6"/>
  <c r="S53" i="6"/>
  <c r="R53" i="6"/>
  <c r="Q53" i="6"/>
  <c r="S52" i="6"/>
  <c r="R52" i="6"/>
  <c r="Q52" i="6"/>
  <c r="S51" i="6"/>
  <c r="R51" i="6"/>
  <c r="Q51" i="6"/>
  <c r="S50" i="6"/>
  <c r="R50" i="6"/>
  <c r="Q50" i="6"/>
  <c r="S49" i="6"/>
  <c r="R49" i="6"/>
  <c r="Q49" i="6"/>
  <c r="S48" i="6"/>
  <c r="R48" i="6"/>
  <c r="Q48" i="6"/>
  <c r="S47" i="6"/>
  <c r="R47" i="6"/>
  <c r="Q47" i="6"/>
  <c r="S87" i="5"/>
  <c r="R87" i="5"/>
  <c r="Q87" i="5"/>
  <c r="S86" i="5"/>
  <c r="R86" i="5"/>
  <c r="Q86" i="5"/>
  <c r="S85" i="5"/>
  <c r="R85" i="5"/>
  <c r="Q85" i="5"/>
  <c r="T83" i="5"/>
  <c r="S70" i="5"/>
  <c r="R70" i="5"/>
  <c r="Q70" i="5"/>
  <c r="R69" i="5"/>
  <c r="R68" i="5"/>
  <c r="S67" i="5"/>
  <c r="Q66" i="5"/>
  <c r="R65" i="5"/>
  <c r="Q64" i="5"/>
  <c r="R63" i="5"/>
  <c r="R61" i="5"/>
  <c r="R60" i="5"/>
  <c r="R59" i="5"/>
  <c r="Q58" i="5"/>
  <c r="R57" i="5"/>
  <c r="R56" i="5"/>
  <c r="R55" i="5"/>
  <c r="Q54" i="5"/>
  <c r="S53" i="5"/>
  <c r="Q53" i="5"/>
  <c r="Q52" i="5"/>
  <c r="S51" i="5"/>
  <c r="Q51" i="5"/>
  <c r="S50" i="5"/>
  <c r="Q50" i="5"/>
  <c r="T89" i="4"/>
  <c r="Q6" i="6"/>
  <c r="R5" i="6"/>
  <c r="R4" i="6"/>
  <c r="R43" i="5"/>
  <c r="S33" i="6"/>
  <c r="R33" i="6"/>
  <c r="Q33" i="6"/>
  <c r="S30" i="6"/>
  <c r="R30" i="6"/>
  <c r="Q30" i="6"/>
  <c r="S29" i="6"/>
  <c r="R29" i="6"/>
  <c r="Q29" i="6"/>
  <c r="S22" i="6"/>
  <c r="R22" i="6"/>
  <c r="Q22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S39" i="5"/>
  <c r="R39" i="5"/>
  <c r="Q39" i="5"/>
  <c r="S29" i="5"/>
  <c r="R29" i="5"/>
  <c r="Q29" i="5"/>
  <c r="S22" i="5"/>
  <c r="R22" i="5"/>
  <c r="Q22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S84" i="4"/>
  <c r="R84" i="4"/>
  <c r="Q84" i="4"/>
  <c r="S83" i="4"/>
  <c r="R83" i="4"/>
  <c r="Q83" i="4"/>
  <c r="S82" i="4"/>
  <c r="R82" i="4"/>
  <c r="Q82" i="4"/>
  <c r="S81" i="4"/>
  <c r="R81" i="4"/>
  <c r="Q81" i="4"/>
  <c r="S80" i="4"/>
  <c r="R80" i="4"/>
  <c r="Q80" i="4"/>
  <c r="S79" i="4"/>
  <c r="R79" i="4"/>
  <c r="Q79" i="4"/>
  <c r="S78" i="4"/>
  <c r="R78" i="4"/>
  <c r="Q78" i="4"/>
  <c r="S77" i="4"/>
  <c r="R77" i="4"/>
  <c r="Q77" i="4"/>
  <c r="S76" i="4"/>
  <c r="R76" i="4"/>
  <c r="Q76" i="4"/>
  <c r="S75" i="4"/>
  <c r="R75" i="4"/>
  <c r="Q75" i="4"/>
  <c r="S74" i="4"/>
  <c r="R74" i="4"/>
  <c r="Q74" i="4"/>
  <c r="S73" i="4"/>
  <c r="R73" i="4"/>
  <c r="Q73" i="4"/>
  <c r="S72" i="4"/>
  <c r="R72" i="4"/>
  <c r="Q72" i="4"/>
  <c r="S71" i="4"/>
  <c r="R71" i="4"/>
  <c r="Q71" i="4"/>
  <c r="S70" i="4"/>
  <c r="R70" i="4"/>
  <c r="Q70" i="4"/>
  <c r="S69" i="4"/>
  <c r="R69" i="4"/>
  <c r="Q69" i="4"/>
  <c r="S68" i="4"/>
  <c r="R68" i="4"/>
  <c r="Q68" i="4"/>
  <c r="S67" i="4"/>
  <c r="R67" i="4"/>
  <c r="Q67" i="4"/>
  <c r="S66" i="4"/>
  <c r="R66" i="4"/>
  <c r="Q66" i="4"/>
  <c r="S65" i="4"/>
  <c r="R65" i="4"/>
  <c r="Q65" i="4"/>
  <c r="Q29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63" i="4"/>
  <c r="R63" i="4"/>
  <c r="Q63" i="4"/>
  <c r="S62" i="4"/>
  <c r="R62" i="4"/>
  <c r="Q62" i="4"/>
  <c r="S61" i="4"/>
  <c r="R61" i="4"/>
  <c r="Q61" i="4"/>
  <c r="S60" i="4"/>
  <c r="R60" i="4"/>
  <c r="Q60" i="4"/>
  <c r="S59" i="4"/>
  <c r="R59" i="4"/>
  <c r="Q59" i="4"/>
  <c r="S58" i="4"/>
  <c r="R58" i="4"/>
  <c r="Q58" i="4"/>
  <c r="S57" i="4"/>
  <c r="R57" i="4"/>
  <c r="Q57" i="4"/>
  <c r="S56" i="4"/>
  <c r="R56" i="4"/>
  <c r="Q56" i="4"/>
  <c r="S55" i="4"/>
  <c r="R55" i="4"/>
  <c r="Q55" i="4"/>
  <c r="S54" i="4"/>
  <c r="R54" i="4"/>
  <c r="Q54" i="4"/>
  <c r="S53" i="4"/>
  <c r="R53" i="4"/>
  <c r="Q53" i="4"/>
  <c r="S52" i="4"/>
  <c r="R52" i="4"/>
  <c r="Q52" i="4"/>
  <c r="S51" i="4"/>
  <c r="R51" i="4"/>
  <c r="Q51" i="4"/>
  <c r="R50" i="4"/>
  <c r="Q50" i="4"/>
  <c r="S49" i="4"/>
  <c r="R49" i="4"/>
  <c r="Q49" i="4"/>
  <c r="S48" i="4"/>
  <c r="R48" i="4"/>
  <c r="Q48" i="4"/>
  <c r="S47" i="4"/>
  <c r="R47" i="4"/>
  <c r="Q47" i="4"/>
  <c r="S43" i="4"/>
  <c r="R43" i="4"/>
  <c r="Q43" i="4"/>
  <c r="S39" i="4"/>
  <c r="R39" i="4"/>
  <c r="Q39" i="4"/>
  <c r="S22" i="4"/>
  <c r="R22" i="4"/>
  <c r="Q22" i="4"/>
  <c r="S10" i="4"/>
  <c r="R10" i="4"/>
  <c r="Q10" i="4"/>
  <c r="Q22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0" i="10"/>
  <c r="U89" i="10"/>
  <c r="U88" i="10"/>
  <c r="U87" i="10"/>
  <c r="U86" i="10"/>
  <c r="U85" i="10"/>
  <c r="U84" i="10"/>
  <c r="U83" i="10"/>
  <c r="U82" i="10"/>
  <c r="U81" i="10"/>
  <c r="U80" i="10"/>
  <c r="U79" i="10"/>
  <c r="U78" i="10"/>
  <c r="U77" i="10"/>
  <c r="U76" i="10"/>
  <c r="U75" i="10"/>
  <c r="U74" i="10"/>
  <c r="U73" i="10"/>
  <c r="U72" i="10"/>
  <c r="U71" i="10"/>
  <c r="U70" i="10"/>
  <c r="U69" i="10"/>
  <c r="U68" i="10"/>
  <c r="U67" i="10"/>
  <c r="U66" i="10"/>
  <c r="U65" i="10"/>
  <c r="U64" i="10"/>
  <c r="U63" i="10"/>
  <c r="U62" i="10"/>
  <c r="U61" i="10"/>
  <c r="U60" i="10"/>
  <c r="U59" i="10"/>
  <c r="U58" i="10"/>
  <c r="U57" i="10"/>
  <c r="U56" i="10"/>
  <c r="U55" i="10"/>
  <c r="U54" i="10"/>
  <c r="U53" i="10"/>
  <c r="U52" i="10"/>
  <c r="U51" i="10"/>
  <c r="U96" i="9"/>
  <c r="U104" i="9"/>
  <c r="U95" i="9"/>
  <c r="U94" i="8"/>
  <c r="T89" i="9"/>
  <c r="U70" i="8"/>
  <c r="T102" i="4"/>
  <c r="T96" i="4"/>
  <c r="U73" i="9"/>
  <c r="U65" i="9"/>
  <c r="U63" i="9"/>
  <c r="U104" i="8"/>
  <c r="U101" i="8"/>
  <c r="U99" i="8"/>
  <c r="U93" i="8"/>
  <c r="U89" i="8"/>
  <c r="T67" i="8"/>
  <c r="U67" i="8"/>
  <c r="T98" i="4"/>
  <c r="T90" i="4"/>
  <c r="U101" i="5"/>
  <c r="U100" i="5"/>
  <c r="U98" i="5"/>
  <c r="U97" i="5"/>
  <c r="U96" i="5"/>
  <c r="U94" i="5"/>
  <c r="U83" i="5"/>
  <c r="U70" i="6"/>
  <c r="U65" i="6"/>
  <c r="U62" i="6"/>
  <c r="U58" i="6"/>
  <c r="U56" i="6"/>
  <c r="U52" i="6"/>
  <c r="T51" i="5"/>
  <c r="U51" i="5"/>
  <c r="U95" i="5"/>
  <c r="U92" i="5"/>
  <c r="U89" i="5"/>
  <c r="U97" i="8"/>
  <c r="U73" i="8"/>
  <c r="U3" i="8"/>
  <c r="U57" i="9"/>
  <c r="U85" i="8"/>
  <c r="U72" i="6"/>
  <c r="U99" i="5"/>
  <c r="U88" i="5"/>
  <c r="U91" i="4"/>
  <c r="U89" i="4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T89" i="10"/>
  <c r="T88" i="10"/>
  <c r="T87" i="10"/>
  <c r="T86" i="10"/>
  <c r="T85" i="10"/>
  <c r="T84" i="10"/>
  <c r="T83" i="10"/>
  <c r="T82" i="10"/>
  <c r="T81" i="10"/>
  <c r="T80" i="10"/>
  <c r="T79" i="10"/>
  <c r="T78" i="10"/>
  <c r="T77" i="10"/>
  <c r="T76" i="10"/>
  <c r="T75" i="10"/>
  <c r="T74" i="10"/>
  <c r="T73" i="10"/>
  <c r="T72" i="10"/>
  <c r="T71" i="10"/>
  <c r="T70" i="10"/>
  <c r="T69" i="10"/>
  <c r="T73" i="9"/>
  <c r="T65" i="9"/>
  <c r="T83" i="8"/>
  <c r="T72" i="8"/>
  <c r="T69" i="4"/>
  <c r="T67" i="4"/>
  <c r="T104" i="8"/>
  <c r="T90" i="8"/>
  <c r="T56" i="4"/>
  <c r="T68" i="10"/>
  <c r="T67" i="10"/>
  <c r="T66" i="10"/>
  <c r="T65" i="10"/>
  <c r="T64" i="10"/>
  <c r="T63" i="10"/>
  <c r="T62" i="10"/>
  <c r="T61" i="10"/>
  <c r="T60" i="10"/>
  <c r="T59" i="10"/>
  <c r="T58" i="10"/>
  <c r="T57" i="10"/>
  <c r="T56" i="10"/>
  <c r="T55" i="10"/>
  <c r="T54" i="10"/>
  <c r="T53" i="10"/>
  <c r="T52" i="10"/>
  <c r="T51" i="10"/>
  <c r="T49" i="10"/>
  <c r="T48" i="10"/>
  <c r="T47" i="10"/>
  <c r="T105" i="9"/>
  <c r="T100" i="9"/>
  <c r="T92" i="9"/>
  <c r="T10" i="10"/>
  <c r="T9" i="10"/>
  <c r="T8" i="10"/>
  <c r="T7" i="10"/>
  <c r="T6" i="10"/>
  <c r="T5" i="10"/>
  <c r="T4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T88" i="9"/>
  <c r="T87" i="9"/>
  <c r="T86" i="9"/>
  <c r="T85" i="9"/>
  <c r="T84" i="9"/>
  <c r="T83" i="9"/>
  <c r="T82" i="9"/>
  <c r="T87" i="8"/>
  <c r="T86" i="8"/>
  <c r="T80" i="8"/>
  <c r="T78" i="8"/>
  <c r="T77" i="8"/>
  <c r="T76" i="8"/>
  <c r="T75" i="8"/>
  <c r="T74" i="8"/>
  <c r="T71" i="8"/>
  <c r="T69" i="8"/>
  <c r="T68" i="8"/>
  <c r="T66" i="8"/>
  <c r="T58" i="8"/>
  <c r="T57" i="8"/>
  <c r="T103" i="7"/>
  <c r="T101" i="7"/>
  <c r="T104" i="4"/>
  <c r="T103" i="4"/>
  <c r="T95" i="4"/>
  <c r="T81" i="9"/>
  <c r="T80" i="9"/>
  <c r="T79" i="9"/>
  <c r="T78" i="9"/>
  <c r="T77" i="9"/>
  <c r="T76" i="9"/>
  <c r="T75" i="9"/>
  <c r="T74" i="9"/>
  <c r="T72" i="9"/>
  <c r="T71" i="9"/>
  <c r="T70" i="9"/>
  <c r="T69" i="9"/>
  <c r="T68" i="9"/>
  <c r="T67" i="9"/>
  <c r="T66" i="9"/>
  <c r="T64" i="9"/>
  <c r="T82" i="8"/>
  <c r="T79" i="8"/>
  <c r="T90" i="5"/>
  <c r="T84" i="4"/>
  <c r="T77" i="4"/>
  <c r="T93" i="9"/>
  <c r="T60" i="4"/>
  <c r="T59" i="4"/>
  <c r="T58" i="4"/>
  <c r="T57" i="4"/>
  <c r="T10" i="4"/>
  <c r="T62" i="9"/>
  <c r="T61" i="9"/>
  <c r="T60" i="9"/>
  <c r="T59" i="9"/>
  <c r="T58" i="9"/>
  <c r="T3" i="9"/>
  <c r="T106" i="8"/>
  <c r="T105" i="8"/>
  <c r="T103" i="8"/>
  <c r="T102" i="8"/>
  <c r="T98" i="8"/>
  <c r="T96" i="8"/>
  <c r="T56" i="9"/>
  <c r="T55" i="9"/>
  <c r="T54" i="9"/>
  <c r="T53" i="9"/>
  <c r="T52" i="9"/>
  <c r="T51" i="9"/>
  <c r="T49" i="9"/>
  <c r="T47" i="9"/>
  <c r="T84" i="8"/>
  <c r="T81" i="8"/>
  <c r="T7" i="5"/>
  <c r="T81" i="4"/>
  <c r="T80" i="4"/>
  <c r="T79" i="4"/>
  <c r="T66" i="4"/>
  <c r="T63" i="4"/>
  <c r="T62" i="4"/>
  <c r="T55" i="4"/>
  <c r="T54" i="4"/>
  <c r="T100" i="8"/>
  <c r="T65" i="8"/>
  <c r="T64" i="8"/>
  <c r="T63" i="8"/>
  <c r="T62" i="8"/>
  <c r="T61" i="8"/>
  <c r="T60" i="8"/>
  <c r="T59" i="8"/>
  <c r="T106" i="7"/>
  <c r="T105" i="7"/>
  <c r="T98" i="7"/>
  <c r="T97" i="7"/>
  <c r="T105" i="4"/>
  <c r="T100" i="4"/>
  <c r="T99" i="4"/>
  <c r="T97" i="4"/>
  <c r="T10" i="9"/>
  <c r="T9" i="9"/>
  <c r="T8" i="9"/>
  <c r="T7" i="9"/>
  <c r="T6" i="9"/>
  <c r="T5" i="9"/>
  <c r="T4" i="9"/>
  <c r="T56" i="8"/>
  <c r="T55" i="8"/>
  <c r="T54" i="8"/>
  <c r="T53" i="8"/>
  <c r="T52" i="8"/>
  <c r="T51" i="8"/>
  <c r="T50" i="8"/>
  <c r="T48" i="8"/>
  <c r="T47" i="8"/>
  <c r="T106" i="5"/>
  <c r="T105" i="5"/>
  <c r="T104" i="5"/>
  <c r="T103" i="5"/>
  <c r="T102" i="5"/>
  <c r="T100" i="5"/>
  <c r="T101" i="4"/>
  <c r="T94" i="4"/>
  <c r="T93" i="4"/>
  <c r="T92" i="4"/>
  <c r="T88" i="8"/>
  <c r="T29" i="8"/>
  <c r="T69" i="6"/>
  <c r="T61" i="6"/>
  <c r="T54" i="6"/>
  <c r="T51" i="6"/>
  <c r="T87" i="5"/>
  <c r="T70" i="5"/>
  <c r="T66" i="5"/>
  <c r="T55" i="5"/>
  <c r="T52" i="5"/>
  <c r="T4" i="6"/>
  <c r="T9" i="6"/>
  <c r="T8" i="6"/>
  <c r="T3" i="6"/>
  <c r="T94" i="5"/>
  <c r="T86" i="4"/>
  <c r="T85" i="4"/>
  <c r="T83" i="4"/>
  <c r="T82" i="4"/>
  <c r="T76" i="4"/>
  <c r="T47" i="4"/>
  <c r="T99" i="5"/>
  <c r="T98" i="5"/>
  <c r="T97" i="5"/>
  <c r="T96" i="5"/>
  <c r="T95" i="5"/>
  <c r="T92" i="5"/>
  <c r="T91" i="5"/>
  <c r="T89" i="5"/>
  <c r="T88" i="5"/>
  <c r="T84" i="5"/>
  <c r="T82" i="5"/>
  <c r="T81" i="5"/>
  <c r="T80" i="5"/>
  <c r="T79" i="5"/>
  <c r="T78" i="5"/>
  <c r="T77" i="5"/>
  <c r="T76" i="5"/>
  <c r="T75" i="5"/>
  <c r="T74" i="5"/>
  <c r="T73" i="5"/>
  <c r="T72" i="5"/>
  <c r="T71" i="5"/>
  <c r="T69" i="5"/>
  <c r="T68" i="5"/>
  <c r="T67" i="5"/>
  <c r="T64" i="5"/>
  <c r="T62" i="5"/>
  <c r="T60" i="5"/>
  <c r="T57" i="5"/>
  <c r="T56" i="5"/>
  <c r="T53" i="5"/>
  <c r="T49" i="5"/>
  <c r="T70" i="6"/>
  <c r="T65" i="6"/>
  <c r="T62" i="6"/>
  <c r="T58" i="6"/>
  <c r="T56" i="6"/>
  <c r="T52" i="6"/>
  <c r="T65" i="5"/>
  <c r="T6" i="6"/>
  <c r="T8" i="5"/>
  <c r="T6" i="5"/>
  <c r="T5" i="5"/>
  <c r="T71" i="4"/>
  <c r="T53" i="4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68" i="7"/>
  <c r="T67" i="7"/>
  <c r="T66" i="7"/>
  <c r="T65" i="7"/>
  <c r="T63" i="7"/>
  <c r="T62" i="7"/>
  <c r="T61" i="7"/>
  <c r="T60" i="7"/>
  <c r="T59" i="7"/>
  <c r="T58" i="7"/>
  <c r="T57" i="7"/>
  <c r="T56" i="7"/>
  <c r="T55" i="7"/>
  <c r="T54" i="7"/>
  <c r="T53" i="7"/>
  <c r="T52" i="7"/>
  <c r="T51" i="7"/>
  <c r="T50" i="7"/>
  <c r="T49" i="7"/>
  <c r="T96" i="6"/>
  <c r="T95" i="6"/>
  <c r="T94" i="6"/>
  <c r="T92" i="6"/>
  <c r="T91" i="6"/>
  <c r="T90" i="6"/>
  <c r="T89" i="6"/>
  <c r="T88" i="6"/>
  <c r="T86" i="6"/>
  <c r="T85" i="6"/>
  <c r="T84" i="6"/>
  <c r="T83" i="6"/>
  <c r="T82" i="6"/>
  <c r="T80" i="6"/>
  <c r="T79" i="6"/>
  <c r="T78" i="6"/>
  <c r="T77" i="6"/>
  <c r="T76" i="6"/>
  <c r="T74" i="6"/>
  <c r="T73" i="6"/>
  <c r="T68" i="6"/>
  <c r="T67" i="6"/>
  <c r="T64" i="6"/>
  <c r="T59" i="6"/>
  <c r="T55" i="6"/>
  <c r="T86" i="5"/>
  <c r="T63" i="5"/>
  <c r="T61" i="5"/>
  <c r="T58" i="5"/>
  <c r="T54" i="5"/>
  <c r="T10" i="6"/>
  <c r="T93" i="5"/>
  <c r="T4" i="5"/>
  <c r="T78" i="4"/>
  <c r="T70" i="4"/>
  <c r="T68" i="4"/>
  <c r="T103" i="9"/>
  <c r="T61" i="4"/>
  <c r="T52" i="4"/>
  <c r="T101" i="9"/>
  <c r="T106" i="6"/>
  <c r="T105" i="6"/>
  <c r="T104" i="6"/>
  <c r="T103" i="6"/>
  <c r="T102" i="6"/>
  <c r="T101" i="6"/>
  <c r="T100" i="6"/>
  <c r="T99" i="6"/>
  <c r="T98" i="6"/>
  <c r="T97" i="6"/>
  <c r="T93" i="6"/>
  <c r="T87" i="6"/>
  <c r="T81" i="6"/>
  <c r="T75" i="6"/>
  <c r="T71" i="6"/>
  <c r="T66" i="6"/>
  <c r="T63" i="6"/>
  <c r="T60" i="6"/>
  <c r="T57" i="6"/>
  <c r="T53" i="6"/>
  <c r="T48" i="6"/>
  <c r="T85" i="5"/>
  <c r="T59" i="5"/>
  <c r="T5" i="6"/>
  <c r="T10" i="5"/>
  <c r="T9" i="5"/>
  <c r="T75" i="4"/>
  <c r="T74" i="4"/>
  <c r="T73" i="4"/>
  <c r="T72" i="4"/>
  <c r="T65" i="4"/>
  <c r="T99" i="9"/>
  <c r="T51" i="4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9" i="9"/>
  <c r="U88" i="9"/>
  <c r="U87" i="9"/>
  <c r="U86" i="9"/>
  <c r="U85" i="9"/>
  <c r="U84" i="9"/>
  <c r="U83" i="9"/>
  <c r="U82" i="9"/>
  <c r="U86" i="8"/>
  <c r="U80" i="8"/>
  <c r="U78" i="8"/>
  <c r="U77" i="8"/>
  <c r="U76" i="8"/>
  <c r="U75" i="8"/>
  <c r="U74" i="8"/>
  <c r="U71" i="8"/>
  <c r="U69" i="8"/>
  <c r="U66" i="8"/>
  <c r="U57" i="8"/>
  <c r="U105" i="7"/>
  <c r="U103" i="7"/>
  <c r="U101" i="7"/>
  <c r="U97" i="7"/>
  <c r="U102" i="4"/>
  <c r="U100" i="4"/>
  <c r="U99" i="4"/>
  <c r="U96" i="4"/>
  <c r="U95" i="4"/>
  <c r="U93" i="4"/>
  <c r="U81" i="9"/>
  <c r="U80" i="9"/>
  <c r="U79" i="9"/>
  <c r="U78" i="9"/>
  <c r="U77" i="9"/>
  <c r="U76" i="9"/>
  <c r="U75" i="9"/>
  <c r="U74" i="9"/>
  <c r="U72" i="9"/>
  <c r="U71" i="9"/>
  <c r="U70" i="9"/>
  <c r="U69" i="9"/>
  <c r="U68" i="9"/>
  <c r="U67" i="9"/>
  <c r="U66" i="9"/>
  <c r="U64" i="9"/>
  <c r="U62" i="9"/>
  <c r="U61" i="9"/>
  <c r="U60" i="9"/>
  <c r="U59" i="9"/>
  <c r="U58" i="9"/>
  <c r="U3" i="9"/>
  <c r="U106" i="8"/>
  <c r="U105" i="8"/>
  <c r="U103" i="8"/>
  <c r="U102" i="8"/>
  <c r="U100" i="8"/>
  <c r="U96" i="8"/>
  <c r="U56" i="9"/>
  <c r="U55" i="9"/>
  <c r="U54" i="9"/>
  <c r="U53" i="9"/>
  <c r="U52" i="9"/>
  <c r="U51" i="9"/>
  <c r="U49" i="9"/>
  <c r="U84" i="8"/>
  <c r="U48" i="8"/>
  <c r="U47" i="8"/>
  <c r="U106" i="5"/>
  <c r="U105" i="5"/>
  <c r="U104" i="5"/>
  <c r="U103" i="5"/>
  <c r="U102" i="5"/>
  <c r="U83" i="8"/>
  <c r="U82" i="8"/>
  <c r="U81" i="8"/>
  <c r="U79" i="8"/>
  <c r="U72" i="8"/>
  <c r="U68" i="8"/>
  <c r="U65" i="8"/>
  <c r="U64" i="8"/>
  <c r="U63" i="8"/>
  <c r="U62" i="8"/>
  <c r="U61" i="8"/>
  <c r="U60" i="8"/>
  <c r="U59" i="8"/>
  <c r="U58" i="8"/>
  <c r="U106" i="7"/>
  <c r="U98" i="7"/>
  <c r="U98" i="4"/>
  <c r="U92" i="4"/>
  <c r="U90" i="4"/>
  <c r="U10" i="9"/>
  <c r="W10" i="9" a="1"/>
  <c r="U9" i="9"/>
  <c r="W9" i="9" a="1"/>
  <c r="U8" i="9"/>
  <c r="W8" i="9" a="1"/>
  <c r="U7" i="9"/>
  <c r="W7" i="9" a="1"/>
  <c r="U6" i="9"/>
  <c r="U5" i="9"/>
  <c r="G5" i="3"/>
  <c r="U4" i="9"/>
  <c r="U56" i="8"/>
  <c r="U55" i="8"/>
  <c r="U54" i="8"/>
  <c r="U53" i="8"/>
  <c r="U52" i="8"/>
  <c r="U51" i="8"/>
  <c r="U91" i="5"/>
  <c r="U84" i="5"/>
  <c r="U82" i="5"/>
  <c r="U81" i="5"/>
  <c r="U80" i="5"/>
  <c r="U79" i="5"/>
  <c r="U78" i="5"/>
  <c r="U77" i="5"/>
  <c r="U76" i="5"/>
  <c r="U75" i="5"/>
  <c r="U74" i="5"/>
  <c r="U73" i="5"/>
  <c r="U72" i="5"/>
  <c r="U71" i="5"/>
  <c r="U69" i="5"/>
  <c r="U68" i="5"/>
  <c r="U67" i="5"/>
  <c r="U65" i="5"/>
  <c r="U63" i="5"/>
  <c r="U62" i="5"/>
  <c r="U61" i="5"/>
  <c r="U60" i="5"/>
  <c r="U59" i="5"/>
  <c r="U57" i="5"/>
  <c r="U56" i="5"/>
  <c r="U55" i="5"/>
  <c r="U49" i="5"/>
  <c r="U104" i="4"/>
  <c r="U103" i="4"/>
  <c r="U94" i="4"/>
  <c r="U5" i="6"/>
  <c r="D5" i="3"/>
  <c r="U4" i="6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78" i="6"/>
  <c r="U76" i="6"/>
  <c r="U74" i="6"/>
  <c r="U71" i="6"/>
  <c r="U69" i="6"/>
  <c r="U67" i="6"/>
  <c r="U66" i="6"/>
  <c r="U64" i="6"/>
  <c r="U61" i="6"/>
  <c r="U60" i="6"/>
  <c r="U59" i="6"/>
  <c r="U57" i="6"/>
  <c r="U55" i="6"/>
  <c r="U51" i="6"/>
  <c r="U92" i="7"/>
  <c r="U91" i="7"/>
  <c r="U90" i="7"/>
  <c r="U89" i="7"/>
  <c r="U88" i="7"/>
  <c r="U87" i="7"/>
  <c r="U86" i="7"/>
  <c r="U85" i="7"/>
  <c r="U84" i="7"/>
  <c r="U83" i="7"/>
  <c r="U82" i="7"/>
  <c r="U81" i="7"/>
  <c r="U80" i="7"/>
  <c r="U79" i="7"/>
  <c r="U78" i="7"/>
  <c r="U77" i="7"/>
  <c r="U76" i="7"/>
  <c r="U75" i="7"/>
  <c r="U74" i="7"/>
  <c r="U73" i="7"/>
  <c r="U72" i="7"/>
  <c r="U71" i="7"/>
  <c r="U70" i="7"/>
  <c r="U69" i="7"/>
  <c r="U68" i="7"/>
  <c r="U67" i="7"/>
  <c r="U66" i="7"/>
  <c r="U65" i="7"/>
  <c r="U63" i="7"/>
  <c r="U62" i="7"/>
  <c r="U61" i="7"/>
  <c r="U60" i="7"/>
  <c r="U59" i="7"/>
  <c r="U58" i="7"/>
  <c r="U57" i="7"/>
  <c r="U56" i="7"/>
  <c r="U55" i="7"/>
  <c r="U54" i="7"/>
  <c r="U53" i="7"/>
  <c r="U52" i="7"/>
  <c r="U51" i="7"/>
  <c r="U50" i="7"/>
  <c r="U49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9" i="6"/>
  <c r="U88" i="6"/>
  <c r="U87" i="6"/>
  <c r="U86" i="6"/>
  <c r="U85" i="6"/>
  <c r="U84" i="6"/>
  <c r="U83" i="6"/>
  <c r="U82" i="6"/>
  <c r="U81" i="6"/>
  <c r="U80" i="6"/>
  <c r="U79" i="6"/>
  <c r="U77" i="6"/>
  <c r="U75" i="6"/>
  <c r="U73" i="6"/>
  <c r="U68" i="6"/>
  <c r="U63" i="6"/>
  <c r="U54" i="6"/>
  <c r="U53" i="6"/>
  <c r="U48" i="6"/>
  <c r="U87" i="5"/>
  <c r="U86" i="5"/>
  <c r="U85" i="5"/>
  <c r="U70" i="5"/>
  <c r="U66" i="5"/>
  <c r="U64" i="5"/>
  <c r="U58" i="5"/>
  <c r="U54" i="5"/>
  <c r="U53" i="5"/>
  <c r="U52" i="5"/>
  <c r="U6" i="6"/>
  <c r="U10" i="6"/>
  <c r="W10" i="6" a="1"/>
  <c r="U9" i="6"/>
  <c r="W9" i="6" a="1"/>
  <c r="U8" i="6"/>
  <c r="W8" i="6" a="1"/>
  <c r="U3" i="6"/>
  <c r="U93" i="5"/>
  <c r="U90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5" i="4"/>
  <c r="U84" i="4"/>
  <c r="U83" i="4"/>
  <c r="U82" i="4"/>
  <c r="U81" i="4"/>
  <c r="U80" i="4"/>
  <c r="U79" i="4"/>
  <c r="U78" i="4"/>
  <c r="U77" i="4"/>
  <c r="U76" i="4"/>
  <c r="U75" i="4"/>
  <c r="U74" i="4"/>
  <c r="U73" i="4"/>
  <c r="U72" i="4"/>
  <c r="U71" i="4"/>
  <c r="U70" i="4"/>
  <c r="U69" i="4"/>
  <c r="U68" i="4"/>
  <c r="U67" i="4"/>
  <c r="U66" i="4"/>
  <c r="U65" i="4"/>
  <c r="U103" i="9"/>
  <c r="U93" i="9"/>
  <c r="U63" i="4"/>
  <c r="U62" i="4"/>
  <c r="U61" i="4"/>
  <c r="U60" i="4"/>
  <c r="U59" i="4"/>
  <c r="U58" i="4"/>
  <c r="U57" i="4"/>
  <c r="U56" i="4"/>
  <c r="U55" i="4"/>
  <c r="U54" i="4"/>
  <c r="U52" i="4"/>
  <c r="U51" i="4"/>
  <c r="U10" i="4"/>
  <c r="W10" i="4" a="1"/>
  <c r="U101" i="9"/>
  <c r="U91" i="9"/>
  <c r="U91" i="8"/>
  <c r="U87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F6" i="3"/>
  <c r="F7" i="3"/>
  <c r="F8" i="3"/>
  <c r="F9" i="3"/>
  <c r="F10" i="3"/>
  <c r="C6" i="3"/>
  <c r="C7" i="3"/>
  <c r="C8" i="3"/>
  <c r="C9" i="3"/>
  <c r="C10" i="3"/>
  <c r="G6" i="3"/>
  <c r="G7" i="3"/>
  <c r="G8" i="3"/>
  <c r="G9" i="3"/>
  <c r="G10" i="3"/>
  <c r="G21" i="10"/>
  <c r="G21" i="8"/>
  <c r="G21" i="6"/>
  <c r="G21" i="5"/>
  <c r="G21" i="7"/>
  <c r="G21" i="4"/>
  <c r="G21" i="9"/>
  <c r="T22" i="10"/>
  <c r="T22" i="9"/>
  <c r="U22" i="9"/>
  <c r="W22" i="9" a="1"/>
  <c r="O22" i="3"/>
  <c r="T16" i="9"/>
  <c r="T22" i="8"/>
  <c r="U22" i="8"/>
  <c r="T22" i="6"/>
  <c r="T17" i="6"/>
  <c r="U17" i="6"/>
  <c r="T16" i="6"/>
  <c r="T22" i="5"/>
  <c r="U22" i="5"/>
  <c r="T17" i="5"/>
  <c r="T16" i="5"/>
  <c r="T22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S18" i="6"/>
  <c r="R18" i="6"/>
  <c r="Q18" i="6"/>
  <c r="S18" i="5"/>
  <c r="R18" i="5"/>
  <c r="Q18" i="5"/>
  <c r="G17" i="8"/>
  <c r="G17" i="9"/>
  <c r="G17" i="10"/>
  <c r="S17" i="9"/>
  <c r="Q17" i="9"/>
  <c r="R17" i="9"/>
  <c r="T16" i="8"/>
  <c r="U16" i="8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S21" i="10"/>
  <c r="Q21" i="10"/>
  <c r="R21" i="10"/>
  <c r="Q21" i="8"/>
  <c r="R21" i="8"/>
  <c r="S21" i="8"/>
  <c r="Q21" i="6"/>
  <c r="R21" i="6"/>
  <c r="S21" i="6"/>
  <c r="Q21" i="5"/>
  <c r="R21" i="5"/>
  <c r="S21" i="5"/>
  <c r="Q21" i="9"/>
  <c r="R21" i="9"/>
  <c r="S21" i="9"/>
  <c r="U22" i="10"/>
  <c r="W22" i="10" a="1"/>
  <c r="P22" i="3"/>
  <c r="T20" i="10"/>
  <c r="T20" i="9"/>
  <c r="U16" i="9"/>
  <c r="W22" i="8" a="1"/>
  <c r="N22" i="3"/>
  <c r="T18" i="8"/>
  <c r="W16" i="8" a="1"/>
  <c r="N16" i="3"/>
  <c r="U22" i="6"/>
  <c r="W17" i="6" a="1"/>
  <c r="L17" i="3"/>
  <c r="U16" i="6"/>
  <c r="W16" i="6" a="1"/>
  <c r="L16" i="3"/>
  <c r="W22" i="5" a="1"/>
  <c r="K22" i="3"/>
  <c r="U17" i="5"/>
  <c r="U16" i="5"/>
  <c r="W16" i="5" a="1"/>
  <c r="K16" i="3"/>
  <c r="U22" i="4"/>
  <c r="W22" i="4" a="1"/>
  <c r="T20" i="8"/>
  <c r="Q20" i="6"/>
  <c r="R20" i="6"/>
  <c r="S20" i="6"/>
  <c r="Q20" i="5"/>
  <c r="R20" i="5"/>
  <c r="S20" i="5"/>
  <c r="Q19" i="9"/>
  <c r="R19" i="9"/>
  <c r="S19" i="9"/>
  <c r="Q19" i="5"/>
  <c r="R19" i="5"/>
  <c r="S19" i="5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6"/>
  <c r="T18" i="5"/>
  <c r="S17" i="8"/>
  <c r="R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6"/>
  <c r="R15" i="6"/>
  <c r="S15" i="6"/>
  <c r="Q15" i="5"/>
  <c r="R15" i="5"/>
  <c r="S15" i="5"/>
  <c r="Q14" i="9"/>
  <c r="R14" i="9"/>
  <c r="S14" i="9"/>
  <c r="R14" i="8"/>
  <c r="Q14" i="8"/>
  <c r="S14" i="8"/>
  <c r="Q14" i="6"/>
  <c r="R14" i="6"/>
  <c r="S14" i="6"/>
  <c r="Q14" i="5"/>
  <c r="R14" i="5"/>
  <c r="S14" i="5"/>
  <c r="S14" i="10"/>
  <c r="R14" i="10"/>
  <c r="Q14" i="10"/>
  <c r="T13" i="5"/>
  <c r="Q13" i="8"/>
  <c r="R13" i="8"/>
  <c r="S13" i="8"/>
  <c r="R13" i="6"/>
  <c r="Q13" i="6"/>
  <c r="S13" i="6"/>
  <c r="S13" i="9"/>
  <c r="Q13" i="9"/>
  <c r="R13" i="9"/>
  <c r="R13" i="10"/>
  <c r="S13" i="10"/>
  <c r="Q13" i="10"/>
  <c r="S12" i="10"/>
  <c r="Q12" i="10"/>
  <c r="R12" i="10"/>
  <c r="S12" i="9"/>
  <c r="Q12" i="9"/>
  <c r="R12" i="9"/>
  <c r="R12" i="8"/>
  <c r="S12" i="8"/>
  <c r="Q12" i="8"/>
  <c r="Q12" i="6"/>
  <c r="R12" i="6"/>
  <c r="S12" i="6"/>
  <c r="Q12" i="5"/>
  <c r="R12" i="5"/>
  <c r="S12" i="5"/>
  <c r="S11" i="10"/>
  <c r="R11" i="10"/>
  <c r="Q11" i="10"/>
  <c r="Q11" i="9"/>
  <c r="R11" i="9"/>
  <c r="S11" i="9"/>
  <c r="Q11" i="8"/>
  <c r="R11" i="8"/>
  <c r="S11" i="8"/>
  <c r="Q11" i="6"/>
  <c r="R11" i="6"/>
  <c r="S11" i="6"/>
  <c r="Q11" i="5"/>
  <c r="R11" i="5"/>
  <c r="S11" i="5"/>
  <c r="T21" i="6"/>
  <c r="T21" i="8"/>
  <c r="T21" i="9"/>
  <c r="U21" i="9"/>
  <c r="W21" i="9" a="1"/>
  <c r="O21" i="3"/>
  <c r="T21" i="5"/>
  <c r="T21" i="10"/>
  <c r="U20" i="10"/>
  <c r="U20" i="9"/>
  <c r="W16" i="9" a="1"/>
  <c r="O16" i="3"/>
  <c r="U20" i="8"/>
  <c r="W18" i="8" a="1"/>
  <c r="N18" i="3"/>
  <c r="U18" i="8"/>
  <c r="T17" i="8"/>
  <c r="W22" i="6" a="1"/>
  <c r="L22" i="3"/>
  <c r="W17" i="5" a="1"/>
  <c r="K17" i="3"/>
  <c r="T20" i="6"/>
  <c r="T20" i="5"/>
  <c r="W20" i="10" a="1"/>
  <c r="P20" i="3"/>
  <c r="W20" i="9" a="1"/>
  <c r="O20" i="3"/>
  <c r="W20" i="8" a="1"/>
  <c r="N20" i="3"/>
  <c r="T19" i="8"/>
  <c r="T19" i="9"/>
  <c r="T19" i="5"/>
  <c r="T19" i="10"/>
  <c r="T19" i="6"/>
  <c r="U18" i="9"/>
  <c r="W18" i="9" a="1"/>
  <c r="O18" i="3"/>
  <c r="T18" i="10"/>
  <c r="U18" i="5"/>
  <c r="W18" i="5" a="1"/>
  <c r="K18" i="3"/>
  <c r="U18" i="6"/>
  <c r="W18" i="6" a="1"/>
  <c r="L18" i="3"/>
  <c r="T17" i="10"/>
  <c r="U17" i="9"/>
  <c r="W17" i="9" a="1"/>
  <c r="O17" i="3"/>
  <c r="T16" i="10"/>
  <c r="T15" i="5"/>
  <c r="T15" i="9"/>
  <c r="T15" i="10"/>
  <c r="T15" i="8"/>
  <c r="T15" i="6"/>
  <c r="T14" i="5"/>
  <c r="T14" i="10"/>
  <c r="T14" i="6"/>
  <c r="T14" i="9"/>
  <c r="T14" i="8"/>
  <c r="U13" i="5"/>
  <c r="W13" i="5" a="1"/>
  <c r="K13" i="3"/>
  <c r="T13" i="6"/>
  <c r="T13" i="9"/>
  <c r="T13" i="10"/>
  <c r="T13" i="8"/>
  <c r="T12" i="9"/>
  <c r="T12" i="5"/>
  <c r="T12" i="10"/>
  <c r="T12" i="8"/>
  <c r="T12" i="6"/>
  <c r="T11" i="10"/>
  <c r="T11" i="9"/>
  <c r="T11" i="8"/>
  <c r="T11" i="6"/>
  <c r="T11" i="5"/>
  <c r="U21" i="10"/>
  <c r="U21" i="8"/>
  <c r="U21" i="6"/>
  <c r="W21" i="6" a="1"/>
  <c r="L21" i="3"/>
  <c r="U21" i="5"/>
  <c r="W21" i="5" a="1"/>
  <c r="K21" i="3"/>
  <c r="W21" i="8" a="1"/>
  <c r="N21" i="3"/>
  <c r="U17" i="8"/>
  <c r="U20" i="6"/>
  <c r="U20" i="5"/>
  <c r="U19" i="9"/>
  <c r="U19" i="5"/>
  <c r="U19" i="10"/>
  <c r="U19" i="8"/>
  <c r="U19" i="6"/>
  <c r="U18" i="10"/>
  <c r="W17" i="8" a="1"/>
  <c r="N17" i="3"/>
  <c r="U17" i="10"/>
  <c r="U16" i="10"/>
  <c r="U15" i="8"/>
  <c r="U15" i="6"/>
  <c r="U15" i="5"/>
  <c r="U15" i="10"/>
  <c r="U15" i="9"/>
  <c r="W15" i="8" a="1"/>
  <c r="N15" i="3"/>
  <c r="U14" i="5"/>
  <c r="U14" i="10"/>
  <c r="W14" i="10" a="1"/>
  <c r="P14" i="3"/>
  <c r="W14" i="5" a="1"/>
  <c r="K14" i="3"/>
  <c r="U14" i="6"/>
  <c r="U14" i="9"/>
  <c r="W14" i="9" a="1"/>
  <c r="O14" i="3"/>
  <c r="U14" i="8"/>
  <c r="U13" i="10"/>
  <c r="W13" i="10" a="1"/>
  <c r="P13" i="3"/>
  <c r="U13" i="8"/>
  <c r="W13" i="8" a="1"/>
  <c r="N13" i="3"/>
  <c r="U13" i="6"/>
  <c r="U13" i="9"/>
  <c r="U12" i="9"/>
  <c r="W12" i="9" a="1"/>
  <c r="O12" i="3"/>
  <c r="U12" i="10"/>
  <c r="U12" i="8"/>
  <c r="U12" i="6"/>
  <c r="U12" i="5"/>
  <c r="W12" i="5" a="1"/>
  <c r="K12" i="3"/>
  <c r="U11" i="9"/>
  <c r="U11" i="8"/>
  <c r="U11" i="10"/>
  <c r="U11" i="6"/>
  <c r="U11" i="5"/>
  <c r="W11" i="5" a="1"/>
  <c r="W11" i="6" a="1"/>
  <c r="W21" i="10" a="1"/>
  <c r="P21" i="3"/>
  <c r="W18" i="10" a="1"/>
  <c r="P18" i="3"/>
  <c r="W15" i="5" a="1"/>
  <c r="K15" i="3"/>
  <c r="W20" i="6" a="1"/>
  <c r="L20" i="3"/>
  <c r="W20" i="5" a="1"/>
  <c r="K20" i="3"/>
  <c r="W19" i="8" a="1"/>
  <c r="N19" i="3"/>
  <c r="W19" i="9" a="1"/>
  <c r="O19" i="3"/>
  <c r="W19" i="10" a="1"/>
  <c r="P19" i="3"/>
  <c r="W19" i="6" a="1"/>
  <c r="L19" i="3"/>
  <c r="W19" i="5" a="1"/>
  <c r="K19" i="3"/>
  <c r="W17" i="10" a="1"/>
  <c r="P17" i="3"/>
  <c r="W16" i="10" a="1"/>
  <c r="P16" i="3"/>
  <c r="W15" i="9" a="1"/>
  <c r="O15" i="3"/>
  <c r="W15" i="6" a="1"/>
  <c r="L15" i="3"/>
  <c r="W15" i="10" a="1"/>
  <c r="P15" i="3"/>
  <c r="W14" i="6" a="1"/>
  <c r="L14" i="3"/>
  <c r="W14" i="8" a="1"/>
  <c r="N14" i="3"/>
  <c r="W13" i="6" a="1"/>
  <c r="L13" i="3"/>
  <c r="W13" i="9" a="1"/>
  <c r="O13" i="3"/>
  <c r="W12" i="10" a="1"/>
  <c r="P12" i="3"/>
  <c r="W12" i="8" a="1"/>
  <c r="N12" i="3"/>
  <c r="W12" i="6" a="1"/>
  <c r="L12" i="3"/>
  <c r="W11" i="9" a="1"/>
  <c r="C11" i="3"/>
  <c r="C12" i="3"/>
  <c r="C13" i="3"/>
  <c r="C14" i="3"/>
  <c r="W11" i="8" a="1"/>
  <c r="W11" i="10" a="1"/>
  <c r="F11" i="3"/>
  <c r="F12" i="3"/>
  <c r="F13" i="3"/>
  <c r="F14" i="3"/>
  <c r="F15" i="3"/>
  <c r="F16" i="3"/>
  <c r="F17" i="3"/>
  <c r="F18" i="3"/>
  <c r="D11" i="3"/>
  <c r="D12" i="3"/>
  <c r="D13" i="3"/>
  <c r="F19" i="3"/>
  <c r="F20" i="3"/>
  <c r="F21" i="3"/>
  <c r="F22" i="3"/>
  <c r="C15" i="3"/>
  <c r="C16" i="3"/>
  <c r="C17" i="3"/>
  <c r="C18" i="3"/>
  <c r="D14" i="3"/>
  <c r="D15" i="3"/>
  <c r="D16" i="3"/>
  <c r="D17" i="3"/>
  <c r="D18" i="3"/>
  <c r="D19" i="3"/>
  <c r="D20" i="3"/>
  <c r="D21" i="3"/>
  <c r="D22" i="3"/>
  <c r="H11" i="3"/>
  <c r="H12" i="3"/>
  <c r="H13" i="3"/>
  <c r="H14" i="3"/>
  <c r="H15" i="3"/>
  <c r="H16" i="3"/>
  <c r="H17" i="3"/>
  <c r="H18" i="3"/>
  <c r="H19" i="3"/>
  <c r="H20" i="3"/>
  <c r="H21" i="3"/>
  <c r="H22" i="3"/>
  <c r="G11" i="3"/>
  <c r="G12" i="3"/>
  <c r="G13" i="3"/>
  <c r="G14" i="3"/>
  <c r="G15" i="3"/>
  <c r="G16" i="3"/>
  <c r="G17" i="3"/>
  <c r="G18" i="3"/>
  <c r="G19" i="3"/>
  <c r="G20" i="3"/>
  <c r="G21" i="3"/>
  <c r="G22" i="3"/>
  <c r="C19" i="3"/>
  <c r="C20" i="3"/>
  <c r="C21" i="3"/>
  <c r="C22" i="3"/>
  <c r="R50" i="10" l="1"/>
  <c r="Q50" i="10"/>
  <c r="S50" i="10"/>
  <c r="T50" i="10"/>
  <c r="U49" i="10"/>
  <c r="W49" i="10" a="1"/>
  <c r="P49" i="3" s="1"/>
  <c r="U48" i="10"/>
  <c r="U47" i="10"/>
  <c r="T50" i="9"/>
  <c r="W49" i="9" a="1"/>
  <c r="O49" i="3" s="1"/>
  <c r="T48" i="9"/>
  <c r="U48" i="9" s="1"/>
  <c r="W48" i="9" a="1"/>
  <c r="O48" i="3" s="1"/>
  <c r="U47" i="9"/>
  <c r="U50" i="8"/>
  <c r="W50" i="8" a="1"/>
  <c r="N50" i="3" s="1"/>
  <c r="T49" i="8"/>
  <c r="U49" i="8" s="1"/>
  <c r="W48" i="8" a="1"/>
  <c r="N48" i="3" s="1"/>
  <c r="W47" i="8" a="1"/>
  <c r="N47" i="3" s="1"/>
  <c r="T48" i="7"/>
  <c r="T47" i="7"/>
  <c r="T50" i="6"/>
  <c r="U50" i="6"/>
  <c r="W50" i="6" a="1"/>
  <c r="L50" i="3" s="1"/>
  <c r="T49" i="6"/>
  <c r="W48" i="6" a="1"/>
  <c r="L48" i="3" s="1"/>
  <c r="T47" i="6"/>
  <c r="U47" i="6" s="1"/>
  <c r="W47" i="6" a="1"/>
  <c r="L47" i="3" s="1"/>
  <c r="T50" i="5"/>
  <c r="W49" i="5" a="1"/>
  <c r="K49" i="3" s="1"/>
  <c r="T48" i="5"/>
  <c r="U48" i="5"/>
  <c r="W48" i="5" a="1"/>
  <c r="K48" i="3" s="1"/>
  <c r="T47" i="5"/>
  <c r="S50" i="4"/>
  <c r="T49" i="4"/>
  <c r="U49" i="4" s="1"/>
  <c r="T48" i="4"/>
  <c r="U47" i="4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G43" i="9"/>
  <c r="G43" i="7"/>
  <c r="G43" i="10"/>
  <c r="G43" i="8"/>
  <c r="G43" i="6"/>
  <c r="T43" i="5"/>
  <c r="T43" i="4"/>
  <c r="G42" i="10"/>
  <c r="G42" i="8"/>
  <c r="G42" i="7"/>
  <c r="G42" i="5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2" i="10"/>
  <c r="Q42" i="10"/>
  <c r="S40" i="10"/>
  <c r="R40" i="10"/>
  <c r="Q40" i="10"/>
  <c r="S42" i="9"/>
  <c r="R42" i="9"/>
  <c r="Q42" i="9"/>
  <c r="R42" i="8"/>
  <c r="S42" i="8"/>
  <c r="Q42" i="8"/>
  <c r="S42" i="5"/>
  <c r="R40" i="4"/>
  <c r="Q40" i="4"/>
  <c r="S40" i="4"/>
  <c r="G39" i="10"/>
  <c r="G39" i="9"/>
  <c r="G39" i="8"/>
  <c r="G39" i="7"/>
  <c r="T39" i="5"/>
  <c r="G39" i="6"/>
  <c r="T39" i="4"/>
  <c r="G38" i="4"/>
  <c r="G38" i="5"/>
  <c r="Q38" i="4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G34" i="9"/>
  <c r="G34" i="8"/>
  <c r="G34" i="7"/>
  <c r="G34" i="5"/>
  <c r="G34" i="4"/>
  <c r="G34" i="10"/>
  <c r="G34" i="6"/>
  <c r="G33" i="8"/>
  <c r="T33" i="6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3" i="5"/>
  <c r="Q33" i="5"/>
  <c r="R33" i="5"/>
  <c r="S32" i="5"/>
  <c r="Q32" i="5"/>
  <c r="R32" i="5"/>
  <c r="O31" i="5"/>
  <c r="S34" i="6"/>
  <c r="R34" i="6"/>
  <c r="Q34" i="6"/>
  <c r="S32" i="6"/>
  <c r="R32" i="6"/>
  <c r="Q32" i="6"/>
  <c r="S32" i="8"/>
  <c r="R32" i="8"/>
  <c r="Q32" i="8"/>
  <c r="S33" i="10"/>
  <c r="Q33" i="10"/>
  <c r="Q32" i="10"/>
  <c r="S32" i="10"/>
  <c r="L31" i="7"/>
  <c r="L32" i="7"/>
  <c r="L33" i="7"/>
  <c r="L34" i="7"/>
  <c r="L34" i="4"/>
  <c r="L33" i="4"/>
  <c r="L32" i="4"/>
  <c r="L31" i="4"/>
  <c r="L35" i="7"/>
  <c r="W49" i="7" a="1"/>
  <c r="W50" i="7" a="1"/>
  <c r="W51" i="7" a="1"/>
  <c r="W52" i="7" a="1"/>
  <c r="W53" i="7" a="1"/>
  <c r="W54" i="7" a="1"/>
  <c r="W55" i="7" a="1"/>
  <c r="W56" i="7" a="1"/>
  <c r="W57" i="7" a="1"/>
  <c r="W58" i="7" a="1"/>
  <c r="W59" i="7" a="1"/>
  <c r="W60" i="7" a="1"/>
  <c r="W61" i="7" a="1"/>
  <c r="W62" i="7" a="1"/>
  <c r="W63" i="7" a="1"/>
  <c r="W65" i="7" a="1"/>
  <c r="W66" i="7" a="1"/>
  <c r="W67" i="7" a="1"/>
  <c r="W68" i="7" a="1"/>
  <c r="W69" i="7" a="1"/>
  <c r="W70" i="7" a="1"/>
  <c r="W71" i="7" a="1"/>
  <c r="W72" i="7" a="1"/>
  <c r="W73" i="7" a="1"/>
  <c r="W74" i="7" a="1"/>
  <c r="W75" i="7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89" i="7" a="1"/>
  <c r="W90" i="7" a="1"/>
  <c r="W91" i="7" a="1"/>
  <c r="W92" i="7" a="1"/>
  <c r="W93" i="7" a="1"/>
  <c r="W94" i="7" a="1"/>
  <c r="W95" i="7" a="1"/>
  <c r="W96" i="7" a="1"/>
  <c r="W98" i="7" a="1"/>
  <c r="W101" i="7" a="1"/>
  <c r="W103" i="7" a="1"/>
  <c r="W105" i="7" a="1"/>
  <c r="W106" i="7" a="1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Q87" i="4"/>
  <c r="R64" i="7"/>
  <c r="S87" i="4"/>
  <c r="O3" i="4"/>
  <c r="R64" i="4"/>
  <c r="N97" i="7"/>
  <c r="L97" i="7"/>
  <c r="J97" i="7"/>
  <c r="W97" i="7" s="1" a="1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T99" i="7" s="1"/>
  <c r="S88" i="4"/>
  <c r="S64" i="7"/>
  <c r="S64" i="4"/>
  <c r="I97" i="7"/>
  <c r="N32" i="7"/>
  <c r="O19" i="7"/>
  <c r="O17" i="7"/>
  <c r="O16" i="7"/>
  <c r="O32" i="4"/>
  <c r="O17" i="4"/>
  <c r="Q64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T100" i="7" s="1"/>
  <c r="S106" i="4"/>
  <c r="J10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101" i="3"/>
  <c r="M103" i="3"/>
  <c r="M105" i="3"/>
  <c r="M106" i="3"/>
  <c r="W51" i="4" a="1"/>
  <c r="J51" i="3" s="1"/>
  <c r="W52" i="4" a="1"/>
  <c r="J52" i="3" s="1"/>
  <c r="W54" i="4" a="1"/>
  <c r="J54" i="3" s="1"/>
  <c r="W55" i="4" a="1"/>
  <c r="J55" i="3" s="1"/>
  <c r="W56" i="4" a="1"/>
  <c r="J56" i="3" s="1"/>
  <c r="W57" i="4" a="1"/>
  <c r="J57" i="3" s="1"/>
  <c r="W58" i="4" a="1"/>
  <c r="J58" i="3" s="1"/>
  <c r="W59" i="4" a="1"/>
  <c r="J59" i="3" s="1"/>
  <c r="W60" i="4" a="1"/>
  <c r="J60" i="3" s="1"/>
  <c r="W61" i="4" a="1"/>
  <c r="J61" i="3" s="1"/>
  <c r="W62" i="4" a="1"/>
  <c r="J62" i="3" s="1"/>
  <c r="W63" i="4" a="1"/>
  <c r="J63" i="3" s="1"/>
  <c r="W65" i="4" a="1"/>
  <c r="J65" i="3" s="1"/>
  <c r="W66" i="4" a="1"/>
  <c r="J66" i="3" s="1"/>
  <c r="W67" i="4" a="1"/>
  <c r="J67" i="3" s="1"/>
  <c r="W68" i="4" a="1"/>
  <c r="J68" i="3" s="1"/>
  <c r="W69" i="4" a="1"/>
  <c r="J69" i="3" s="1"/>
  <c r="W70" i="4" a="1"/>
  <c r="J70" i="3" s="1"/>
  <c r="W71" i="4" a="1"/>
  <c r="J71" i="3" s="1"/>
  <c r="W72" i="4" a="1"/>
  <c r="J72" i="3" s="1"/>
  <c r="W73" i="4" a="1"/>
  <c r="J73" i="3" s="1"/>
  <c r="W74" i="4" a="1"/>
  <c r="J74" i="3" s="1"/>
  <c r="W75" i="4" a="1"/>
  <c r="J75" i="3" s="1"/>
  <c r="W76" i="4" a="1"/>
  <c r="J76" i="3" s="1"/>
  <c r="W77" i="4" a="1"/>
  <c r="J77" i="3" s="1"/>
  <c r="W78" i="4" a="1"/>
  <c r="J78" i="3" s="1"/>
  <c r="W79" i="4" a="1"/>
  <c r="J79" i="3" s="1"/>
  <c r="W80" i="4" a="1"/>
  <c r="J80" i="3" s="1"/>
  <c r="W81" i="4" a="1"/>
  <c r="J81" i="3" s="1"/>
  <c r="W82" i="4" a="1"/>
  <c r="J82" i="3" s="1"/>
  <c r="W83" i="4" a="1"/>
  <c r="J83" i="3" s="1"/>
  <c r="W84" i="4" a="1"/>
  <c r="J84" i="3" s="1"/>
  <c r="W85" i="4" a="1"/>
  <c r="J85" i="3" s="1"/>
  <c r="W86" i="4" a="1"/>
  <c r="J86" i="3" s="1"/>
  <c r="W89" i="4" a="1"/>
  <c r="J89" i="3" s="1"/>
  <c r="W90" i="4" a="1"/>
  <c r="J90" i="3" s="1"/>
  <c r="W91" i="4" a="1"/>
  <c r="J91" i="3" s="1"/>
  <c r="W92" i="4" a="1"/>
  <c r="J92" i="3" s="1"/>
  <c r="W93" i="4" a="1"/>
  <c r="J93" i="3" s="1"/>
  <c r="W94" i="4" a="1"/>
  <c r="J94" i="3" s="1"/>
  <c r="W95" i="4" a="1"/>
  <c r="J95" i="3" s="1"/>
  <c r="W96" i="4" a="1"/>
  <c r="J96" i="3" s="1"/>
  <c r="W97" i="4" a="1"/>
  <c r="J97" i="3" s="1"/>
  <c r="W98" i="4" a="1"/>
  <c r="J98" i="3" s="1"/>
  <c r="W99" i="4" a="1"/>
  <c r="J99" i="3" s="1"/>
  <c r="W100" i="4" a="1"/>
  <c r="J100" i="3" s="1"/>
  <c r="W101" i="4" a="1"/>
  <c r="J101" i="3" s="1"/>
  <c r="W102" i="4" a="1"/>
  <c r="J102" i="3" s="1"/>
  <c r="W103" i="4" a="1"/>
  <c r="J103" i="3" s="1"/>
  <c r="W104" i="4" a="1"/>
  <c r="J104" i="3" s="1"/>
  <c r="W105" i="4" a="1"/>
  <c r="J105" i="3" s="1"/>
  <c r="S30" i="7"/>
  <c r="R30" i="7"/>
  <c r="Q30" i="7"/>
  <c r="S29" i="7"/>
  <c r="R29" i="7"/>
  <c r="Q29" i="7"/>
  <c r="Q32" i="7"/>
  <c r="S3" i="7"/>
  <c r="R22" i="7"/>
  <c r="R17" i="7"/>
  <c r="Q17" i="7"/>
  <c r="R16" i="7"/>
  <c r="S10" i="7"/>
  <c r="R9" i="7"/>
  <c r="R8" i="7"/>
  <c r="Q8" i="7"/>
  <c r="R7" i="7"/>
  <c r="Q6" i="7"/>
  <c r="Q5" i="7"/>
  <c r="Q4" i="7"/>
  <c r="U53" i="4"/>
  <c r="T29" i="7"/>
  <c r="R20" i="7"/>
  <c r="R18" i="7"/>
  <c r="S21" i="7"/>
  <c r="S19" i="7"/>
  <c r="Q19" i="7"/>
  <c r="R19" i="7"/>
  <c r="S15" i="7"/>
  <c r="Q12" i="7"/>
  <c r="S12" i="7"/>
  <c r="T87" i="4"/>
  <c r="U87" i="4" s="1"/>
  <c r="R32" i="7"/>
  <c r="R3" i="7"/>
  <c r="S22" i="7"/>
  <c r="S17" i="7"/>
  <c r="Q16" i="7"/>
  <c r="Q10" i="7"/>
  <c r="Q9" i="7"/>
  <c r="S7" i="7"/>
  <c r="R6" i="7"/>
  <c r="R5" i="7"/>
  <c r="R4" i="7"/>
  <c r="U100" i="7"/>
  <c r="Q20" i="7"/>
  <c r="Q18" i="7"/>
  <c r="T13" i="4"/>
  <c r="Q21" i="7"/>
  <c r="Q15" i="7"/>
  <c r="Q14" i="7"/>
  <c r="R14" i="7"/>
  <c r="S14" i="7"/>
  <c r="R13" i="7"/>
  <c r="Q13" i="7"/>
  <c r="S13" i="7"/>
  <c r="R12" i="7"/>
  <c r="Q11" i="7"/>
  <c r="R11" i="7"/>
  <c r="S11" i="7"/>
  <c r="S32" i="7"/>
  <c r="Q3" i="7"/>
  <c r="Q22" i="7"/>
  <c r="S16" i="7"/>
  <c r="R10" i="7"/>
  <c r="S9" i="7"/>
  <c r="S8" i="7"/>
  <c r="Q7" i="7"/>
  <c r="S6" i="7"/>
  <c r="S5" i="7"/>
  <c r="S4" i="7"/>
  <c r="U99" i="7"/>
  <c r="T17" i="7"/>
  <c r="T9" i="7"/>
  <c r="T7" i="7"/>
  <c r="T4" i="7"/>
  <c r="T3" i="7"/>
  <c r="T22" i="7"/>
  <c r="S20" i="7"/>
  <c r="S18" i="7"/>
  <c r="R21" i="7"/>
  <c r="J22" i="3"/>
  <c r="R15" i="7"/>
  <c r="T19" i="7"/>
  <c r="T11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U29" i="8"/>
  <c r="W29" i="8" a="1"/>
  <c r="N29" i="3" s="1"/>
  <c r="S28" i="8"/>
  <c r="R28" i="8"/>
  <c r="Q28" i="8"/>
  <c r="T30" i="6"/>
  <c r="T29" i="6"/>
  <c r="U29" i="6" s="1"/>
  <c r="S30" i="5"/>
  <c r="R30" i="5"/>
  <c r="Q30" i="5"/>
  <c r="T29" i="5"/>
  <c r="U29" i="5" s="1"/>
  <c r="W29" i="5" a="1"/>
  <c r="K29" i="3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Q26" i="7" s="1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Q24" i="4"/>
  <c r="R24" i="4"/>
  <c r="S24" i="4"/>
  <c r="U50" i="10" l="1"/>
  <c r="W48" i="10" a="1"/>
  <c r="P48" i="3" s="1"/>
  <c r="W47" i="10" a="1"/>
  <c r="P47" i="3" s="1"/>
  <c r="U50" i="9"/>
  <c r="W50" i="9" s="1" a="1"/>
  <c r="W47" i="9" a="1"/>
  <c r="O47" i="3" s="1"/>
  <c r="W49" i="8" a="1"/>
  <c r="N49" i="3" s="1"/>
  <c r="U48" i="7"/>
  <c r="W48" i="7" a="1"/>
  <c r="M48" i="3" s="1"/>
  <c r="U47" i="7"/>
  <c r="U49" i="6"/>
  <c r="W49" i="6" a="1"/>
  <c r="L49" i="3" s="1"/>
  <c r="U50" i="5"/>
  <c r="W50" i="5" a="1"/>
  <c r="K50" i="3" s="1"/>
  <c r="U47" i="5"/>
  <c r="T50" i="4"/>
  <c r="W49" i="4" a="1"/>
  <c r="J49" i="3" s="1"/>
  <c r="U48" i="4"/>
  <c r="W47" i="4" a="1"/>
  <c r="J47" i="3" s="1"/>
  <c r="Q46" i="10"/>
  <c r="R46" i="10"/>
  <c r="S46" i="10"/>
  <c r="Q46" i="9"/>
  <c r="R46" i="9"/>
  <c r="S46" i="9"/>
  <c r="S46" i="7"/>
  <c r="Q46" i="7"/>
  <c r="R46" i="7"/>
  <c r="Q46" i="8"/>
  <c r="R46" i="8"/>
  <c r="S46" i="8"/>
  <c r="S46" i="6"/>
  <c r="R46" i="6"/>
  <c r="Q46" i="6"/>
  <c r="Q46" i="5"/>
  <c r="R46" i="5"/>
  <c r="S46" i="5"/>
  <c r="S46" i="4"/>
  <c r="R46" i="4"/>
  <c r="Q46" i="4"/>
  <c r="Q45" i="10"/>
  <c r="R45" i="10"/>
  <c r="S45" i="10"/>
  <c r="Q45" i="8"/>
  <c r="R45" i="8"/>
  <c r="S45" i="8"/>
  <c r="Q45" i="7"/>
  <c r="R45" i="7"/>
  <c r="S45" i="7"/>
  <c r="Q45" i="5"/>
  <c r="R45" i="5"/>
  <c r="S45" i="5"/>
  <c r="Q45" i="9"/>
  <c r="R45" i="9"/>
  <c r="S45" i="9"/>
  <c r="Q45" i="6"/>
  <c r="R45" i="6"/>
  <c r="S45" i="6"/>
  <c r="Q45" i="4"/>
  <c r="R45" i="4"/>
  <c r="S45" i="4"/>
  <c r="Q44" i="10"/>
  <c r="R44" i="10"/>
  <c r="S44" i="10"/>
  <c r="Q44" i="8"/>
  <c r="R44" i="8"/>
  <c r="S44" i="8"/>
  <c r="S44" i="7"/>
  <c r="Q44" i="7"/>
  <c r="R44" i="7"/>
  <c r="R44" i="6"/>
  <c r="Q44" i="6"/>
  <c r="S44" i="6"/>
  <c r="R44" i="5"/>
  <c r="Q44" i="5"/>
  <c r="S44" i="5"/>
  <c r="R44" i="4"/>
  <c r="S44" i="4"/>
  <c r="Q44" i="4"/>
  <c r="T44" i="9"/>
  <c r="U43" i="5"/>
  <c r="Q43" i="9"/>
  <c r="R43" i="9"/>
  <c r="S43" i="9"/>
  <c r="S43" i="7"/>
  <c r="Q43" i="7"/>
  <c r="R43" i="7"/>
  <c r="Q43" i="10"/>
  <c r="R43" i="10"/>
  <c r="S43" i="10"/>
  <c r="Q43" i="8"/>
  <c r="R43" i="8"/>
  <c r="S43" i="8"/>
  <c r="Q43" i="6"/>
  <c r="R43" i="6"/>
  <c r="S43" i="6"/>
  <c r="T43" i="6"/>
  <c r="W43" i="5" a="1"/>
  <c r="K43" i="3" s="1"/>
  <c r="U43" i="4"/>
  <c r="S42" i="10"/>
  <c r="Q42" i="7"/>
  <c r="R42" i="7"/>
  <c r="S42" i="7"/>
  <c r="R42" i="5"/>
  <c r="Q42" i="5"/>
  <c r="Q42" i="4"/>
  <c r="R42" i="4"/>
  <c r="S42" i="4"/>
  <c r="Q42" i="6"/>
  <c r="R42" i="6"/>
  <c r="S42" i="6"/>
  <c r="S41" i="4"/>
  <c r="Q41" i="10"/>
  <c r="R41" i="10"/>
  <c r="S41" i="10"/>
  <c r="Q41" i="8"/>
  <c r="R41" i="8"/>
  <c r="S41" i="8"/>
  <c r="Q41" i="6"/>
  <c r="R41" i="6"/>
  <c r="S41" i="6"/>
  <c r="R41" i="5"/>
  <c r="S41" i="5"/>
  <c r="Q41" i="5"/>
  <c r="Q41" i="4"/>
  <c r="R41" i="4"/>
  <c r="Q41" i="9"/>
  <c r="R41" i="9"/>
  <c r="S41" i="9"/>
  <c r="R41" i="7"/>
  <c r="Q41" i="7"/>
  <c r="S41" i="7"/>
  <c r="Q40" i="9"/>
  <c r="R40" i="9"/>
  <c r="S40" i="9"/>
  <c r="Q40" i="8"/>
  <c r="R40" i="8"/>
  <c r="S40" i="8"/>
  <c r="S40" i="7"/>
  <c r="Q40" i="7"/>
  <c r="R40" i="7"/>
  <c r="Q40" i="5"/>
  <c r="R40" i="5"/>
  <c r="S40" i="5"/>
  <c r="Q40" i="6"/>
  <c r="R40" i="6"/>
  <c r="S40" i="6"/>
  <c r="T42" i="10"/>
  <c r="T40" i="10"/>
  <c r="T42" i="9"/>
  <c r="T42" i="8"/>
  <c r="U42" i="8"/>
  <c r="W42" i="8" a="1"/>
  <c r="N42" i="3" s="1"/>
  <c r="T42" i="5"/>
  <c r="U42" i="5" s="1"/>
  <c r="T41" i="4"/>
  <c r="T40" i="4"/>
  <c r="S39" i="10"/>
  <c r="R39" i="10"/>
  <c r="Q39" i="10"/>
  <c r="Q39" i="9"/>
  <c r="S39" i="9"/>
  <c r="R39" i="9"/>
  <c r="R39" i="8"/>
  <c r="Q39" i="8"/>
  <c r="S39" i="8"/>
  <c r="Q39" i="7"/>
  <c r="R39" i="7"/>
  <c r="S39" i="7"/>
  <c r="Q39" i="6"/>
  <c r="R39" i="6"/>
  <c r="S39" i="6"/>
  <c r="U39" i="4"/>
  <c r="U39" i="5"/>
  <c r="R38" i="4"/>
  <c r="R38" i="5"/>
  <c r="S38" i="4"/>
  <c r="S38" i="5"/>
  <c r="Q38" i="5"/>
  <c r="R38" i="6"/>
  <c r="Q38" i="6"/>
  <c r="S38" i="6"/>
  <c r="Q38" i="8"/>
  <c r="R38" i="8"/>
  <c r="S38" i="8"/>
  <c r="S38" i="10"/>
  <c r="Q38" i="10"/>
  <c r="R38" i="10"/>
  <c r="Q38" i="9"/>
  <c r="R38" i="9"/>
  <c r="S38" i="9"/>
  <c r="Q38" i="7"/>
  <c r="R38" i="7"/>
  <c r="S38" i="7"/>
  <c r="Q37" i="10"/>
  <c r="R37" i="10"/>
  <c r="S37" i="10"/>
  <c r="Q37" i="9"/>
  <c r="R37" i="9"/>
  <c r="S37" i="9"/>
  <c r="Q37" i="8"/>
  <c r="R37" i="8"/>
  <c r="S37" i="8"/>
  <c r="S37" i="7"/>
  <c r="R37" i="7"/>
  <c r="Q37" i="7"/>
  <c r="R37" i="6"/>
  <c r="S37" i="6"/>
  <c r="Q37" i="6"/>
  <c r="R37" i="5"/>
  <c r="S37" i="5"/>
  <c r="Q37" i="5"/>
  <c r="Q37" i="4"/>
  <c r="R37" i="4"/>
  <c r="S37" i="4"/>
  <c r="Q36" i="10"/>
  <c r="S36" i="10"/>
  <c r="R36" i="10"/>
  <c r="S36" i="8"/>
  <c r="Q36" i="8"/>
  <c r="R36" i="8"/>
  <c r="Q36" i="7"/>
  <c r="R36" i="7"/>
  <c r="S36" i="7"/>
  <c r="Q36" i="6"/>
  <c r="R36" i="6"/>
  <c r="S36" i="6"/>
  <c r="Q36" i="5"/>
  <c r="R36" i="5"/>
  <c r="S36" i="5"/>
  <c r="Q36" i="9"/>
  <c r="R36" i="9"/>
  <c r="S36" i="9"/>
  <c r="Q36" i="4"/>
  <c r="R36" i="4"/>
  <c r="S36" i="4"/>
  <c r="S35" i="5"/>
  <c r="Q35" i="5"/>
  <c r="T35" i="5" s="1"/>
  <c r="R35" i="5"/>
  <c r="Q35" i="7"/>
  <c r="R35" i="7"/>
  <c r="S35" i="7"/>
  <c r="Q35" i="6"/>
  <c r="S35" i="6"/>
  <c r="R35" i="6"/>
  <c r="R35" i="4"/>
  <c r="Q35" i="4"/>
  <c r="S35" i="4"/>
  <c r="Q35" i="10"/>
  <c r="S35" i="10"/>
  <c r="R35" i="10"/>
  <c r="Q35" i="8"/>
  <c r="R35" i="8"/>
  <c r="S35" i="8"/>
  <c r="U35" i="5"/>
  <c r="W35" i="5" a="1"/>
  <c r="K35" i="3" s="1"/>
  <c r="T35" i="9"/>
  <c r="Q34" i="9"/>
  <c r="R34" i="9"/>
  <c r="S34" i="9"/>
  <c r="Q34" i="8"/>
  <c r="R34" i="8"/>
  <c r="S34" i="8"/>
  <c r="R34" i="5"/>
  <c r="Q34" i="5"/>
  <c r="S34" i="10"/>
  <c r="R34" i="10"/>
  <c r="Q34" i="10"/>
  <c r="R34" i="7"/>
  <c r="Q34" i="7"/>
  <c r="S34" i="7"/>
  <c r="Q33" i="8"/>
  <c r="S33" i="8"/>
  <c r="R33" i="8"/>
  <c r="R33" i="10"/>
  <c r="U33" i="6"/>
  <c r="W33" i="6" s="1" a="1"/>
  <c r="L33" i="3" s="1"/>
  <c r="R33" i="9"/>
  <c r="Q33" i="9"/>
  <c r="S33" i="9"/>
  <c r="T33" i="10"/>
  <c r="S33" i="7"/>
  <c r="R33" i="7"/>
  <c r="Q33" i="7"/>
  <c r="S32" i="9"/>
  <c r="R32" i="9"/>
  <c r="Q32" i="9"/>
  <c r="T32" i="10"/>
  <c r="U32" i="10" s="1"/>
  <c r="Q31" i="5"/>
  <c r="R31" i="5"/>
  <c r="S31" i="5"/>
  <c r="S31" i="6"/>
  <c r="Q31" i="6"/>
  <c r="R31" i="6"/>
  <c r="Q31" i="9"/>
  <c r="R31" i="9"/>
  <c r="S31" i="9"/>
  <c r="Q31" i="8"/>
  <c r="S31" i="8"/>
  <c r="R31" i="8"/>
  <c r="S31" i="10"/>
  <c r="R31" i="10"/>
  <c r="Q31" i="10"/>
  <c r="S31" i="7"/>
  <c r="Q31" i="7"/>
  <c r="R31" i="7"/>
  <c r="T33" i="5"/>
  <c r="T32" i="5"/>
  <c r="T31" i="5"/>
  <c r="U31" i="5" s="1"/>
  <c r="T34" i="6"/>
  <c r="U34" i="6" s="1"/>
  <c r="T32" i="6"/>
  <c r="U32" i="6" s="1"/>
  <c r="T32" i="8"/>
  <c r="U33" i="10"/>
  <c r="T31" i="7"/>
  <c r="R33" i="4"/>
  <c r="Q33" i="4"/>
  <c r="S33" i="4"/>
  <c r="Q21" i="4"/>
  <c r="R21" i="4"/>
  <c r="S21" i="4"/>
  <c r="S20" i="4"/>
  <c r="Q20" i="4"/>
  <c r="R20" i="4"/>
  <c r="Q16" i="4"/>
  <c r="R16" i="4"/>
  <c r="S16" i="4"/>
  <c r="R15" i="4"/>
  <c r="S15" i="4"/>
  <c r="Q15" i="4"/>
  <c r="S14" i="4"/>
  <c r="Q14" i="4"/>
  <c r="R14" i="4"/>
  <c r="Q11" i="4"/>
  <c r="S11" i="4"/>
  <c r="R11" i="4"/>
  <c r="Q9" i="4"/>
  <c r="R9" i="4"/>
  <c r="S9" i="4"/>
  <c r="Q4" i="4"/>
  <c r="S4" i="4"/>
  <c r="R4" i="4"/>
  <c r="T102" i="7"/>
  <c r="U102" i="7"/>
  <c r="T106" i="4"/>
  <c r="R3" i="4"/>
  <c r="S3" i="4"/>
  <c r="Q3" i="4"/>
  <c r="Q31" i="4"/>
  <c r="S31" i="4"/>
  <c r="R31" i="4"/>
  <c r="Q30" i="4"/>
  <c r="S30" i="4"/>
  <c r="R30" i="4"/>
  <c r="Q29" i="4"/>
  <c r="R29" i="4"/>
  <c r="S29" i="4"/>
  <c r="R18" i="4"/>
  <c r="Q18" i="4"/>
  <c r="S18" i="4"/>
  <c r="R12" i="4"/>
  <c r="S12" i="4"/>
  <c r="Q12" i="4"/>
  <c r="S8" i="4"/>
  <c r="Q8" i="4"/>
  <c r="R8" i="4"/>
  <c r="R7" i="4"/>
  <c r="Q7" i="4"/>
  <c r="S7" i="4"/>
  <c r="R6" i="4"/>
  <c r="Q6" i="4"/>
  <c r="S6" i="4"/>
  <c r="R5" i="4"/>
  <c r="Q5" i="4"/>
  <c r="S5" i="4"/>
  <c r="T88" i="4"/>
  <c r="Q32" i="4"/>
  <c r="S32" i="4"/>
  <c r="R32" i="4"/>
  <c r="Q17" i="4"/>
  <c r="R17" i="4"/>
  <c r="S17" i="4"/>
  <c r="T17" i="4"/>
  <c r="T64" i="4"/>
  <c r="R34" i="4"/>
  <c r="Q34" i="4"/>
  <c r="S34" i="4"/>
  <c r="S19" i="4"/>
  <c r="Q19" i="4"/>
  <c r="R19" i="4"/>
  <c r="T104" i="7"/>
  <c r="U104" i="7"/>
  <c r="W100" i="7" a="1"/>
  <c r="W99" i="7" a="1"/>
  <c r="W102" i="7" a="1"/>
  <c r="M102" i="3" s="1"/>
  <c r="T64" i="7"/>
  <c r="U64" i="7" s="1"/>
  <c r="S28" i="7"/>
  <c r="U17" i="7"/>
  <c r="W17" i="7" a="1"/>
  <c r="U4" i="7"/>
  <c r="U19" i="7"/>
  <c r="U9" i="7"/>
  <c r="U13" i="4"/>
  <c r="U11" i="7"/>
  <c r="W11" i="7" a="1"/>
  <c r="W3" i="7" a="1"/>
  <c r="U3" i="7"/>
  <c r="U22" i="7"/>
  <c r="U7" i="7"/>
  <c r="M100" i="3"/>
  <c r="T20" i="7"/>
  <c r="T18" i="7"/>
  <c r="T15" i="7"/>
  <c r="M99" i="3"/>
  <c r="W53" i="4" a="1"/>
  <c r="J53" i="3" s="1"/>
  <c r="W87" i="4" a="1"/>
  <c r="J87" i="3" s="1"/>
  <c r="T10" i="7"/>
  <c r="T32" i="7"/>
  <c r="T14" i="7"/>
  <c r="T12" i="7"/>
  <c r="T6" i="7"/>
  <c r="T16" i="7"/>
  <c r="T30" i="7"/>
  <c r="U29" i="7"/>
  <c r="T8" i="7"/>
  <c r="T5" i="7"/>
  <c r="T13" i="7"/>
  <c r="T21" i="7"/>
  <c r="R30" i="10"/>
  <c r="Q30" i="10"/>
  <c r="S30" i="10"/>
  <c r="Q30" i="9"/>
  <c r="R30" i="9"/>
  <c r="S30" i="9"/>
  <c r="U30" i="6"/>
  <c r="T30" i="10"/>
  <c r="W30" i="6" a="1"/>
  <c r="L30" i="3" s="1"/>
  <c r="W29" i="6" a="1"/>
  <c r="L29" i="3" s="1"/>
  <c r="Q28" i="9"/>
  <c r="R28" i="9"/>
  <c r="S28" i="9"/>
  <c r="Q28" i="5"/>
  <c r="R28" i="5"/>
  <c r="S28" i="5"/>
  <c r="Q28" i="4"/>
  <c r="R28" i="4"/>
  <c r="S28" i="4"/>
  <c r="R28" i="7"/>
  <c r="Q28" i="7"/>
  <c r="R28" i="6"/>
  <c r="S28" i="6"/>
  <c r="Q28" i="6"/>
  <c r="T28" i="5"/>
  <c r="U28" i="5" s="1"/>
  <c r="R28" i="10"/>
  <c r="S28" i="10"/>
  <c r="Q28" i="10"/>
  <c r="U29" i="10"/>
  <c r="W29" i="10" a="1"/>
  <c r="P29" i="3" s="1"/>
  <c r="T29" i="9"/>
  <c r="T28" i="8"/>
  <c r="U30" i="7"/>
  <c r="W29" i="7" a="1"/>
  <c r="M29" i="3" s="1"/>
  <c r="T30" i="5"/>
  <c r="U30" i="5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T24" i="4"/>
  <c r="W50" i="10" l="1" a="1"/>
  <c r="P50" i="3" s="1"/>
  <c r="O50" i="3"/>
  <c r="W47" i="7" a="1"/>
  <c r="M47" i="3" s="1"/>
  <c r="W47" i="5" a="1"/>
  <c r="K47" i="3" s="1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U43" i="6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10"/>
  <c r="U40" i="10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T38" i="5"/>
  <c r="T38" i="6"/>
  <c r="W38" i="4" a="1"/>
  <c r="J38" i="3" s="1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3" i="5"/>
  <c r="U32" i="5"/>
  <c r="W31" i="5" a="1"/>
  <c r="K31" i="3" s="1"/>
  <c r="W32" i="6" a="1"/>
  <c r="L32" i="3" s="1"/>
  <c r="U32" i="8"/>
  <c r="W32" i="8" s="1" a="1"/>
  <c r="N32" i="3" s="1"/>
  <c r="W33" i="10" a="1"/>
  <c r="P33" i="3" s="1"/>
  <c r="U31" i="10"/>
  <c r="W31" i="10" s="1" a="1"/>
  <c r="P31" i="3" s="1"/>
  <c r="U21" i="4"/>
  <c r="U20" i="4"/>
  <c r="U16" i="4"/>
  <c r="U15" i="4"/>
  <c r="U14" i="4"/>
  <c r="W11" i="4" a="1"/>
  <c r="J11" i="3" s="1"/>
  <c r="U11" i="4"/>
  <c r="U9" i="4"/>
  <c r="W9" i="4" a="1"/>
  <c r="J9" i="3" s="1"/>
  <c r="U4" i="4"/>
  <c r="U3" i="4"/>
  <c r="U18" i="4"/>
  <c r="U12" i="4"/>
  <c r="W12" i="4" a="1"/>
  <c r="J12" i="3" s="1"/>
  <c r="U8" i="4"/>
  <c r="W8" i="4" a="1"/>
  <c r="J8" i="3" s="1"/>
  <c r="U17" i="4"/>
  <c r="T33" i="4"/>
  <c r="T21" i="4"/>
  <c r="T20" i="4"/>
  <c r="T16" i="4"/>
  <c r="T15" i="4"/>
  <c r="T14" i="4"/>
  <c r="T11" i="4"/>
  <c r="T7" i="4"/>
  <c r="T5" i="4"/>
  <c r="T9" i="4"/>
  <c r="T4" i="4"/>
  <c r="U106" i="4"/>
  <c r="W106" i="4" s="1" a="1"/>
  <c r="J106" i="3" s="1"/>
  <c r="T3" i="4"/>
  <c r="T31" i="4"/>
  <c r="T30" i="4"/>
  <c r="T18" i="4"/>
  <c r="T8" i="4"/>
  <c r="T6" i="4"/>
  <c r="T29" i="4"/>
  <c r="U29" i="4" s="1"/>
  <c r="W29" i="4" s="1" a="1"/>
  <c r="J29" i="3" s="1"/>
  <c r="T12" i="4"/>
  <c r="U88" i="4"/>
  <c r="W88" i="4" s="1" a="1"/>
  <c r="J88" i="3" s="1"/>
  <c r="T32" i="4"/>
  <c r="U64" i="4"/>
  <c r="W64" i="4" s="1" a="1"/>
  <c r="J64" i="3" s="1"/>
  <c r="T34" i="4"/>
  <c r="U34" i="4" s="1"/>
  <c r="T19" i="4"/>
  <c r="W104" i="7" a="1"/>
  <c r="M104" i="3" s="1"/>
  <c r="W64" i="7" a="1"/>
  <c r="M64" i="3" s="1"/>
  <c r="U15" i="7"/>
  <c r="M17" i="3"/>
  <c r="M11" i="3"/>
  <c r="M3" i="3"/>
  <c r="E3" i="3"/>
  <c r="U32" i="7"/>
  <c r="W32" i="7" s="1" a="1"/>
  <c r="U8" i="7"/>
  <c r="U6" i="7"/>
  <c r="W5" i="7" a="1"/>
  <c r="U5" i="7"/>
  <c r="W4" i="7" a="1"/>
  <c r="W19" i="7" a="1"/>
  <c r="U12" i="7"/>
  <c r="U16" i="7"/>
  <c r="W16" i="7" a="1"/>
  <c r="U10" i="7"/>
  <c r="W9" i="7" a="1"/>
  <c r="U20" i="7"/>
  <c r="W20" i="7" a="1"/>
  <c r="U18" i="7"/>
  <c r="W13" i="4" a="1"/>
  <c r="U21" i="7"/>
  <c r="W21" i="7" a="1"/>
  <c r="W15" i="7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30" i="7" a="1"/>
  <c r="M30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24" i="4"/>
  <c r="W24" i="4" a="1"/>
  <c r="J24" i="3" s="1"/>
  <c r="W50" i="4" l="1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W44" i="5" a="1"/>
  <c r="K44" i="3" s="1"/>
  <c r="U44" i="5"/>
  <c r="U44" i="6"/>
  <c r="U44" i="7"/>
  <c r="U44" i="10"/>
  <c r="W44" i="10" s="1" a="1"/>
  <c r="P44" i="3" s="1"/>
  <c r="U43" i="9"/>
  <c r="U43" i="7"/>
  <c r="U43" i="10"/>
  <c r="U43" i="8"/>
  <c r="W43" i="8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W35" i="7" a="1"/>
  <c r="M35" i="3" s="1"/>
  <c r="U35" i="7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W7" i="4" a="1"/>
  <c r="J7" i="3" s="1"/>
  <c r="U7" i="4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E4" i="3"/>
  <c r="M4" i="3"/>
  <c r="M19" i="3"/>
  <c r="M16" i="3"/>
  <c r="M9" i="3"/>
  <c r="M20" i="3"/>
  <c r="J13" i="3"/>
  <c r="M21" i="3"/>
  <c r="M15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W46" i="10" l="1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E5" i="3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J6" i="3" l="1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Y3" i="4"/>
  <c r="C3" i="2" s="1"/>
  <c r="X3" i="4"/>
  <c r="B3" i="2" s="1"/>
  <c r="Y3" i="9"/>
  <c r="C8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E23" i="3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Y3" i="7"/>
  <c r="C6" i="2" s="1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Y3" i="6"/>
  <c r="C5" i="2" s="1"/>
  <c r="X3" i="5"/>
  <c r="B4" i="2" s="1"/>
  <c r="Y3" i="5"/>
  <c r="C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Y3" i="8"/>
  <c r="C7" i="2" s="1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Y3" i="10"/>
  <c r="C9" i="2" s="1"/>
  <c r="X3" i="10"/>
  <c r="B9" i="2" s="1"/>
  <c r="B5" i="3" l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a="1"/>
  <c r="E5" i="2" l="1"/>
  <c r="E4" i="2"/>
  <c r="E9" i="2"/>
  <c r="E8" i="2" l="1"/>
  <c r="E6" i="2"/>
  <c r="E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<sst xmlns="http://schemas.openxmlformats.org/spreadsheetml/2006/main" count="355" uniqueCount="77">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</sst>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3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66</c:v>
                </c:pt>
                <c:pt idx="46">
                  <c:v>66</c:v>
                </c:pt>
                <c:pt idx="47">
                  <c:v>66</c:v>
                </c:pt>
                <c:pt idx="48">
                  <c:v>66</c:v>
                </c:pt>
                <c:pt idx="49">
                  <c:v>66</c:v>
                </c:pt>
                <c:pt idx="50">
                  <c:v>66</c:v>
                </c:pt>
                <c:pt idx="51">
                  <c:v>66</c:v>
                </c:pt>
                <c:pt idx="52">
                  <c:v>66</c:v>
                </c:pt>
                <c:pt idx="53">
                  <c:v>66</c:v>
                </c:pt>
                <c:pt idx="54">
                  <c:v>66</c:v>
                </c:pt>
                <c:pt idx="55">
                  <c:v>66</c:v>
                </c:pt>
                <c:pt idx="56">
                  <c:v>66</c:v>
                </c:pt>
                <c:pt idx="57">
                  <c:v>66</c:v>
                </c:pt>
                <c:pt idx="58">
                  <c:v>66</c:v>
                </c:pt>
                <c:pt idx="59">
                  <c:v>66</c:v>
                </c:pt>
                <c:pt idx="60">
                  <c:v>66</c:v>
                </c:pt>
                <c:pt idx="61">
                  <c:v>66</c:v>
                </c:pt>
                <c:pt idx="62">
                  <c:v>66</c:v>
                </c:pt>
                <c:pt idx="63">
                  <c:v>66</c:v>
                </c:pt>
                <c:pt idx="64">
                  <c:v>66</c:v>
                </c:pt>
                <c:pt idx="65">
                  <c:v>66</c:v>
                </c:pt>
                <c:pt idx="66">
                  <c:v>66</c:v>
                </c:pt>
                <c:pt idx="67">
                  <c:v>66</c:v>
                </c:pt>
                <c:pt idx="68">
                  <c:v>66</c:v>
                </c:pt>
                <c:pt idx="69">
                  <c:v>66</c:v>
                </c:pt>
                <c:pt idx="70">
                  <c:v>66</c:v>
                </c:pt>
                <c:pt idx="71">
                  <c:v>66</c:v>
                </c:pt>
                <c:pt idx="72">
                  <c:v>66</c:v>
                </c:pt>
                <c:pt idx="73">
                  <c:v>66</c:v>
                </c:pt>
                <c:pt idx="74">
                  <c:v>66</c:v>
                </c:pt>
                <c:pt idx="75">
                  <c:v>66</c:v>
                </c:pt>
                <c:pt idx="76">
                  <c:v>66</c:v>
                </c:pt>
                <c:pt idx="77">
                  <c:v>66</c:v>
                </c:pt>
                <c:pt idx="78">
                  <c:v>66</c:v>
                </c:pt>
                <c:pt idx="79">
                  <c:v>66</c:v>
                </c:pt>
                <c:pt idx="80">
                  <c:v>66</c:v>
                </c:pt>
                <c:pt idx="81">
                  <c:v>66</c:v>
                </c:pt>
                <c:pt idx="82">
                  <c:v>66</c:v>
                </c:pt>
                <c:pt idx="83">
                  <c:v>66</c:v>
                </c:pt>
                <c:pt idx="84">
                  <c:v>66</c:v>
                </c:pt>
                <c:pt idx="85">
                  <c:v>66</c:v>
                </c:pt>
                <c:pt idx="86">
                  <c:v>66</c:v>
                </c:pt>
                <c:pt idx="87">
                  <c:v>66</c:v>
                </c:pt>
                <c:pt idx="88">
                  <c:v>66</c:v>
                </c:pt>
                <c:pt idx="89">
                  <c:v>66</c:v>
                </c:pt>
                <c:pt idx="90">
                  <c:v>66</c:v>
                </c:pt>
                <c:pt idx="91">
                  <c:v>66</c:v>
                </c:pt>
                <c:pt idx="92">
                  <c:v>66</c:v>
                </c:pt>
                <c:pt idx="93">
                  <c:v>66</c:v>
                </c:pt>
                <c:pt idx="94">
                  <c:v>66</c:v>
                </c:pt>
                <c:pt idx="95">
                  <c:v>66</c:v>
                </c:pt>
                <c:pt idx="96">
                  <c:v>66</c:v>
                </c:pt>
                <c:pt idx="97">
                  <c:v>66</c:v>
                </c:pt>
                <c:pt idx="98">
                  <c:v>66</c:v>
                </c:pt>
                <c:pt idx="99">
                  <c:v>66</c:v>
                </c:pt>
                <c:pt idx="100">
                  <c:v>66</c:v>
                </c:pt>
                <c:pt idx="101">
                  <c:v>66</c:v>
                </c:pt>
                <c:pt idx="102">
                  <c:v>66</c:v>
                </c:pt>
                <c:pt idx="103">
                  <c:v>66</c:v>
                </c:pt>
                <c:pt idx="104">
                  <c:v>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85</c:v>
                </c:pt>
                <c:pt idx="46">
                  <c:v>85</c:v>
                </c:pt>
                <c:pt idx="47">
                  <c:v>85</c:v>
                </c:pt>
                <c:pt idx="48">
                  <c:v>85</c:v>
                </c:pt>
                <c:pt idx="49">
                  <c:v>85</c:v>
                </c:pt>
                <c:pt idx="50">
                  <c:v>85</c:v>
                </c:pt>
                <c:pt idx="51">
                  <c:v>85</c:v>
                </c:pt>
                <c:pt idx="52">
                  <c:v>85</c:v>
                </c:pt>
                <c:pt idx="53">
                  <c:v>85</c:v>
                </c:pt>
                <c:pt idx="54">
                  <c:v>85</c:v>
                </c:pt>
                <c:pt idx="55">
                  <c:v>85</c:v>
                </c:pt>
                <c:pt idx="56">
                  <c:v>85</c:v>
                </c:pt>
                <c:pt idx="57">
                  <c:v>85</c:v>
                </c:pt>
                <c:pt idx="58">
                  <c:v>85</c:v>
                </c:pt>
                <c:pt idx="59">
                  <c:v>85</c:v>
                </c:pt>
                <c:pt idx="60">
                  <c:v>85</c:v>
                </c:pt>
                <c:pt idx="61">
                  <c:v>85</c:v>
                </c:pt>
                <c:pt idx="62">
                  <c:v>85</c:v>
                </c:pt>
                <c:pt idx="63">
                  <c:v>85</c:v>
                </c:pt>
                <c:pt idx="64">
                  <c:v>85</c:v>
                </c:pt>
                <c:pt idx="65">
                  <c:v>85</c:v>
                </c:pt>
                <c:pt idx="66">
                  <c:v>85</c:v>
                </c:pt>
                <c:pt idx="67">
                  <c:v>85</c:v>
                </c:pt>
                <c:pt idx="68">
                  <c:v>85</c:v>
                </c:pt>
                <c:pt idx="69">
                  <c:v>85</c:v>
                </c:pt>
                <c:pt idx="70">
                  <c:v>85</c:v>
                </c:pt>
                <c:pt idx="71">
                  <c:v>85</c:v>
                </c:pt>
                <c:pt idx="72">
                  <c:v>85</c:v>
                </c:pt>
                <c:pt idx="73">
                  <c:v>85</c:v>
                </c:pt>
                <c:pt idx="74">
                  <c:v>85</c:v>
                </c:pt>
                <c:pt idx="75">
                  <c:v>85</c:v>
                </c:pt>
                <c:pt idx="76">
                  <c:v>85</c:v>
                </c:pt>
                <c:pt idx="77">
                  <c:v>85</c:v>
                </c:pt>
                <c:pt idx="78">
                  <c:v>85</c:v>
                </c:pt>
                <c:pt idx="79">
                  <c:v>85</c:v>
                </c:pt>
                <c:pt idx="80">
                  <c:v>85</c:v>
                </c:pt>
                <c:pt idx="81">
                  <c:v>85</c:v>
                </c:pt>
                <c:pt idx="82">
                  <c:v>85</c:v>
                </c:pt>
                <c:pt idx="83">
                  <c:v>85</c:v>
                </c:pt>
                <c:pt idx="84">
                  <c:v>85</c:v>
                </c:pt>
                <c:pt idx="85">
                  <c:v>85</c:v>
                </c:pt>
                <c:pt idx="86">
                  <c:v>85</c:v>
                </c:pt>
                <c:pt idx="87">
                  <c:v>85</c:v>
                </c:pt>
                <c:pt idx="88">
                  <c:v>85</c:v>
                </c:pt>
                <c:pt idx="89">
                  <c:v>85</c:v>
                </c:pt>
                <c:pt idx="90">
                  <c:v>85</c:v>
                </c:pt>
                <c:pt idx="91">
                  <c:v>85</c:v>
                </c:pt>
                <c:pt idx="92">
                  <c:v>85</c:v>
                </c:pt>
                <c:pt idx="93">
                  <c:v>85</c:v>
                </c:pt>
                <c:pt idx="94">
                  <c:v>85</c:v>
                </c:pt>
                <c:pt idx="95">
                  <c:v>85</c:v>
                </c:pt>
                <c:pt idx="96">
                  <c:v>85</c:v>
                </c:pt>
                <c:pt idx="97">
                  <c:v>85</c:v>
                </c:pt>
                <c:pt idx="98">
                  <c:v>85</c:v>
                </c:pt>
                <c:pt idx="99">
                  <c:v>85</c:v>
                </c:pt>
                <c:pt idx="100">
                  <c:v>85</c:v>
                </c:pt>
                <c:pt idx="101">
                  <c:v>85</c:v>
                </c:pt>
                <c:pt idx="102">
                  <c:v>85</c:v>
                </c:pt>
                <c:pt idx="103">
                  <c:v>85</c:v>
                </c:pt>
                <c:pt idx="104">
                  <c:v>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62</c:v>
                </c:pt>
                <c:pt idx="46">
                  <c:v>62</c:v>
                </c:pt>
                <c:pt idx="47">
                  <c:v>62</c:v>
                </c:pt>
                <c:pt idx="48">
                  <c:v>62</c:v>
                </c:pt>
                <c:pt idx="49">
                  <c:v>62</c:v>
                </c:pt>
                <c:pt idx="50">
                  <c:v>62</c:v>
                </c:pt>
                <c:pt idx="51">
                  <c:v>62</c:v>
                </c:pt>
                <c:pt idx="52">
                  <c:v>62</c:v>
                </c:pt>
                <c:pt idx="53">
                  <c:v>62</c:v>
                </c:pt>
                <c:pt idx="54">
                  <c:v>62</c:v>
                </c:pt>
                <c:pt idx="55">
                  <c:v>62</c:v>
                </c:pt>
                <c:pt idx="56">
                  <c:v>62</c:v>
                </c:pt>
                <c:pt idx="57">
                  <c:v>62</c:v>
                </c:pt>
                <c:pt idx="58">
                  <c:v>62</c:v>
                </c:pt>
                <c:pt idx="59">
                  <c:v>62</c:v>
                </c:pt>
                <c:pt idx="60">
                  <c:v>62</c:v>
                </c:pt>
                <c:pt idx="61">
                  <c:v>62</c:v>
                </c:pt>
                <c:pt idx="62">
                  <c:v>62</c:v>
                </c:pt>
                <c:pt idx="63">
                  <c:v>62</c:v>
                </c:pt>
                <c:pt idx="64">
                  <c:v>62</c:v>
                </c:pt>
                <c:pt idx="65">
                  <c:v>62</c:v>
                </c:pt>
                <c:pt idx="66">
                  <c:v>62</c:v>
                </c:pt>
                <c:pt idx="67">
                  <c:v>62</c:v>
                </c:pt>
                <c:pt idx="68">
                  <c:v>62</c:v>
                </c:pt>
                <c:pt idx="69">
                  <c:v>62</c:v>
                </c:pt>
                <c:pt idx="70">
                  <c:v>62</c:v>
                </c:pt>
                <c:pt idx="71">
                  <c:v>62</c:v>
                </c:pt>
                <c:pt idx="72">
                  <c:v>62</c:v>
                </c:pt>
                <c:pt idx="73">
                  <c:v>62</c:v>
                </c:pt>
                <c:pt idx="74">
                  <c:v>62</c:v>
                </c:pt>
                <c:pt idx="75">
                  <c:v>62</c:v>
                </c:pt>
                <c:pt idx="76">
                  <c:v>62</c:v>
                </c:pt>
                <c:pt idx="77">
                  <c:v>62</c:v>
                </c:pt>
                <c:pt idx="78">
                  <c:v>62</c:v>
                </c:pt>
                <c:pt idx="79">
                  <c:v>62</c:v>
                </c:pt>
                <c:pt idx="80">
                  <c:v>62</c:v>
                </c:pt>
                <c:pt idx="81">
                  <c:v>62</c:v>
                </c:pt>
                <c:pt idx="82">
                  <c:v>62</c:v>
                </c:pt>
                <c:pt idx="83">
                  <c:v>62</c:v>
                </c:pt>
                <c:pt idx="84">
                  <c:v>62</c:v>
                </c:pt>
                <c:pt idx="85">
                  <c:v>62</c:v>
                </c:pt>
                <c:pt idx="86">
                  <c:v>62</c:v>
                </c:pt>
                <c:pt idx="87">
                  <c:v>62</c:v>
                </c:pt>
                <c:pt idx="88">
                  <c:v>62</c:v>
                </c:pt>
                <c:pt idx="89">
                  <c:v>62</c:v>
                </c:pt>
                <c:pt idx="90">
                  <c:v>62</c:v>
                </c:pt>
                <c:pt idx="91">
                  <c:v>62</c:v>
                </c:pt>
                <c:pt idx="92">
                  <c:v>62</c:v>
                </c:pt>
                <c:pt idx="93">
                  <c:v>62</c:v>
                </c:pt>
                <c:pt idx="94">
                  <c:v>62</c:v>
                </c:pt>
                <c:pt idx="95">
                  <c:v>62</c:v>
                </c:pt>
                <c:pt idx="96">
                  <c:v>62</c:v>
                </c:pt>
                <c:pt idx="97">
                  <c:v>62</c:v>
                </c:pt>
                <c:pt idx="98">
                  <c:v>62</c:v>
                </c:pt>
                <c:pt idx="99">
                  <c:v>62</c:v>
                </c:pt>
                <c:pt idx="100">
                  <c:v>62</c:v>
                </c:pt>
                <c:pt idx="101">
                  <c:v>62</c:v>
                </c:pt>
                <c:pt idx="102">
                  <c:v>62</c:v>
                </c:pt>
                <c:pt idx="103">
                  <c:v>62</c:v>
                </c:pt>
                <c:pt idx="104">
                  <c:v>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66</c:v>
                </c:pt>
                <c:pt idx="46">
                  <c:v>66</c:v>
                </c:pt>
                <c:pt idx="47">
                  <c:v>66</c:v>
                </c:pt>
                <c:pt idx="48">
                  <c:v>66</c:v>
                </c:pt>
                <c:pt idx="49">
                  <c:v>66</c:v>
                </c:pt>
                <c:pt idx="50">
                  <c:v>66</c:v>
                </c:pt>
                <c:pt idx="51">
                  <c:v>66</c:v>
                </c:pt>
                <c:pt idx="52">
                  <c:v>66</c:v>
                </c:pt>
                <c:pt idx="53">
                  <c:v>66</c:v>
                </c:pt>
                <c:pt idx="54">
                  <c:v>66</c:v>
                </c:pt>
                <c:pt idx="55">
                  <c:v>66</c:v>
                </c:pt>
                <c:pt idx="56">
                  <c:v>66</c:v>
                </c:pt>
                <c:pt idx="57">
                  <c:v>66</c:v>
                </c:pt>
                <c:pt idx="58">
                  <c:v>66</c:v>
                </c:pt>
                <c:pt idx="59">
                  <c:v>66</c:v>
                </c:pt>
                <c:pt idx="60">
                  <c:v>66</c:v>
                </c:pt>
                <c:pt idx="61">
                  <c:v>66</c:v>
                </c:pt>
                <c:pt idx="62">
                  <c:v>66</c:v>
                </c:pt>
                <c:pt idx="63">
                  <c:v>66</c:v>
                </c:pt>
                <c:pt idx="64">
                  <c:v>66</c:v>
                </c:pt>
                <c:pt idx="65">
                  <c:v>66</c:v>
                </c:pt>
                <c:pt idx="66">
                  <c:v>66</c:v>
                </c:pt>
                <c:pt idx="67">
                  <c:v>66</c:v>
                </c:pt>
                <c:pt idx="68">
                  <c:v>66</c:v>
                </c:pt>
                <c:pt idx="69">
                  <c:v>66</c:v>
                </c:pt>
                <c:pt idx="70">
                  <c:v>66</c:v>
                </c:pt>
                <c:pt idx="71">
                  <c:v>66</c:v>
                </c:pt>
                <c:pt idx="72">
                  <c:v>66</c:v>
                </c:pt>
                <c:pt idx="73">
                  <c:v>66</c:v>
                </c:pt>
                <c:pt idx="74">
                  <c:v>66</c:v>
                </c:pt>
                <c:pt idx="75">
                  <c:v>66</c:v>
                </c:pt>
                <c:pt idx="76">
                  <c:v>66</c:v>
                </c:pt>
                <c:pt idx="77">
                  <c:v>66</c:v>
                </c:pt>
                <c:pt idx="78">
                  <c:v>66</c:v>
                </c:pt>
                <c:pt idx="79">
                  <c:v>66</c:v>
                </c:pt>
                <c:pt idx="80">
                  <c:v>66</c:v>
                </c:pt>
                <c:pt idx="81">
                  <c:v>66</c:v>
                </c:pt>
                <c:pt idx="82">
                  <c:v>66</c:v>
                </c:pt>
                <c:pt idx="83">
                  <c:v>66</c:v>
                </c:pt>
                <c:pt idx="84">
                  <c:v>66</c:v>
                </c:pt>
                <c:pt idx="85">
                  <c:v>66</c:v>
                </c:pt>
                <c:pt idx="86">
                  <c:v>66</c:v>
                </c:pt>
                <c:pt idx="87">
                  <c:v>66</c:v>
                </c:pt>
                <c:pt idx="88">
                  <c:v>66</c:v>
                </c:pt>
                <c:pt idx="89">
                  <c:v>66</c:v>
                </c:pt>
                <c:pt idx="90">
                  <c:v>66</c:v>
                </c:pt>
                <c:pt idx="91">
                  <c:v>66</c:v>
                </c:pt>
                <c:pt idx="92">
                  <c:v>66</c:v>
                </c:pt>
                <c:pt idx="93">
                  <c:v>66</c:v>
                </c:pt>
                <c:pt idx="94">
                  <c:v>66</c:v>
                </c:pt>
                <c:pt idx="95">
                  <c:v>66</c:v>
                </c:pt>
                <c:pt idx="96">
                  <c:v>66</c:v>
                </c:pt>
                <c:pt idx="97">
                  <c:v>66</c:v>
                </c:pt>
                <c:pt idx="98">
                  <c:v>66</c:v>
                </c:pt>
                <c:pt idx="99">
                  <c:v>66</c:v>
                </c:pt>
                <c:pt idx="100">
                  <c:v>66</c:v>
                </c:pt>
                <c:pt idx="101">
                  <c:v>66</c:v>
                </c:pt>
                <c:pt idx="102">
                  <c:v>66</c:v>
                </c:pt>
                <c:pt idx="103">
                  <c:v>66</c:v>
                </c:pt>
                <c:pt idx="104">
                  <c:v>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92</c:v>
                </c:pt>
                <c:pt idx="46">
                  <c:v>92</c:v>
                </c:pt>
                <c:pt idx="47">
                  <c:v>92</c:v>
                </c:pt>
                <c:pt idx="48">
                  <c:v>92</c:v>
                </c:pt>
                <c:pt idx="49">
                  <c:v>92</c:v>
                </c:pt>
                <c:pt idx="50">
                  <c:v>92</c:v>
                </c:pt>
                <c:pt idx="51">
                  <c:v>92</c:v>
                </c:pt>
                <c:pt idx="52">
                  <c:v>92</c:v>
                </c:pt>
                <c:pt idx="53">
                  <c:v>92</c:v>
                </c:pt>
                <c:pt idx="54">
                  <c:v>92</c:v>
                </c:pt>
                <c:pt idx="55">
                  <c:v>92</c:v>
                </c:pt>
                <c:pt idx="56">
                  <c:v>92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92</c:v>
                </c:pt>
                <c:pt idx="63">
                  <c:v>92</c:v>
                </c:pt>
                <c:pt idx="64">
                  <c:v>92</c:v>
                </c:pt>
                <c:pt idx="65">
                  <c:v>92</c:v>
                </c:pt>
                <c:pt idx="66">
                  <c:v>92</c:v>
                </c:pt>
                <c:pt idx="67">
                  <c:v>92</c:v>
                </c:pt>
                <c:pt idx="68">
                  <c:v>92</c:v>
                </c:pt>
                <c:pt idx="69">
                  <c:v>92</c:v>
                </c:pt>
                <c:pt idx="70">
                  <c:v>92</c:v>
                </c:pt>
                <c:pt idx="71">
                  <c:v>92</c:v>
                </c:pt>
                <c:pt idx="72">
                  <c:v>92</c:v>
                </c:pt>
                <c:pt idx="73">
                  <c:v>92</c:v>
                </c:pt>
                <c:pt idx="74">
                  <c:v>92</c:v>
                </c:pt>
                <c:pt idx="75">
                  <c:v>92</c:v>
                </c:pt>
                <c:pt idx="76">
                  <c:v>92</c:v>
                </c:pt>
                <c:pt idx="77">
                  <c:v>92</c:v>
                </c:pt>
                <c:pt idx="78">
                  <c:v>92</c:v>
                </c:pt>
                <c:pt idx="79">
                  <c:v>92</c:v>
                </c:pt>
                <c:pt idx="80">
                  <c:v>92</c:v>
                </c:pt>
                <c:pt idx="81">
                  <c:v>92</c:v>
                </c:pt>
                <c:pt idx="82">
                  <c:v>92</c:v>
                </c:pt>
                <c:pt idx="83">
                  <c:v>92</c:v>
                </c:pt>
                <c:pt idx="84">
                  <c:v>92</c:v>
                </c:pt>
                <c:pt idx="85">
                  <c:v>92</c:v>
                </c:pt>
                <c:pt idx="86">
                  <c:v>92</c:v>
                </c:pt>
                <c:pt idx="87">
                  <c:v>92</c:v>
                </c:pt>
                <c:pt idx="88">
                  <c:v>92</c:v>
                </c:pt>
                <c:pt idx="89">
                  <c:v>92</c:v>
                </c:pt>
                <c:pt idx="90">
                  <c:v>92</c:v>
                </c:pt>
                <c:pt idx="91">
                  <c:v>92</c:v>
                </c:pt>
                <c:pt idx="92">
                  <c:v>92</c:v>
                </c:pt>
                <c:pt idx="93">
                  <c:v>92</c:v>
                </c:pt>
                <c:pt idx="94">
                  <c:v>92</c:v>
                </c:pt>
                <c:pt idx="95">
                  <c:v>92</c:v>
                </c:pt>
                <c:pt idx="96">
                  <c:v>92</c:v>
                </c:pt>
                <c:pt idx="97">
                  <c:v>92</c:v>
                </c:pt>
                <c:pt idx="98">
                  <c:v>92</c:v>
                </c:pt>
                <c:pt idx="99">
                  <c:v>92</c:v>
                </c:pt>
                <c:pt idx="100">
                  <c:v>92</c:v>
                </c:pt>
                <c:pt idx="101">
                  <c:v>92</c:v>
                </c:pt>
                <c:pt idx="102">
                  <c:v>92</c:v>
                </c:pt>
                <c:pt idx="103">
                  <c:v>92</c:v>
                </c:pt>
                <c:pt idx="104">
                  <c:v>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75</c:v>
                </c:pt>
                <c:pt idx="46">
                  <c:v>75</c:v>
                </c:pt>
                <c:pt idx="47">
                  <c:v>75</c:v>
                </c:pt>
                <c:pt idx="48">
                  <c:v>75</c:v>
                </c:pt>
                <c:pt idx="49">
                  <c:v>75</c:v>
                </c:pt>
                <c:pt idx="50">
                  <c:v>75</c:v>
                </c:pt>
                <c:pt idx="51">
                  <c:v>75</c:v>
                </c:pt>
                <c:pt idx="52">
                  <c:v>75</c:v>
                </c:pt>
                <c:pt idx="53">
                  <c:v>75</c:v>
                </c:pt>
                <c:pt idx="54">
                  <c:v>75</c:v>
                </c:pt>
                <c:pt idx="55">
                  <c:v>75</c:v>
                </c:pt>
                <c:pt idx="56">
                  <c:v>75</c:v>
                </c:pt>
                <c:pt idx="57">
                  <c:v>75</c:v>
                </c:pt>
                <c:pt idx="58">
                  <c:v>75</c:v>
                </c:pt>
                <c:pt idx="59">
                  <c:v>75</c:v>
                </c:pt>
                <c:pt idx="60">
                  <c:v>75</c:v>
                </c:pt>
                <c:pt idx="61">
                  <c:v>75</c:v>
                </c:pt>
                <c:pt idx="62">
                  <c:v>75</c:v>
                </c:pt>
                <c:pt idx="63">
                  <c:v>75</c:v>
                </c:pt>
                <c:pt idx="64">
                  <c:v>75</c:v>
                </c:pt>
                <c:pt idx="65">
                  <c:v>75</c:v>
                </c:pt>
                <c:pt idx="66">
                  <c:v>75</c:v>
                </c:pt>
                <c:pt idx="67">
                  <c:v>75</c:v>
                </c:pt>
                <c:pt idx="68">
                  <c:v>75</c:v>
                </c:pt>
                <c:pt idx="69">
                  <c:v>75</c:v>
                </c:pt>
                <c:pt idx="70">
                  <c:v>75</c:v>
                </c:pt>
                <c:pt idx="71">
                  <c:v>75</c:v>
                </c:pt>
                <c:pt idx="72">
                  <c:v>75</c:v>
                </c:pt>
                <c:pt idx="73">
                  <c:v>75</c:v>
                </c:pt>
                <c:pt idx="74">
                  <c:v>75</c:v>
                </c:pt>
                <c:pt idx="75">
                  <c:v>75</c:v>
                </c:pt>
                <c:pt idx="76">
                  <c:v>75</c:v>
                </c:pt>
                <c:pt idx="77">
                  <c:v>75</c:v>
                </c:pt>
                <c:pt idx="78">
                  <c:v>75</c:v>
                </c:pt>
                <c:pt idx="79">
                  <c:v>75</c:v>
                </c:pt>
                <c:pt idx="80">
                  <c:v>75</c:v>
                </c:pt>
                <c:pt idx="81">
                  <c:v>75</c:v>
                </c:pt>
                <c:pt idx="82">
                  <c:v>75</c:v>
                </c:pt>
                <c:pt idx="83">
                  <c:v>75</c:v>
                </c:pt>
                <c:pt idx="84">
                  <c:v>75</c:v>
                </c:pt>
                <c:pt idx="85">
                  <c:v>75</c:v>
                </c:pt>
                <c:pt idx="86">
                  <c:v>75</c:v>
                </c:pt>
                <c:pt idx="87">
                  <c:v>75</c:v>
                </c:pt>
                <c:pt idx="88">
                  <c:v>75</c:v>
                </c:pt>
                <c:pt idx="89">
                  <c:v>75</c:v>
                </c:pt>
                <c:pt idx="90">
                  <c:v>75</c:v>
                </c:pt>
                <c:pt idx="91">
                  <c:v>75</c:v>
                </c:pt>
                <c:pt idx="92">
                  <c:v>75</c:v>
                </c:pt>
                <c:pt idx="93">
                  <c:v>75</c:v>
                </c:pt>
                <c:pt idx="94">
                  <c:v>75</c:v>
                </c:pt>
                <c:pt idx="95">
                  <c:v>75</c:v>
                </c:pt>
                <c:pt idx="96">
                  <c:v>75</c:v>
                </c:pt>
                <c:pt idx="97">
                  <c:v>75</c:v>
                </c:pt>
                <c:pt idx="98">
                  <c:v>75</c:v>
                </c:pt>
                <c:pt idx="99">
                  <c:v>75</c:v>
                </c:pt>
                <c:pt idx="100">
                  <c:v>75</c:v>
                </c:pt>
                <c:pt idx="101">
                  <c:v>75</c:v>
                </c:pt>
                <c:pt idx="102">
                  <c:v>75</c:v>
                </c:pt>
                <c:pt idx="103">
                  <c:v>75</c:v>
                </c:pt>
                <c:pt idx="104">
                  <c:v>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63</c:v>
                </c:pt>
                <c:pt idx="46">
                  <c:v>63</c:v>
                </c:pt>
                <c:pt idx="47">
                  <c:v>63</c:v>
                </c:pt>
                <c:pt idx="48">
                  <c:v>63</c:v>
                </c:pt>
                <c:pt idx="49">
                  <c:v>63</c:v>
                </c:pt>
                <c:pt idx="50">
                  <c:v>63</c:v>
                </c:pt>
                <c:pt idx="51">
                  <c:v>63</c:v>
                </c:pt>
                <c:pt idx="52">
                  <c:v>63</c:v>
                </c:pt>
                <c:pt idx="53">
                  <c:v>63</c:v>
                </c:pt>
                <c:pt idx="54">
                  <c:v>63</c:v>
                </c:pt>
                <c:pt idx="55">
                  <c:v>63</c:v>
                </c:pt>
                <c:pt idx="56">
                  <c:v>63</c:v>
                </c:pt>
                <c:pt idx="57">
                  <c:v>63</c:v>
                </c:pt>
                <c:pt idx="58">
                  <c:v>63</c:v>
                </c:pt>
                <c:pt idx="59">
                  <c:v>63</c:v>
                </c:pt>
                <c:pt idx="60">
                  <c:v>63</c:v>
                </c:pt>
                <c:pt idx="61">
                  <c:v>63</c:v>
                </c:pt>
                <c:pt idx="62">
                  <c:v>63</c:v>
                </c:pt>
                <c:pt idx="63">
                  <c:v>63</c:v>
                </c:pt>
                <c:pt idx="64">
                  <c:v>63</c:v>
                </c:pt>
                <c:pt idx="65">
                  <c:v>63</c:v>
                </c:pt>
                <c:pt idx="66">
                  <c:v>63</c:v>
                </c:pt>
                <c:pt idx="67">
                  <c:v>63</c:v>
                </c:pt>
                <c:pt idx="68">
                  <c:v>63</c:v>
                </c:pt>
                <c:pt idx="69">
                  <c:v>63</c:v>
                </c:pt>
                <c:pt idx="70">
                  <c:v>63</c:v>
                </c:pt>
                <c:pt idx="71">
                  <c:v>63</c:v>
                </c:pt>
                <c:pt idx="72">
                  <c:v>63</c:v>
                </c:pt>
                <c:pt idx="73">
                  <c:v>63</c:v>
                </c:pt>
                <c:pt idx="74">
                  <c:v>63</c:v>
                </c:pt>
                <c:pt idx="75">
                  <c:v>63</c:v>
                </c:pt>
                <c:pt idx="76">
                  <c:v>63</c:v>
                </c:pt>
                <c:pt idx="77">
                  <c:v>63</c:v>
                </c:pt>
                <c:pt idx="78">
                  <c:v>63</c:v>
                </c:pt>
                <c:pt idx="79">
                  <c:v>63</c:v>
                </c:pt>
                <c:pt idx="80">
                  <c:v>63</c:v>
                </c:pt>
                <c:pt idx="81">
                  <c:v>63</c:v>
                </c:pt>
                <c:pt idx="82">
                  <c:v>63</c:v>
                </c:pt>
                <c:pt idx="83">
                  <c:v>63</c:v>
                </c:pt>
                <c:pt idx="84">
                  <c:v>63</c:v>
                </c:pt>
                <c:pt idx="85">
                  <c:v>63</c:v>
                </c:pt>
                <c:pt idx="86">
                  <c:v>63</c:v>
                </c:pt>
                <c:pt idx="87">
                  <c:v>63</c:v>
                </c:pt>
                <c:pt idx="88">
                  <c:v>63</c:v>
                </c:pt>
                <c:pt idx="89">
                  <c:v>63</c:v>
                </c:pt>
                <c:pt idx="90">
                  <c:v>63</c:v>
                </c:pt>
                <c:pt idx="91">
                  <c:v>63</c:v>
                </c:pt>
                <c:pt idx="92">
                  <c:v>63</c:v>
                </c:pt>
                <c:pt idx="93">
                  <c:v>63</c:v>
                </c:pt>
                <c:pt idx="94">
                  <c:v>63</c:v>
                </c:pt>
                <c:pt idx="95">
                  <c:v>63</c:v>
                </c:pt>
                <c:pt idx="96">
                  <c:v>63</c:v>
                </c:pt>
                <c:pt idx="97">
                  <c:v>63</c:v>
                </c:pt>
                <c:pt idx="98">
                  <c:v>63</c:v>
                </c:pt>
                <c:pt idx="99">
                  <c:v>63</c:v>
                </c:pt>
                <c:pt idx="100">
                  <c:v>63</c:v>
                </c:pt>
                <c:pt idx="101">
                  <c:v>63</c:v>
                </c:pt>
                <c:pt idx="102">
                  <c:v>63</c:v>
                </c:pt>
                <c:pt idx="103">
                  <c:v>63</c:v>
                </c:pt>
                <c:pt idx="104">
                  <c:v>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3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1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"/>
  <sheetViews>
    <sheetView topLeftCell="A27" workbookViewId="0">
      <selection activeCell="D55" sqref="D55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26" width="8.5546875" customWidth="1"/>
  </cols>
  <sheetData>
    <row r="1" spans="1:7" ht="14.25" customHeight="1" x14ac:dyDescent="0.3">
      <c r="A1" s="5" t="s">
        <v>0</v>
      </c>
      <c r="B1" s="6"/>
      <c r="C1" s="6"/>
      <c r="D1" s="6"/>
      <c r="E1" s="6"/>
      <c r="F1" s="6"/>
      <c r="G1" s="6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/>
      <c r="D47" s="3" t="s">
        <v>4</v>
      </c>
      <c r="E47" s="3"/>
      <c r="F47" s="3" t="s">
        <v>54</v>
      </c>
      <c r="G47" s="3" t="str">
        <f t="shared" si="0"/>
        <v>-</v>
      </c>
    </row>
    <row r="48" spans="1:7" ht="14.25" customHeight="1" x14ac:dyDescent="0.3">
      <c r="A48" s="3">
        <v>46</v>
      </c>
      <c r="B48" s="3" t="s">
        <v>50</v>
      </c>
      <c r="C48" s="3"/>
      <c r="D48" s="3" t="s">
        <v>4</v>
      </c>
      <c r="E48" s="3"/>
      <c r="F48" s="3" t="s">
        <v>52</v>
      </c>
      <c r="G48" s="3" t="str">
        <f t="shared" si="0"/>
        <v>-</v>
      </c>
    </row>
    <row r="49" spans="1:7" ht="14.25" customHeight="1" x14ac:dyDescent="0.3">
      <c r="A49" s="3">
        <v>47</v>
      </c>
      <c r="B49" s="3" t="s">
        <v>53</v>
      </c>
      <c r="C49" s="3"/>
      <c r="D49" s="3" t="s">
        <v>4</v>
      </c>
      <c r="E49" s="3"/>
      <c r="F49" s="3" t="s">
        <v>51</v>
      </c>
      <c r="G49" s="3" t="str">
        <f t="shared" si="0"/>
        <v>-</v>
      </c>
    </row>
    <row r="50" spans="1:7" ht="14.25" customHeight="1" x14ac:dyDescent="0.3">
      <c r="A50" s="3">
        <v>48</v>
      </c>
      <c r="B50" s="3" t="s">
        <v>55</v>
      </c>
      <c r="C50" s="3"/>
      <c r="D50" s="3" t="s">
        <v>4</v>
      </c>
      <c r="E50" s="3"/>
      <c r="F50" s="3" t="s">
        <v>49</v>
      </c>
      <c r="G50" s="3" t="str">
        <f t="shared" si="0"/>
        <v>-</v>
      </c>
    </row>
    <row r="51" spans="1:7" ht="14.25" customHeight="1" x14ac:dyDescent="0.3">
      <c r="A51" s="3">
        <v>49</v>
      </c>
      <c r="B51" s="3" t="s">
        <v>17</v>
      </c>
      <c r="C51" s="3"/>
      <c r="D51" s="3" t="s">
        <v>4</v>
      </c>
      <c r="E51" s="3"/>
      <c r="F51" s="3" t="s">
        <v>12</v>
      </c>
      <c r="G51" s="3" t="str">
        <f t="shared" si="0"/>
        <v>-</v>
      </c>
    </row>
    <row r="52" spans="1:7" ht="14.25" customHeight="1" x14ac:dyDescent="0.3">
      <c r="A52" s="3">
        <v>50</v>
      </c>
      <c r="B52" s="3" t="s">
        <v>13</v>
      </c>
      <c r="C52" s="3"/>
      <c r="D52" s="3" t="s">
        <v>4</v>
      </c>
      <c r="E52" s="3"/>
      <c r="F52" s="3" t="s">
        <v>16</v>
      </c>
      <c r="G52" s="3" t="str">
        <f t="shared" si="0"/>
        <v>-</v>
      </c>
    </row>
    <row r="53" spans="1:7" ht="14.25" customHeight="1" x14ac:dyDescent="0.3">
      <c r="A53" s="3">
        <v>51</v>
      </c>
      <c r="B53" s="3" t="s">
        <v>19</v>
      </c>
      <c r="C53" s="3"/>
      <c r="D53" s="3" t="s">
        <v>4</v>
      </c>
      <c r="E53" s="3"/>
      <c r="F53" s="3" t="s">
        <v>20</v>
      </c>
      <c r="G53" s="3" t="str">
        <f t="shared" si="0"/>
        <v>-</v>
      </c>
    </row>
    <row r="54" spans="1:7" ht="14.25" customHeight="1" x14ac:dyDescent="0.3">
      <c r="A54" s="3">
        <v>52</v>
      </c>
      <c r="B54" s="3" t="s">
        <v>21</v>
      </c>
      <c r="C54" s="3"/>
      <c r="D54" s="3" t="s">
        <v>4</v>
      </c>
      <c r="E54" s="3"/>
      <c r="F54" s="3" t="s">
        <v>18</v>
      </c>
      <c r="G54" s="3" t="str">
        <f t="shared" si="0"/>
        <v>-</v>
      </c>
    </row>
    <row r="55" spans="1:7" ht="14.25" customHeight="1" x14ac:dyDescent="0.3">
      <c r="A55" s="3">
        <v>53</v>
      </c>
      <c r="B55" s="3" t="s">
        <v>9</v>
      </c>
      <c r="C55" s="3"/>
      <c r="D55" s="3" t="s">
        <v>4</v>
      </c>
      <c r="E55" s="3"/>
      <c r="F55" s="3" t="s">
        <v>10</v>
      </c>
      <c r="G55" s="3" t="str">
        <f t="shared" si="0"/>
        <v>-</v>
      </c>
    </row>
    <row r="56" spans="1:7" ht="14.25" customHeight="1" x14ac:dyDescent="0.3">
      <c r="A56" s="3">
        <v>54</v>
      </c>
      <c r="B56" s="3" t="s">
        <v>11</v>
      </c>
      <c r="C56" s="3"/>
      <c r="D56" s="3" t="s">
        <v>4</v>
      </c>
      <c r="E56" s="3"/>
      <c r="F56" s="3" t="s">
        <v>8</v>
      </c>
      <c r="G56" s="3" t="str">
        <f t="shared" si="0"/>
        <v>-</v>
      </c>
    </row>
    <row r="57" spans="1:7" ht="14.25" customHeight="1" x14ac:dyDescent="0.3">
      <c r="A57" s="3">
        <v>55</v>
      </c>
      <c r="B57" s="3" t="s">
        <v>25</v>
      </c>
      <c r="C57" s="3"/>
      <c r="D57" s="3" t="s">
        <v>4</v>
      </c>
      <c r="E57" s="3"/>
      <c r="F57" s="3" t="s">
        <v>28</v>
      </c>
      <c r="G57" s="3" t="str">
        <f t="shared" si="0"/>
        <v>-</v>
      </c>
    </row>
    <row r="58" spans="1:7" ht="14.25" customHeight="1" x14ac:dyDescent="0.3">
      <c r="A58" s="3">
        <v>56</v>
      </c>
      <c r="B58" s="3" t="s">
        <v>29</v>
      </c>
      <c r="C58" s="3"/>
      <c r="D58" s="3" t="s">
        <v>4</v>
      </c>
      <c r="E58" s="3"/>
      <c r="F58" s="3" t="s">
        <v>24</v>
      </c>
      <c r="G58" s="3" t="str">
        <f t="shared" si="0"/>
        <v>-</v>
      </c>
    </row>
    <row r="59" spans="1:7" ht="14.25" customHeight="1" x14ac:dyDescent="0.3">
      <c r="A59" s="3">
        <v>57</v>
      </c>
      <c r="B59" s="3" t="s">
        <v>31</v>
      </c>
      <c r="C59" s="3"/>
      <c r="D59" s="3" t="s">
        <v>4</v>
      </c>
      <c r="E59" s="3"/>
      <c r="F59" s="3" t="s">
        <v>26</v>
      </c>
      <c r="G59" s="3" t="str">
        <f t="shared" si="0"/>
        <v>-</v>
      </c>
    </row>
    <row r="60" spans="1:7" ht="14.25" customHeight="1" x14ac:dyDescent="0.3">
      <c r="A60" s="3">
        <v>58</v>
      </c>
      <c r="B60" s="3" t="s">
        <v>27</v>
      </c>
      <c r="C60" s="3"/>
      <c r="D60" s="3" t="s">
        <v>4</v>
      </c>
      <c r="E60" s="3"/>
      <c r="F60" s="3" t="s">
        <v>30</v>
      </c>
      <c r="G60" s="3" t="str">
        <f t="shared" si="0"/>
        <v>-</v>
      </c>
    </row>
    <row r="61" spans="1:7" ht="14.25" customHeight="1" x14ac:dyDescent="0.3">
      <c r="A61" s="3">
        <v>59</v>
      </c>
      <c r="B61" s="3" t="s">
        <v>23</v>
      </c>
      <c r="C61" s="3"/>
      <c r="D61" s="3" t="s">
        <v>4</v>
      </c>
      <c r="E61" s="3"/>
      <c r="F61" s="3" t="s">
        <v>14</v>
      </c>
      <c r="G61" s="3" t="str">
        <f t="shared" si="0"/>
        <v>-</v>
      </c>
    </row>
    <row r="62" spans="1:7" ht="14.25" customHeight="1" x14ac:dyDescent="0.3">
      <c r="A62" s="3">
        <v>60</v>
      </c>
      <c r="B62" s="3" t="s">
        <v>15</v>
      </c>
      <c r="C62" s="3"/>
      <c r="D62" s="3" t="s">
        <v>4</v>
      </c>
      <c r="E62" s="3"/>
      <c r="F62" s="3" t="s">
        <v>22</v>
      </c>
      <c r="G62" s="3" t="str">
        <f t="shared" si="0"/>
        <v>-</v>
      </c>
    </row>
    <row r="63" spans="1:7" ht="14.25" customHeight="1" x14ac:dyDescent="0.3">
      <c r="A63" s="3">
        <v>61</v>
      </c>
      <c r="B63" s="3" t="s">
        <v>43</v>
      </c>
      <c r="C63" s="3"/>
      <c r="D63" s="3" t="s">
        <v>4</v>
      </c>
      <c r="E63" s="3"/>
      <c r="F63" s="3" t="s">
        <v>40</v>
      </c>
      <c r="G63" s="3" t="str">
        <f t="shared" si="0"/>
        <v>-</v>
      </c>
    </row>
    <row r="64" spans="1:7" ht="14.25" customHeight="1" x14ac:dyDescent="0.3">
      <c r="A64" s="3">
        <v>62</v>
      </c>
      <c r="B64" s="3" t="s">
        <v>41</v>
      </c>
      <c r="C64" s="3"/>
      <c r="D64" s="3" t="s">
        <v>4</v>
      </c>
      <c r="E64" s="3"/>
      <c r="F64" s="3" t="s">
        <v>42</v>
      </c>
      <c r="G64" s="3" t="str">
        <f t="shared" si="0"/>
        <v>-</v>
      </c>
    </row>
    <row r="65" spans="1:7" ht="14.25" customHeight="1" x14ac:dyDescent="0.3">
      <c r="A65" s="3">
        <v>63</v>
      </c>
      <c r="B65" s="3" t="s">
        <v>33</v>
      </c>
      <c r="C65" s="3"/>
      <c r="D65" s="3" t="s">
        <v>4</v>
      </c>
      <c r="E65" s="3"/>
      <c r="F65" s="3" t="s">
        <v>36</v>
      </c>
      <c r="G65" s="3" t="str">
        <f t="shared" si="0"/>
        <v>-</v>
      </c>
    </row>
    <row r="66" spans="1:7" ht="14.25" customHeight="1" x14ac:dyDescent="0.3">
      <c r="A66" s="3">
        <v>64</v>
      </c>
      <c r="B66" s="3" t="s">
        <v>37</v>
      </c>
      <c r="C66" s="3"/>
      <c r="D66" s="3" t="s">
        <v>4</v>
      </c>
      <c r="E66" s="3"/>
      <c r="F66" s="3" t="s">
        <v>32</v>
      </c>
      <c r="G66" s="3" t="str">
        <f t="shared" si="0"/>
        <v>-</v>
      </c>
    </row>
    <row r="67" spans="1:7" ht="14.25" customHeight="1" x14ac:dyDescent="0.3">
      <c r="A67" s="3">
        <v>65</v>
      </c>
      <c r="B67" s="3" t="s">
        <v>39</v>
      </c>
      <c r="C67" s="3"/>
      <c r="D67" s="3" t="s">
        <v>4</v>
      </c>
      <c r="E67" s="3"/>
      <c r="F67" s="3" t="s">
        <v>34</v>
      </c>
      <c r="G67" s="3" t="str">
        <f t="shared" si="0"/>
        <v>-</v>
      </c>
    </row>
    <row r="68" spans="1:7" ht="14.25" customHeight="1" x14ac:dyDescent="0.3">
      <c r="A68" s="3">
        <v>66</v>
      </c>
      <c r="B68" s="3" t="s">
        <v>35</v>
      </c>
      <c r="C68" s="3"/>
      <c r="D68" s="3" t="s">
        <v>4</v>
      </c>
      <c r="E68" s="3"/>
      <c r="F68" s="3" t="s">
        <v>38</v>
      </c>
      <c r="G68" s="3" t="str">
        <f t="shared" si="0"/>
        <v>-</v>
      </c>
    </row>
    <row r="69" spans="1:7" ht="14.25" customHeight="1" x14ac:dyDescent="0.3">
      <c r="A69" s="3">
        <v>67</v>
      </c>
      <c r="B69" s="3" t="s">
        <v>53</v>
      </c>
      <c r="C69" s="3"/>
      <c r="D69" s="3" t="s">
        <v>4</v>
      </c>
      <c r="E69" s="3"/>
      <c r="F69" s="3" t="s">
        <v>50</v>
      </c>
      <c r="G69" s="3" t="str">
        <f t="shared" si="0"/>
        <v>-</v>
      </c>
    </row>
    <row r="70" spans="1:7" ht="14.25" customHeight="1" x14ac:dyDescent="0.3">
      <c r="A70" s="3">
        <v>68</v>
      </c>
      <c r="B70" s="3" t="s">
        <v>51</v>
      </c>
      <c r="C70" s="3"/>
      <c r="D70" s="3" t="s">
        <v>4</v>
      </c>
      <c r="E70" s="3"/>
      <c r="F70" s="3" t="s">
        <v>52</v>
      </c>
      <c r="G70" s="3" t="str">
        <f t="shared" si="0"/>
        <v>-</v>
      </c>
    </row>
    <row r="71" spans="1:7" ht="14.25" customHeight="1" x14ac:dyDescent="0.3">
      <c r="A71" s="3">
        <v>69</v>
      </c>
      <c r="B71" s="3" t="s">
        <v>55</v>
      </c>
      <c r="C71" s="3"/>
      <c r="D71" s="3" t="s">
        <v>4</v>
      </c>
      <c r="E71" s="3"/>
      <c r="F71" s="3" t="s">
        <v>48</v>
      </c>
      <c r="G71" s="3" t="str">
        <f t="shared" si="0"/>
        <v>-</v>
      </c>
    </row>
    <row r="72" spans="1:7" ht="14.25" customHeight="1" x14ac:dyDescent="0.3">
      <c r="A72" s="3">
        <v>70</v>
      </c>
      <c r="B72" s="3" t="s">
        <v>49</v>
      </c>
      <c r="C72" s="3"/>
      <c r="D72" s="3" t="s">
        <v>4</v>
      </c>
      <c r="E72" s="3"/>
      <c r="F72" s="3" t="s">
        <v>54</v>
      </c>
      <c r="G72" s="3" t="str">
        <f t="shared" si="0"/>
        <v>-</v>
      </c>
    </row>
    <row r="73" spans="1:7" ht="14.25" customHeight="1" x14ac:dyDescent="0.3">
      <c r="A73" s="3">
        <v>71</v>
      </c>
      <c r="B73" s="3" t="s">
        <v>45</v>
      </c>
      <c r="C73" s="3"/>
      <c r="D73" s="3" t="s">
        <v>4</v>
      </c>
      <c r="E73" s="3"/>
      <c r="F73" s="3" t="s">
        <v>46</v>
      </c>
      <c r="G73" s="3" t="str">
        <f t="shared" si="0"/>
        <v>-</v>
      </c>
    </row>
    <row r="74" spans="1:7" ht="14.25" customHeight="1" x14ac:dyDescent="0.3">
      <c r="A74" s="3">
        <v>72</v>
      </c>
      <c r="B74" s="3" t="s">
        <v>47</v>
      </c>
      <c r="C74" s="3"/>
      <c r="D74" s="3" t="s">
        <v>4</v>
      </c>
      <c r="E74" s="3"/>
      <c r="F74" s="3" t="s">
        <v>44</v>
      </c>
      <c r="G74" s="3" t="str">
        <f t="shared" si="0"/>
        <v>-</v>
      </c>
    </row>
    <row r="75" spans="1:7" ht="14.25" customHeight="1" x14ac:dyDescent="0.3">
      <c r="A75" s="3">
        <v>73</v>
      </c>
      <c r="B75" s="3"/>
      <c r="C75" s="3"/>
      <c r="D75" s="3" t="s">
        <v>4</v>
      </c>
      <c r="E75" s="3"/>
      <c r="F75" s="3"/>
      <c r="G75" s="3" t="str">
        <f t="shared" si="0"/>
        <v>-</v>
      </c>
    </row>
    <row r="76" spans="1:7" ht="14.25" customHeight="1" x14ac:dyDescent="0.3">
      <c r="A76" s="3">
        <v>74</v>
      </c>
      <c r="B76" s="3"/>
      <c r="C76" s="3"/>
      <c r="D76" s="3" t="s">
        <v>4</v>
      </c>
      <c r="E76" s="3"/>
      <c r="F76" s="3"/>
      <c r="G76" s="3" t="str">
        <f t="shared" si="0"/>
        <v>-</v>
      </c>
    </row>
    <row r="77" spans="1:7" ht="14.25" customHeight="1" x14ac:dyDescent="0.3">
      <c r="A77" s="3">
        <v>75</v>
      </c>
      <c r="B77" s="3"/>
      <c r="C77" s="3"/>
      <c r="D77" s="3" t="s">
        <v>4</v>
      </c>
      <c r="E77" s="3"/>
      <c r="F77" s="3"/>
      <c r="G77" s="3" t="str">
        <f t="shared" si="0"/>
        <v>-</v>
      </c>
    </row>
    <row r="78" spans="1:7" ht="14.25" customHeight="1" x14ac:dyDescent="0.3">
      <c r="A78" s="3">
        <v>76</v>
      </c>
      <c r="B78" s="3"/>
      <c r="C78" s="3"/>
      <c r="D78" s="3" t="s">
        <v>4</v>
      </c>
      <c r="E78" s="3"/>
      <c r="F78" s="3"/>
      <c r="G78" s="3" t="str">
        <f t="shared" si="0"/>
        <v>-</v>
      </c>
    </row>
    <row r="79" spans="1:7" ht="14.25" customHeight="1" x14ac:dyDescent="0.3">
      <c r="A79" s="3">
        <v>77</v>
      </c>
      <c r="B79" s="3"/>
      <c r="C79" s="3"/>
      <c r="D79" s="3" t="s">
        <v>4</v>
      </c>
      <c r="E79" s="3"/>
      <c r="F79" s="3"/>
      <c r="G79" s="3" t="str">
        <f t="shared" si="0"/>
        <v>-</v>
      </c>
    </row>
    <row r="80" spans="1:7" ht="14.25" customHeight="1" x14ac:dyDescent="0.3">
      <c r="A80" s="3">
        <v>78</v>
      </c>
      <c r="B80" s="3"/>
      <c r="C80" s="3"/>
      <c r="D80" s="3" t="s">
        <v>4</v>
      </c>
      <c r="E80" s="3"/>
      <c r="F80" s="3"/>
      <c r="G80" s="3" t="str">
        <f t="shared" si="0"/>
        <v>-</v>
      </c>
    </row>
    <row r="81" spans="1:7" ht="14.25" customHeight="1" x14ac:dyDescent="0.3">
      <c r="A81" s="3">
        <v>79</v>
      </c>
      <c r="B81" s="3"/>
      <c r="C81" s="3"/>
      <c r="D81" s="3" t="s">
        <v>4</v>
      </c>
      <c r="E81" s="3"/>
      <c r="F81" s="3"/>
      <c r="G81" s="3" t="str">
        <f t="shared" si="0"/>
        <v>-</v>
      </c>
    </row>
    <row r="82" spans="1:7" ht="14.25" customHeight="1" x14ac:dyDescent="0.3">
      <c r="A82" s="3">
        <v>80</v>
      </c>
      <c r="B82" s="3"/>
      <c r="C82" s="3"/>
      <c r="D82" s="3" t="s">
        <v>4</v>
      </c>
      <c r="E82" s="3"/>
      <c r="F82" s="3"/>
      <c r="G82" s="3" t="str">
        <f t="shared" si="0"/>
        <v>-</v>
      </c>
    </row>
    <row r="83" spans="1:7" ht="14.25" customHeight="1" x14ac:dyDescent="0.3">
      <c r="A83" s="3">
        <v>81</v>
      </c>
      <c r="B83" s="3"/>
      <c r="C83" s="3"/>
      <c r="D83" s="3" t="s">
        <v>4</v>
      </c>
      <c r="E83" s="3"/>
      <c r="F83" s="3"/>
      <c r="G83" s="3" t="str">
        <f t="shared" si="0"/>
        <v>-</v>
      </c>
    </row>
    <row r="84" spans="1:7" ht="14.25" customHeight="1" x14ac:dyDescent="0.3">
      <c r="A84" s="3">
        <v>82</v>
      </c>
      <c r="B84" s="3"/>
      <c r="C84" s="3"/>
      <c r="D84" s="3" t="s">
        <v>4</v>
      </c>
      <c r="E84" s="3"/>
      <c r="F84" s="3"/>
      <c r="G84" s="3" t="str">
        <f t="shared" si="0"/>
        <v>-</v>
      </c>
    </row>
    <row r="85" spans="1:7" ht="14.25" customHeight="1" x14ac:dyDescent="0.3">
      <c r="A85" s="3">
        <v>83</v>
      </c>
      <c r="B85" s="3"/>
      <c r="C85" s="3"/>
      <c r="D85" s="3" t="s">
        <v>4</v>
      </c>
      <c r="E85" s="3"/>
      <c r="F85" s="3"/>
      <c r="G85" s="3" t="str">
        <f t="shared" si="0"/>
        <v>-</v>
      </c>
    </row>
    <row r="86" spans="1:7" ht="14.25" customHeight="1" x14ac:dyDescent="0.3">
      <c r="A86" s="3">
        <v>84</v>
      </c>
      <c r="B86" s="3"/>
      <c r="C86" s="3"/>
      <c r="D86" s="3" t="s">
        <v>4</v>
      </c>
      <c r="E86" s="3"/>
      <c r="F86" s="3"/>
      <c r="G86" s="3" t="str">
        <f t="shared" si="0"/>
        <v>-</v>
      </c>
    </row>
    <row r="87" spans="1:7" ht="14.25" customHeight="1" x14ac:dyDescent="0.3">
      <c r="A87" s="3">
        <v>85</v>
      </c>
      <c r="B87" s="3"/>
      <c r="C87" s="3"/>
      <c r="D87" s="3" t="s">
        <v>4</v>
      </c>
      <c r="E87" s="3"/>
      <c r="F87" s="3"/>
      <c r="G87" s="3" t="str">
        <f t="shared" si="0"/>
        <v>-</v>
      </c>
    </row>
    <row r="88" spans="1:7" ht="14.25" customHeight="1" x14ac:dyDescent="0.3">
      <c r="A88" s="3">
        <v>86</v>
      </c>
      <c r="B88" s="3"/>
      <c r="C88" s="3"/>
      <c r="D88" s="3" t="s">
        <v>4</v>
      </c>
      <c r="E88" s="3"/>
      <c r="F88" s="3"/>
      <c r="G88" s="3" t="str">
        <f t="shared" si="0"/>
        <v>-</v>
      </c>
    </row>
    <row r="89" spans="1:7" ht="14.25" customHeight="1" x14ac:dyDescent="0.3">
      <c r="A89" s="3">
        <v>87</v>
      </c>
      <c r="B89" s="3"/>
      <c r="C89" s="3"/>
      <c r="D89" s="3" t="s">
        <v>4</v>
      </c>
      <c r="E89" s="3"/>
      <c r="F89" s="3"/>
      <c r="G89" s="3" t="str">
        <f t="shared" si="0"/>
        <v>-</v>
      </c>
    </row>
    <row r="90" spans="1:7" ht="14.25" customHeight="1" x14ac:dyDescent="0.3">
      <c r="A90" s="3">
        <v>88</v>
      </c>
      <c r="B90" s="3"/>
      <c r="C90" s="3"/>
      <c r="D90" s="3" t="s">
        <v>4</v>
      </c>
      <c r="E90" s="3"/>
      <c r="F90" s="3"/>
      <c r="G90" s="3" t="str">
        <f t="shared" si="0"/>
        <v>-</v>
      </c>
    </row>
    <row r="91" spans="1:7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</row>
    <row r="92" spans="1:7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</row>
    <row r="93" spans="1:7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</row>
    <row r="94" spans="1:7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</row>
    <row r="95" spans="1:7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</row>
    <row r="96" spans="1:7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</row>
    <row r="97" spans="1:7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</row>
    <row r="98" spans="1:7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</row>
    <row r="99" spans="1:7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</row>
    <row r="100" spans="1:7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</row>
    <row r="101" spans="1:7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</row>
    <row r="102" spans="1:7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</row>
    <row r="103" spans="1:7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</row>
    <row r="104" spans="1:7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</row>
    <row r="105" spans="1:7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</row>
    <row r="106" spans="1:7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abSelected="1" topLeftCell="E1" zoomScale="85" zoomScaleNormal="85" workbookViewId="0">
      <selection activeCell="E1" sqref="E1:H9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4" t="s">
        <v>56</v>
      </c>
      <c r="F1" s="4"/>
      <c r="G1" s="4"/>
      <c r="H1" s="4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66</v>
      </c>
      <c r="C3" s="1">
        <f>Rodrigo!Y3</f>
        <v>3</v>
      </c>
      <c r="E3" s="1">
        <v>1</v>
      </c>
      <c r="F3" s="1" t="str" cm="1">
        <f t="array" ref="F3:H9">_xlfn.SORTBY(A3:C9,B3:B9,-1,C3:C9,-1,A3:A9,1)</f>
        <v>Ana</v>
      </c>
      <c r="G3" s="1">
        <v>92</v>
      </c>
      <c r="H3" s="1">
        <v>5</v>
      </c>
    </row>
    <row r="4" spans="1:8" x14ac:dyDescent="0.45">
      <c r="A4" s="1" t="s">
        <v>62</v>
      </c>
      <c r="B4" s="1">
        <f>Arthur!X3</f>
        <v>85</v>
      </c>
      <c r="C4" s="1">
        <f>Arthur!Y3</f>
        <v>4</v>
      </c>
      <c r="E4" s="1">
        <f>IF(AND(G4=G3,H4=H3),E3,2)</f>
        <v>2</v>
      </c>
      <c r="F4" s="1" t="str">
        <v>Arthur</v>
      </c>
      <c r="G4" s="1">
        <v>85</v>
      </c>
      <c r="H4" s="1">
        <v>4</v>
      </c>
    </row>
    <row r="5" spans="1:8" x14ac:dyDescent="0.45">
      <c r="A5" s="1" t="s">
        <v>63</v>
      </c>
      <c r="B5" s="1">
        <f>Dudu!X3</f>
        <v>62</v>
      </c>
      <c r="C5" s="1">
        <f>Dudu!Y3</f>
        <v>4</v>
      </c>
      <c r="E5" s="1">
        <f>IF(AND(G5=G4,H5=H4),E4,3)</f>
        <v>3</v>
      </c>
      <c r="F5" s="1" t="str">
        <v>Isa</v>
      </c>
      <c r="G5" s="1">
        <v>75</v>
      </c>
      <c r="H5" s="1">
        <v>2</v>
      </c>
    </row>
    <row r="6" spans="1:8" x14ac:dyDescent="0.45">
      <c r="A6" s="1" t="s">
        <v>64</v>
      </c>
      <c r="B6" s="1">
        <f>Carol!X3</f>
        <v>66</v>
      </c>
      <c r="C6" s="1">
        <f>Carol!Y3</f>
        <v>2</v>
      </c>
      <c r="E6" s="1">
        <f>IF(AND(G6=G5,H6=H5),E5,4)</f>
        <v>4</v>
      </c>
      <c r="F6" s="1" t="str">
        <v>Rodrigo</v>
      </c>
      <c r="G6" s="1">
        <v>66</v>
      </c>
      <c r="H6" s="1">
        <v>3</v>
      </c>
    </row>
    <row r="7" spans="1:8" x14ac:dyDescent="0.45">
      <c r="A7" s="1" t="s">
        <v>65</v>
      </c>
      <c r="B7" s="1">
        <f>Ana!X3</f>
        <v>92</v>
      </c>
      <c r="C7" s="1">
        <f>Ana!Y3</f>
        <v>5</v>
      </c>
      <c r="E7" s="1">
        <f>IF(AND(G7=G6,H7=H6),E6,5)</f>
        <v>5</v>
      </c>
      <c r="F7" s="1" t="str">
        <v>Carol</v>
      </c>
      <c r="G7" s="1">
        <v>66</v>
      </c>
      <c r="H7" s="1">
        <v>2</v>
      </c>
    </row>
    <row r="8" spans="1:8" x14ac:dyDescent="0.45">
      <c r="A8" s="1" t="s">
        <v>66</v>
      </c>
      <c r="B8" s="1">
        <f>Isa!X3</f>
        <v>75</v>
      </c>
      <c r="C8" s="1">
        <f>Isa!Y3</f>
        <v>2</v>
      </c>
      <c r="E8" s="1">
        <f>IF(AND(G8=G7,H8=H7),E7,6)</f>
        <v>6</v>
      </c>
      <c r="F8" s="1" t="str">
        <v>Trops</v>
      </c>
      <c r="G8" s="1">
        <v>63</v>
      </c>
      <c r="H8" s="1">
        <v>1</v>
      </c>
    </row>
    <row r="9" spans="1:8" x14ac:dyDescent="0.45">
      <c r="A9" s="1" t="s">
        <v>67</v>
      </c>
      <c r="B9" s="1">
        <f>Trops!X3</f>
        <v>63</v>
      </c>
      <c r="C9" s="1">
        <f>Trops!Y3</f>
        <v>1</v>
      </c>
      <c r="E9" s="1">
        <f>IF(AND(G9=G8,H9=H8),E8,7)</f>
        <v>7</v>
      </c>
      <c r="F9" s="1" t="str">
        <v>Dudu</v>
      </c>
      <c r="G9" s="1">
        <v>62</v>
      </c>
      <c r="H9" s="1">
        <v>4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opLeftCell="I33" workbookViewId="0">
      <selection activeCell="J62" sqref="J62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66</v>
      </c>
      <c r="Y3" s="3">
        <f>COUNTIF(W3:W106,6)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0">A5</f>
        <v>3</v>
      </c>
      <c r="J5" s="3" t="str">
        <f t="shared" si="10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1">A6</f>
        <v>4</v>
      </c>
      <c r="J6" s="3" t="str">
        <f t="shared" si="11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2">A7</f>
        <v>5</v>
      </c>
      <c r="J7" s="3" t="str">
        <f t="shared" si="12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3">A8</f>
        <v>6</v>
      </c>
      <c r="J8" s="3" t="str">
        <f t="shared" si="13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4">A9</f>
        <v>7</v>
      </c>
      <c r="J9" s="3" t="str">
        <f t="shared" si="14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5">A10</f>
        <v>8</v>
      </c>
      <c r="J10" s="3" t="str">
        <f t="shared" si="15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6">A11</f>
        <v>9</v>
      </c>
      <c r="J11" s="3" t="str">
        <f t="shared" si="16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7">A12</f>
        <v>10</v>
      </c>
      <c r="J12" s="3" t="str">
        <f t="shared" si="17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8">A13</f>
        <v>11</v>
      </c>
      <c r="J13" s="3" t="str">
        <f t="shared" si="18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19">A14</f>
        <v>12</v>
      </c>
      <c r="J14" s="3" t="str">
        <f t="shared" si="19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0">A15</f>
        <v>13</v>
      </c>
      <c r="J15" s="3" t="str">
        <f t="shared" si="20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1">A16</f>
        <v>14</v>
      </c>
      <c r="J16" s="3" t="str">
        <f t="shared" si="21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2">A17</f>
        <v>15</v>
      </c>
      <c r="J17" s="3" t="str">
        <f t="shared" si="22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3">A18</f>
        <v>16</v>
      </c>
      <c r="J18" s="3" t="str">
        <f t="shared" si="23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4">A19</f>
        <v>17</v>
      </c>
      <c r="J19" s="3" t="str">
        <f t="shared" si="24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5">A20</f>
        <v>18</v>
      </c>
      <c r="J20" s="3" t="str">
        <f t="shared" si="25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6">A21</f>
        <v>19</v>
      </c>
      <c r="J21" s="3" t="str">
        <f t="shared" si="26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7">A22</f>
        <v>20</v>
      </c>
      <c r="J22" s="3" t="str">
        <f t="shared" si="27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8">A23</f>
        <v>21</v>
      </c>
      <c r="J23" s="3" t="str">
        <f t="shared" si="28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29">A24</f>
        <v>22</v>
      </c>
      <c r="J24" s="3" t="str">
        <f t="shared" si="29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0">A25</f>
        <v>23</v>
      </c>
      <c r="J25" s="3" t="str">
        <f t="shared" si="30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1">A26</f>
        <v>24</v>
      </c>
      <c r="J26" s="3" t="str">
        <f t="shared" si="31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2">A27</f>
        <v>25</v>
      </c>
      <c r="J27" s="3" t="str">
        <f t="shared" si="32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3">A28</f>
        <v>26</v>
      </c>
      <c r="J28" s="3" t="str">
        <f t="shared" si="33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4">A29</f>
        <v>27</v>
      </c>
      <c r="J29" s="3" t="str">
        <f t="shared" si="34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5">A30</f>
        <v>28</v>
      </c>
      <c r="J30" s="3" t="str">
        <f t="shared" si="35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6">A31</f>
        <v>29</v>
      </c>
      <c r="J31" s="3" t="str">
        <f t="shared" si="36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7">A32</f>
        <v>30</v>
      </c>
      <c r="J32" s="3" t="str">
        <f t="shared" si="37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8">A33</f>
        <v>31</v>
      </c>
      <c r="J33" s="3" t="str">
        <f t="shared" si="38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39">A34</f>
        <v>32</v>
      </c>
      <c r="J34" s="3" t="str">
        <f t="shared" si="39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0">A35</f>
        <v>33</v>
      </c>
      <c r="J35" s="3" t="str">
        <f t="shared" si="40"/>
        <v>Holanda</v>
      </c>
      <c r="K35" s="3">
        <v>2</v>
      </c>
      <c r="L35" s="3" t="str">
        <f t="shared" ref="L35:L66" si="41">D35</f>
        <v>x</v>
      </c>
      <c r="M35" s="3">
        <v>2</v>
      </c>
      <c r="N35" s="3" t="str">
        <f t="shared" ref="N35:N66" si="42">F35</f>
        <v>Suécia</v>
      </c>
      <c r="O35" s="3" t="str">
        <f t="shared" ref="O35:O66" si="43">IF(K35&gt;M35,J35,IF(M35&gt;K35,N35,IF(ISBLANK(K35),"-","Empate")))</f>
        <v>Empate</v>
      </c>
      <c r="P35" s="3"/>
      <c r="Q35" s="3" t="b">
        <f t="shared" ref="Q35:Q66" si="44">IF(AND(O35=G35,K35=C35,M35=E35,ISBLANK(K35)&lt;&gt;TRUE),TRUE,FALSE)</f>
        <v>0</v>
      </c>
      <c r="R35" s="3" t="b">
        <f t="shared" ref="R35:R66" si="45">IF(OR(AND(O35=G35,K35=C35,K35&gt;M35,M35&lt;&gt;E35,ISBLANK(K35)&lt;&gt;TRUE),AND(O35=G35,M35&gt;K35,K35&lt;&gt;C35,M35=E35,ISBLANK(K35)&lt;&gt;TRUE)),TRUE,FALSE)</f>
        <v>0</v>
      </c>
      <c r="S35" s="3" t="b">
        <f t="shared" ref="S35:S66" si="46">IF(AND(O35=G35,ABS(K35-M35)=ABS(C35-E35),OR(K35&lt;&gt;C35,M35&lt;&gt;E35),ISBLANK(K35)&lt;&gt;TRUE),TRUE,FALSE)</f>
        <v>0</v>
      </c>
      <c r="T35" s="3" t="b">
        <f t="shared" ref="T35:T66" si="47">IF(OR(AND(O35=G35,Q35=FALSE,R35=FALSE,S35=FALSE,G35&lt;&gt;"-"),AND(O35="Empate",S35=TRUE)),TRUE,FALSE)</f>
        <v>0</v>
      </c>
      <c r="U35" s="3" t="b">
        <f t="shared" si="8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8">A36</f>
        <v>34</v>
      </c>
      <c r="J36" s="3" t="str">
        <f t="shared" si="48"/>
        <v>Alemanha</v>
      </c>
      <c r="K36" s="3">
        <v>4</v>
      </c>
      <c r="L36" s="3" t="str">
        <f t="shared" si="41"/>
        <v>x</v>
      </c>
      <c r="M36" s="3">
        <v>1</v>
      </c>
      <c r="N36" s="3" t="str">
        <f t="shared" si="42"/>
        <v>Costa do Marfim</v>
      </c>
      <c r="O36" s="3" t="str">
        <f t="shared" si="43"/>
        <v>Alemanha</v>
      </c>
      <c r="P36" s="3"/>
      <c r="Q36" s="3" t="b">
        <f t="shared" si="44"/>
        <v>0</v>
      </c>
      <c r="R36" s="3" t="b">
        <f t="shared" si="45"/>
        <v>0</v>
      </c>
      <c r="S36" s="3" t="b">
        <f t="shared" si="46"/>
        <v>0</v>
      </c>
      <c r="T36" s="3" t="b">
        <f t="shared" si="47"/>
        <v>1</v>
      </c>
      <c r="U36" s="3" t="b">
        <f t="shared" si="8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9">A37</f>
        <v>35</v>
      </c>
      <c r="J37" s="3" t="str">
        <f t="shared" si="49"/>
        <v>Equador</v>
      </c>
      <c r="K37" s="3">
        <v>3</v>
      </c>
      <c r="L37" s="3" t="str">
        <f t="shared" si="41"/>
        <v>x</v>
      </c>
      <c r="M37" s="3">
        <v>1</v>
      </c>
      <c r="N37" s="3" t="str">
        <f t="shared" si="42"/>
        <v>Curaçao</v>
      </c>
      <c r="O37" s="3" t="str">
        <f t="shared" si="43"/>
        <v>Equador</v>
      </c>
      <c r="P37" s="3"/>
      <c r="Q37" s="3" t="b">
        <f t="shared" si="44"/>
        <v>0</v>
      </c>
      <c r="R37" s="3" t="b">
        <f t="shared" si="45"/>
        <v>0</v>
      </c>
      <c r="S37" s="3" t="b">
        <f t="shared" si="46"/>
        <v>0</v>
      </c>
      <c r="T37" s="3" t="b">
        <f t="shared" si="47"/>
        <v>0</v>
      </c>
      <c r="U37" s="3" t="b">
        <f t="shared" si="8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0">A38</f>
        <v>36</v>
      </c>
      <c r="J38" s="3" t="str">
        <f t="shared" si="50"/>
        <v>Tunísia</v>
      </c>
      <c r="K38" s="3">
        <v>0</v>
      </c>
      <c r="L38" s="3" t="str">
        <f t="shared" si="41"/>
        <v>x</v>
      </c>
      <c r="M38" s="3">
        <v>3</v>
      </c>
      <c r="N38" s="3" t="str">
        <f t="shared" si="42"/>
        <v>Japão</v>
      </c>
      <c r="O38" s="3" t="str">
        <f t="shared" si="43"/>
        <v>Japão</v>
      </c>
      <c r="P38" s="3"/>
      <c r="Q38" s="3" t="b">
        <f t="shared" si="44"/>
        <v>0</v>
      </c>
      <c r="R38" s="3" t="b">
        <f t="shared" si="45"/>
        <v>0</v>
      </c>
      <c r="S38" s="3" t="b">
        <f t="shared" si="46"/>
        <v>0</v>
      </c>
      <c r="T38" s="3" t="b">
        <f t="shared" si="47"/>
        <v>1</v>
      </c>
      <c r="U38" s="3" t="b">
        <f t="shared" si="8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1">A39</f>
        <v>37</v>
      </c>
      <c r="J39" s="3" t="str">
        <f t="shared" si="51"/>
        <v>Espanha</v>
      </c>
      <c r="K39" s="3">
        <v>4</v>
      </c>
      <c r="L39" s="3" t="str">
        <f t="shared" si="41"/>
        <v>x</v>
      </c>
      <c r="M39" s="3">
        <v>0</v>
      </c>
      <c r="N39" s="3" t="str">
        <f t="shared" si="42"/>
        <v>Arábia Saudita</v>
      </c>
      <c r="O39" s="3" t="str">
        <f t="shared" si="43"/>
        <v>Espanha</v>
      </c>
      <c r="P39" s="3"/>
      <c r="Q39" s="3" t="b">
        <f t="shared" si="44"/>
        <v>1</v>
      </c>
      <c r="R39" s="3" t="b">
        <f t="shared" si="45"/>
        <v>0</v>
      </c>
      <c r="S39" s="3" t="b">
        <f t="shared" si="46"/>
        <v>0</v>
      </c>
      <c r="T39" s="3" t="b">
        <f t="shared" si="47"/>
        <v>0</v>
      </c>
      <c r="U39" s="3" t="b">
        <f t="shared" si="8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2">A40</f>
        <v>38</v>
      </c>
      <c r="J40" s="3" t="str">
        <f t="shared" si="52"/>
        <v>Bélgica</v>
      </c>
      <c r="K40" s="3">
        <v>2</v>
      </c>
      <c r="L40" s="3" t="str">
        <f t="shared" si="41"/>
        <v>x</v>
      </c>
      <c r="M40" s="3">
        <v>1</v>
      </c>
      <c r="N40" s="3" t="str">
        <f t="shared" si="42"/>
        <v>Irã</v>
      </c>
      <c r="O40" s="3" t="str">
        <f t="shared" si="43"/>
        <v>Bélgica</v>
      </c>
      <c r="P40" s="3"/>
      <c r="Q40" s="3" t="b">
        <f t="shared" si="44"/>
        <v>0</v>
      </c>
      <c r="R40" s="3" t="b">
        <f t="shared" si="45"/>
        <v>0</v>
      </c>
      <c r="S40" s="3" t="b">
        <f t="shared" si="46"/>
        <v>0</v>
      </c>
      <c r="T40" s="3" t="b">
        <f t="shared" si="47"/>
        <v>0</v>
      </c>
      <c r="U40" s="3" t="b">
        <f t="shared" si="8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3">A41</f>
        <v>39</v>
      </c>
      <c r="J41" s="3" t="str">
        <f t="shared" si="53"/>
        <v>Uruguai</v>
      </c>
      <c r="K41" s="3">
        <v>2</v>
      </c>
      <c r="L41" s="3" t="str">
        <f t="shared" si="41"/>
        <v>x</v>
      </c>
      <c r="M41" s="3">
        <v>1</v>
      </c>
      <c r="N41" s="3" t="str">
        <f t="shared" si="42"/>
        <v>Cabo Verde</v>
      </c>
      <c r="O41" s="3" t="str">
        <f t="shared" si="43"/>
        <v>Uruguai</v>
      </c>
      <c r="P41" s="3"/>
      <c r="Q41" s="3" t="b">
        <f t="shared" si="44"/>
        <v>0</v>
      </c>
      <c r="R41" s="3" t="b">
        <f t="shared" si="45"/>
        <v>0</v>
      </c>
      <c r="S41" s="3" t="b">
        <f t="shared" si="46"/>
        <v>0</v>
      </c>
      <c r="T41" s="3" t="b">
        <f t="shared" si="47"/>
        <v>0</v>
      </c>
      <c r="U41" s="3" t="b">
        <f t="shared" si="8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4">A42</f>
        <v>40</v>
      </c>
      <c r="J42" s="3" t="str">
        <f t="shared" si="54"/>
        <v>Nova Zelândia</v>
      </c>
      <c r="K42" s="3">
        <v>1</v>
      </c>
      <c r="L42" s="3" t="str">
        <f t="shared" si="41"/>
        <v>x</v>
      </c>
      <c r="M42" s="3">
        <v>2</v>
      </c>
      <c r="N42" s="3" t="str">
        <f t="shared" si="42"/>
        <v>Egito</v>
      </c>
      <c r="O42" s="3" t="str">
        <f t="shared" si="43"/>
        <v>Egito</v>
      </c>
      <c r="P42" s="3"/>
      <c r="Q42" s="3" t="b">
        <f t="shared" si="44"/>
        <v>0</v>
      </c>
      <c r="R42" s="3" t="b">
        <f t="shared" si="45"/>
        <v>0</v>
      </c>
      <c r="S42" s="3" t="b">
        <f t="shared" si="46"/>
        <v>0</v>
      </c>
      <c r="T42" s="3" t="b">
        <f t="shared" si="47"/>
        <v>1</v>
      </c>
      <c r="U42" s="3" t="b">
        <f t="shared" si="8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5">A43</f>
        <v>41</v>
      </c>
      <c r="J43" s="3" t="str">
        <f t="shared" si="55"/>
        <v>Argentina</v>
      </c>
      <c r="K43" s="3">
        <v>2</v>
      </c>
      <c r="L43" s="3" t="str">
        <f t="shared" si="41"/>
        <v>x</v>
      </c>
      <c r="M43" s="3">
        <v>1</v>
      </c>
      <c r="N43" s="3" t="str">
        <f t="shared" si="42"/>
        <v>Áustria</v>
      </c>
      <c r="O43" s="3" t="str">
        <f t="shared" si="43"/>
        <v>Argentina</v>
      </c>
      <c r="P43" s="3"/>
      <c r="Q43" s="3" t="b">
        <f t="shared" si="44"/>
        <v>0</v>
      </c>
      <c r="R43" s="3" t="b">
        <f t="shared" si="45"/>
        <v>1</v>
      </c>
      <c r="S43" s="3" t="b">
        <f t="shared" si="46"/>
        <v>0</v>
      </c>
      <c r="T43" s="3" t="b">
        <f t="shared" si="47"/>
        <v>0</v>
      </c>
      <c r="U43" s="3" t="b">
        <f t="shared" si="8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6">A44</f>
        <v>42</v>
      </c>
      <c r="J44" s="3" t="str">
        <f t="shared" si="56"/>
        <v>França</v>
      </c>
      <c r="K44" s="3">
        <v>4</v>
      </c>
      <c r="L44" s="3" t="str">
        <f t="shared" si="41"/>
        <v>x</v>
      </c>
      <c r="M44" s="3">
        <v>0</v>
      </c>
      <c r="N44" s="3" t="str">
        <f t="shared" si="42"/>
        <v>Iraque</v>
      </c>
      <c r="O44" s="3" t="str">
        <f t="shared" si="43"/>
        <v>França</v>
      </c>
      <c r="P44" s="3"/>
      <c r="Q44" s="3" t="b">
        <f t="shared" si="44"/>
        <v>0</v>
      </c>
      <c r="R44" s="3" t="b">
        <f t="shared" si="45"/>
        <v>0</v>
      </c>
      <c r="S44" s="3" t="b">
        <f t="shared" si="46"/>
        <v>0</v>
      </c>
      <c r="T44" s="3" t="b">
        <f t="shared" si="47"/>
        <v>1</v>
      </c>
      <c r="U44" s="3" t="b">
        <f t="shared" si="8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7">A45</f>
        <v>43</v>
      </c>
      <c r="J45" s="3" t="str">
        <f t="shared" si="57"/>
        <v>Noruega</v>
      </c>
      <c r="K45" s="3">
        <v>3</v>
      </c>
      <c r="L45" s="3" t="str">
        <f t="shared" si="41"/>
        <v>x</v>
      </c>
      <c r="M45" s="3">
        <v>1</v>
      </c>
      <c r="N45" s="3" t="str">
        <f t="shared" si="42"/>
        <v>Senegal</v>
      </c>
      <c r="O45" s="3" t="str">
        <f t="shared" si="43"/>
        <v>Noruega</v>
      </c>
      <c r="P45" s="3"/>
      <c r="Q45" s="3" t="b">
        <f t="shared" si="44"/>
        <v>0</v>
      </c>
      <c r="R45" s="3" t="b">
        <f t="shared" si="45"/>
        <v>1</v>
      </c>
      <c r="S45" s="3" t="b">
        <f t="shared" si="46"/>
        <v>0</v>
      </c>
      <c r="T45" s="3" t="b">
        <f t="shared" si="47"/>
        <v>0</v>
      </c>
      <c r="U45" s="3" t="b">
        <f t="shared" si="8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8">A46</f>
        <v>44</v>
      </c>
      <c r="J46" s="3" t="str">
        <f t="shared" si="58"/>
        <v>Jordânia</v>
      </c>
      <c r="K46" s="3">
        <v>1</v>
      </c>
      <c r="L46" s="3" t="str">
        <f t="shared" si="41"/>
        <v>x</v>
      </c>
      <c r="M46" s="3">
        <v>1</v>
      </c>
      <c r="N46" s="3" t="str">
        <f t="shared" si="42"/>
        <v>Argélia</v>
      </c>
      <c r="O46" s="3" t="str">
        <f t="shared" si="43"/>
        <v>Empate</v>
      </c>
      <c r="P46" s="3"/>
      <c r="Q46" s="3" t="b">
        <f t="shared" si="44"/>
        <v>0</v>
      </c>
      <c r="R46" s="3" t="b">
        <f t="shared" si="45"/>
        <v>0</v>
      </c>
      <c r="S46" s="3" t="b">
        <f t="shared" si="46"/>
        <v>0</v>
      </c>
      <c r="T46" s="3" t="b">
        <f t="shared" si="47"/>
        <v>0</v>
      </c>
      <c r="U46" s="3" t="b">
        <f t="shared" si="8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9">A47</f>
        <v>45</v>
      </c>
      <c r="J47" s="3" t="str">
        <f t="shared" si="59"/>
        <v>Portugal</v>
      </c>
      <c r="K47" s="3">
        <v>2</v>
      </c>
      <c r="L47" s="3" t="str">
        <f t="shared" si="41"/>
        <v>x</v>
      </c>
      <c r="M47" s="3">
        <v>1</v>
      </c>
      <c r="N47" s="3" t="str">
        <f t="shared" si="42"/>
        <v>Uzbequistão</v>
      </c>
      <c r="O47" s="3" t="str">
        <f t="shared" si="43"/>
        <v>Portugal</v>
      </c>
      <c r="P47" s="3"/>
      <c r="Q47" s="3" t="b">
        <f t="shared" si="44"/>
        <v>0</v>
      </c>
      <c r="R47" s="3" t="b">
        <f t="shared" si="45"/>
        <v>0</v>
      </c>
      <c r="S47" s="3" t="b">
        <f t="shared" si="46"/>
        <v>0</v>
      </c>
      <c r="T47" s="3" t="b">
        <f t="shared" si="47"/>
        <v>0</v>
      </c>
      <c r="U47" s="3" t="b">
        <f t="shared" si="8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60">A48</f>
        <v>46</v>
      </c>
      <c r="J48" s="3" t="str">
        <f t="shared" si="60"/>
        <v>Inglaterra</v>
      </c>
      <c r="K48" s="3">
        <v>4</v>
      </c>
      <c r="L48" s="3" t="str">
        <f t="shared" si="41"/>
        <v>x</v>
      </c>
      <c r="M48" s="3">
        <v>0</v>
      </c>
      <c r="N48" s="3" t="str">
        <f t="shared" si="42"/>
        <v>Gana</v>
      </c>
      <c r="O48" s="3" t="str">
        <f t="shared" si="43"/>
        <v>Inglaterra</v>
      </c>
      <c r="P48" s="3"/>
      <c r="Q48" s="3" t="b">
        <f t="shared" si="44"/>
        <v>0</v>
      </c>
      <c r="R48" s="3" t="b">
        <f t="shared" si="45"/>
        <v>0</v>
      </c>
      <c r="S48" s="3" t="b">
        <f t="shared" si="46"/>
        <v>0</v>
      </c>
      <c r="T48" s="3" t="b">
        <f t="shared" si="47"/>
        <v>0</v>
      </c>
      <c r="U48" s="3" t="b">
        <f t="shared" si="8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61">A49</f>
        <v>47</v>
      </c>
      <c r="J49" s="3" t="str">
        <f t="shared" si="61"/>
        <v>Panamá</v>
      </c>
      <c r="K49" s="3">
        <v>0</v>
      </c>
      <c r="L49" s="3" t="str">
        <f t="shared" si="41"/>
        <v>x</v>
      </c>
      <c r="M49" s="3">
        <v>2</v>
      </c>
      <c r="N49" s="3" t="str">
        <f t="shared" si="42"/>
        <v>Croácia</v>
      </c>
      <c r="O49" s="3" t="str">
        <f t="shared" si="43"/>
        <v>Croácia</v>
      </c>
      <c r="P49" s="3"/>
      <c r="Q49" s="3" t="b">
        <f t="shared" si="44"/>
        <v>0</v>
      </c>
      <c r="R49" s="3" t="b">
        <f t="shared" si="45"/>
        <v>0</v>
      </c>
      <c r="S49" s="3" t="b">
        <f t="shared" si="46"/>
        <v>0</v>
      </c>
      <c r="T49" s="3" t="b">
        <f t="shared" si="47"/>
        <v>0</v>
      </c>
      <c r="U49" s="3" t="b">
        <f t="shared" si="8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62">A50</f>
        <v>48</v>
      </c>
      <c r="J50" s="3" t="str">
        <f t="shared" si="62"/>
        <v>Colômbia</v>
      </c>
      <c r="K50" s="3">
        <v>2</v>
      </c>
      <c r="L50" s="3" t="str">
        <f t="shared" si="41"/>
        <v>x</v>
      </c>
      <c r="M50" s="3">
        <v>0</v>
      </c>
      <c r="N50" s="3" t="str">
        <f t="shared" si="42"/>
        <v>RD Congo</v>
      </c>
      <c r="O50" s="3" t="str">
        <f t="shared" si="43"/>
        <v>Colômbia</v>
      </c>
      <c r="P50" s="3"/>
      <c r="Q50" s="3" t="b">
        <f t="shared" si="44"/>
        <v>0</v>
      </c>
      <c r="R50" s="3" t="b">
        <f t="shared" si="45"/>
        <v>0</v>
      </c>
      <c r="S50" s="3" t="b">
        <f t="shared" si="46"/>
        <v>0</v>
      </c>
      <c r="T50" s="3" t="b">
        <f t="shared" si="47"/>
        <v>0</v>
      </c>
      <c r="U50" s="3" t="b">
        <f t="shared" si="8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63">A51</f>
        <v>49</v>
      </c>
      <c r="J51" s="3" t="str">
        <f t="shared" si="63"/>
        <v>Suíça</v>
      </c>
      <c r="K51" s="3"/>
      <c r="L51" s="3" t="str">
        <f t="shared" si="41"/>
        <v>x</v>
      </c>
      <c r="M51" s="3"/>
      <c r="N51" s="3" t="str">
        <f t="shared" si="42"/>
        <v>Canadá</v>
      </c>
      <c r="O51" s="3" t="str">
        <f t="shared" si="43"/>
        <v>-</v>
      </c>
      <c r="P51" s="3"/>
      <c r="Q51" s="3" t="b">
        <f t="shared" si="44"/>
        <v>0</v>
      </c>
      <c r="R51" s="3" t="b">
        <f t="shared" si="45"/>
        <v>0</v>
      </c>
      <c r="S51" s="3" t="b">
        <f t="shared" si="46"/>
        <v>0</v>
      </c>
      <c r="T51" s="3" t="b">
        <f t="shared" si="47"/>
        <v>0</v>
      </c>
      <c r="U51" s="3" t="b">
        <f t="shared" si="8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64">A52</f>
        <v>50</v>
      </c>
      <c r="J52" s="3" t="str">
        <f t="shared" si="64"/>
        <v>Bósnia</v>
      </c>
      <c r="K52" s="3"/>
      <c r="L52" s="3" t="str">
        <f t="shared" si="41"/>
        <v>x</v>
      </c>
      <c r="M52" s="3"/>
      <c r="N52" s="3" t="str">
        <f t="shared" si="42"/>
        <v>Catar</v>
      </c>
      <c r="O52" s="3" t="str">
        <f t="shared" si="43"/>
        <v>-</v>
      </c>
      <c r="P52" s="3"/>
      <c r="Q52" s="3" t="b">
        <f t="shared" si="44"/>
        <v>0</v>
      </c>
      <c r="R52" s="3" t="b">
        <f t="shared" si="45"/>
        <v>0</v>
      </c>
      <c r="S52" s="3" t="b">
        <f t="shared" si="46"/>
        <v>0</v>
      </c>
      <c r="T52" s="3" t="b">
        <f t="shared" si="47"/>
        <v>0</v>
      </c>
      <c r="U52" s="3" t="b">
        <f t="shared" si="8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65">A53</f>
        <v>51</v>
      </c>
      <c r="J53" s="3" t="str">
        <f t="shared" si="65"/>
        <v>Marrocos</v>
      </c>
      <c r="K53" s="3"/>
      <c r="L53" s="3" t="str">
        <f t="shared" si="41"/>
        <v>x</v>
      </c>
      <c r="M53" s="3"/>
      <c r="N53" s="3" t="str">
        <f t="shared" si="42"/>
        <v>Haiti</v>
      </c>
      <c r="O53" s="3" t="str">
        <f t="shared" si="43"/>
        <v>-</v>
      </c>
      <c r="P53" s="3"/>
      <c r="Q53" s="3" t="b">
        <f t="shared" si="44"/>
        <v>0</v>
      </c>
      <c r="R53" s="3" t="b">
        <f t="shared" si="45"/>
        <v>0</v>
      </c>
      <c r="S53" s="3" t="b">
        <f t="shared" si="46"/>
        <v>0</v>
      </c>
      <c r="T53" s="3" t="b">
        <f t="shared" si="47"/>
        <v>0</v>
      </c>
      <c r="U53" s="3" t="b">
        <f t="shared" si="8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6">A54</f>
        <v>52</v>
      </c>
      <c r="J54" s="3" t="str">
        <f t="shared" si="66"/>
        <v>Escócia</v>
      </c>
      <c r="K54" s="3"/>
      <c r="L54" s="3" t="str">
        <f t="shared" si="41"/>
        <v>x</v>
      </c>
      <c r="M54" s="3"/>
      <c r="N54" s="3" t="str">
        <f t="shared" si="42"/>
        <v>Brasil</v>
      </c>
      <c r="O54" s="3" t="str">
        <f t="shared" si="43"/>
        <v>-</v>
      </c>
      <c r="P54" s="3"/>
      <c r="Q54" s="3" t="b">
        <f t="shared" si="44"/>
        <v>0</v>
      </c>
      <c r="R54" s="3" t="b">
        <f t="shared" si="45"/>
        <v>0</v>
      </c>
      <c r="S54" s="3" t="b">
        <f t="shared" si="46"/>
        <v>0</v>
      </c>
      <c r="T54" s="3" t="b">
        <f t="shared" si="47"/>
        <v>0</v>
      </c>
      <c r="U54" s="3" t="b">
        <f t="shared" si="8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7">A55</f>
        <v>53</v>
      </c>
      <c r="J55" s="3" t="str">
        <f t="shared" si="67"/>
        <v>África do Sul</v>
      </c>
      <c r="K55" s="3"/>
      <c r="L55" s="3" t="str">
        <f t="shared" si="41"/>
        <v>x</v>
      </c>
      <c r="M55" s="3"/>
      <c r="N55" s="3" t="str">
        <f t="shared" si="42"/>
        <v>Coreia do Sul</v>
      </c>
      <c r="O55" s="3" t="str">
        <f t="shared" si="43"/>
        <v>-</v>
      </c>
      <c r="P55" s="3"/>
      <c r="Q55" s="3" t="b">
        <f t="shared" si="44"/>
        <v>0</v>
      </c>
      <c r="R55" s="3" t="b">
        <f t="shared" si="45"/>
        <v>0</v>
      </c>
      <c r="S55" s="3" t="b">
        <f t="shared" si="46"/>
        <v>0</v>
      </c>
      <c r="T55" s="3" t="b">
        <f t="shared" si="47"/>
        <v>0</v>
      </c>
      <c r="U55" s="3" t="b">
        <f t="shared" si="8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8">A56</f>
        <v>54</v>
      </c>
      <c r="J56" s="3" t="str">
        <f t="shared" si="68"/>
        <v>Tchéquia</v>
      </c>
      <c r="K56" s="3"/>
      <c r="L56" s="3" t="str">
        <f t="shared" si="41"/>
        <v>x</v>
      </c>
      <c r="M56" s="3"/>
      <c r="N56" s="3" t="str">
        <f t="shared" si="42"/>
        <v>México</v>
      </c>
      <c r="O56" s="3" t="str">
        <f t="shared" si="43"/>
        <v>-</v>
      </c>
      <c r="P56" s="3"/>
      <c r="Q56" s="3" t="b">
        <f t="shared" si="44"/>
        <v>0</v>
      </c>
      <c r="R56" s="3" t="b">
        <f t="shared" si="45"/>
        <v>0</v>
      </c>
      <c r="S56" s="3" t="b">
        <f t="shared" si="46"/>
        <v>0</v>
      </c>
      <c r="T56" s="3" t="b">
        <f t="shared" si="47"/>
        <v>0</v>
      </c>
      <c r="U56" s="3" t="b">
        <f t="shared" si="8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9">A57</f>
        <v>55</v>
      </c>
      <c r="J57" s="3" t="str">
        <f t="shared" si="69"/>
        <v>Curaçao</v>
      </c>
      <c r="K57" s="3"/>
      <c r="L57" s="3" t="str">
        <f t="shared" si="41"/>
        <v>x</v>
      </c>
      <c r="M57" s="3"/>
      <c r="N57" s="3" t="str">
        <f t="shared" si="42"/>
        <v>Costa do Marfim</v>
      </c>
      <c r="O57" s="3" t="str">
        <f t="shared" si="43"/>
        <v>-</v>
      </c>
      <c r="P57" s="3"/>
      <c r="Q57" s="3" t="b">
        <f t="shared" si="44"/>
        <v>0</v>
      </c>
      <c r="R57" s="3" t="b">
        <f t="shared" si="45"/>
        <v>0</v>
      </c>
      <c r="S57" s="3" t="b">
        <f t="shared" si="46"/>
        <v>0</v>
      </c>
      <c r="T57" s="3" t="b">
        <f t="shared" si="47"/>
        <v>0</v>
      </c>
      <c r="U57" s="3" t="b">
        <f t="shared" si="8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70">A58</f>
        <v>56</v>
      </c>
      <c r="J58" s="3" t="str">
        <f t="shared" si="70"/>
        <v>Equador</v>
      </c>
      <c r="K58" s="3"/>
      <c r="L58" s="3" t="str">
        <f t="shared" si="41"/>
        <v>x</v>
      </c>
      <c r="M58" s="3"/>
      <c r="N58" s="3" t="str">
        <f t="shared" si="42"/>
        <v>Alemanha</v>
      </c>
      <c r="O58" s="3" t="str">
        <f t="shared" si="43"/>
        <v>-</v>
      </c>
      <c r="P58" s="3"/>
      <c r="Q58" s="3" t="b">
        <f t="shared" si="44"/>
        <v>0</v>
      </c>
      <c r="R58" s="3" t="b">
        <f t="shared" si="45"/>
        <v>0</v>
      </c>
      <c r="S58" s="3" t="b">
        <f t="shared" si="46"/>
        <v>0</v>
      </c>
      <c r="T58" s="3" t="b">
        <f t="shared" si="47"/>
        <v>0</v>
      </c>
      <c r="U58" s="3" t="b">
        <f t="shared" si="8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71">A59</f>
        <v>57</v>
      </c>
      <c r="J59" s="3" t="str">
        <f t="shared" si="71"/>
        <v>Tunísia</v>
      </c>
      <c r="K59" s="3"/>
      <c r="L59" s="3" t="str">
        <f t="shared" si="41"/>
        <v>x</v>
      </c>
      <c r="M59" s="3"/>
      <c r="N59" s="3" t="str">
        <f t="shared" si="42"/>
        <v>Holanda</v>
      </c>
      <c r="O59" s="3" t="str">
        <f t="shared" si="43"/>
        <v>-</v>
      </c>
      <c r="P59" s="3"/>
      <c r="Q59" s="3" t="b">
        <f t="shared" si="44"/>
        <v>0</v>
      </c>
      <c r="R59" s="3" t="b">
        <f t="shared" si="45"/>
        <v>0</v>
      </c>
      <c r="S59" s="3" t="b">
        <f t="shared" si="46"/>
        <v>0</v>
      </c>
      <c r="T59" s="3" t="b">
        <f t="shared" si="47"/>
        <v>0</v>
      </c>
      <c r="U59" s="3" t="b">
        <f t="shared" si="8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72">A60</f>
        <v>58</v>
      </c>
      <c r="J60" s="3" t="str">
        <f t="shared" si="72"/>
        <v>Japão</v>
      </c>
      <c r="K60" s="3"/>
      <c r="L60" s="3" t="str">
        <f t="shared" si="41"/>
        <v>x</v>
      </c>
      <c r="M60" s="3"/>
      <c r="N60" s="3" t="str">
        <f t="shared" si="42"/>
        <v>Suécia</v>
      </c>
      <c r="O60" s="3" t="str">
        <f t="shared" si="43"/>
        <v>-</v>
      </c>
      <c r="P60" s="3"/>
      <c r="Q60" s="3" t="b">
        <f t="shared" si="44"/>
        <v>0</v>
      </c>
      <c r="R60" s="3" t="b">
        <f t="shared" si="45"/>
        <v>0</v>
      </c>
      <c r="S60" s="3" t="b">
        <f t="shared" si="46"/>
        <v>0</v>
      </c>
      <c r="T60" s="3" t="b">
        <f t="shared" si="47"/>
        <v>0</v>
      </c>
      <c r="U60" s="3" t="b">
        <f t="shared" si="8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73">A61</f>
        <v>59</v>
      </c>
      <c r="J61" s="3" t="str">
        <f t="shared" si="73"/>
        <v>Turquia</v>
      </c>
      <c r="K61" s="3"/>
      <c r="L61" s="3" t="str">
        <f t="shared" si="41"/>
        <v>x</v>
      </c>
      <c r="M61" s="3"/>
      <c r="N61" s="3" t="str">
        <f t="shared" si="42"/>
        <v>EUA</v>
      </c>
      <c r="O61" s="3" t="str">
        <f t="shared" si="43"/>
        <v>-</v>
      </c>
      <c r="P61" s="3"/>
      <c r="Q61" s="3" t="b">
        <f t="shared" si="44"/>
        <v>0</v>
      </c>
      <c r="R61" s="3" t="b">
        <f t="shared" si="45"/>
        <v>0</v>
      </c>
      <c r="S61" s="3" t="b">
        <f t="shared" si="46"/>
        <v>0</v>
      </c>
      <c r="T61" s="3" t="b">
        <f t="shared" si="47"/>
        <v>0</v>
      </c>
      <c r="U61" s="3" t="b">
        <f t="shared" si="8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74">A62</f>
        <v>60</v>
      </c>
      <c r="J62" s="3" t="str">
        <f t="shared" si="74"/>
        <v>Paraguai</v>
      </c>
      <c r="K62" s="3"/>
      <c r="L62" s="3" t="str">
        <f t="shared" si="41"/>
        <v>x</v>
      </c>
      <c r="M62" s="3"/>
      <c r="N62" s="3" t="str">
        <f t="shared" si="42"/>
        <v>Austrália</v>
      </c>
      <c r="O62" s="3" t="str">
        <f t="shared" si="43"/>
        <v>-</v>
      </c>
      <c r="P62" s="3"/>
      <c r="Q62" s="3" t="b">
        <f t="shared" si="44"/>
        <v>0</v>
      </c>
      <c r="R62" s="3" t="b">
        <f t="shared" si="45"/>
        <v>0</v>
      </c>
      <c r="S62" s="3" t="b">
        <f t="shared" si="46"/>
        <v>0</v>
      </c>
      <c r="T62" s="3" t="b">
        <f t="shared" si="47"/>
        <v>0</v>
      </c>
      <c r="U62" s="3" t="b">
        <f t="shared" si="8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75">A63</f>
        <v>61</v>
      </c>
      <c r="J63" s="3" t="str">
        <f t="shared" si="75"/>
        <v>Noruega</v>
      </c>
      <c r="K63" s="3"/>
      <c r="L63" s="3" t="str">
        <f t="shared" si="41"/>
        <v>x</v>
      </c>
      <c r="M63" s="3"/>
      <c r="N63" s="3" t="str">
        <f t="shared" si="42"/>
        <v>França</v>
      </c>
      <c r="O63" s="3" t="str">
        <f t="shared" si="43"/>
        <v>-</v>
      </c>
      <c r="P63" s="3"/>
      <c r="Q63" s="3" t="b">
        <f t="shared" si="44"/>
        <v>0</v>
      </c>
      <c r="R63" s="3" t="b">
        <f t="shared" si="45"/>
        <v>0</v>
      </c>
      <c r="S63" s="3" t="b">
        <f t="shared" si="46"/>
        <v>0</v>
      </c>
      <c r="T63" s="3" t="b">
        <f t="shared" si="47"/>
        <v>0</v>
      </c>
      <c r="U63" s="3" t="b">
        <f t="shared" si="8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6">A64</f>
        <v>62</v>
      </c>
      <c r="J64" s="3" t="str">
        <f t="shared" si="76"/>
        <v>Senegal</v>
      </c>
      <c r="K64" s="3"/>
      <c r="L64" s="3" t="str">
        <f t="shared" si="41"/>
        <v>x</v>
      </c>
      <c r="M64" s="3"/>
      <c r="N64" s="3" t="str">
        <f t="shared" si="42"/>
        <v>Iraque</v>
      </c>
      <c r="O64" s="3" t="str">
        <f t="shared" si="43"/>
        <v>-</v>
      </c>
      <c r="P64" s="3"/>
      <c r="Q64" s="3" t="b">
        <f t="shared" si="44"/>
        <v>0</v>
      </c>
      <c r="R64" s="3" t="b">
        <f t="shared" si="45"/>
        <v>0</v>
      </c>
      <c r="S64" s="3" t="b">
        <f t="shared" si="46"/>
        <v>0</v>
      </c>
      <c r="T64" s="3" t="b">
        <f t="shared" si="47"/>
        <v>0</v>
      </c>
      <c r="U64" s="3" t="b">
        <f t="shared" si="8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7">A65</f>
        <v>63</v>
      </c>
      <c r="J65" s="3" t="str">
        <f t="shared" si="77"/>
        <v>Cabo Verde</v>
      </c>
      <c r="K65" s="3"/>
      <c r="L65" s="3" t="str">
        <f t="shared" si="41"/>
        <v>x</v>
      </c>
      <c r="M65" s="3"/>
      <c r="N65" s="3" t="str">
        <f t="shared" si="42"/>
        <v>Arábia Saudita</v>
      </c>
      <c r="O65" s="3" t="str">
        <f t="shared" si="43"/>
        <v>-</v>
      </c>
      <c r="P65" s="3"/>
      <c r="Q65" s="3" t="b">
        <f t="shared" si="44"/>
        <v>0</v>
      </c>
      <c r="R65" s="3" t="b">
        <f t="shared" si="45"/>
        <v>0</v>
      </c>
      <c r="S65" s="3" t="b">
        <f t="shared" si="46"/>
        <v>0</v>
      </c>
      <c r="T65" s="3" t="b">
        <f t="shared" si="47"/>
        <v>0</v>
      </c>
      <c r="U65" s="3" t="b">
        <f t="shared" si="8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8">A66</f>
        <v>64</v>
      </c>
      <c r="J66" s="3" t="str">
        <f t="shared" si="78"/>
        <v>Uruguai</v>
      </c>
      <c r="K66" s="3"/>
      <c r="L66" s="3" t="str">
        <f t="shared" si="41"/>
        <v>x</v>
      </c>
      <c r="M66" s="3"/>
      <c r="N66" s="3" t="str">
        <f t="shared" si="42"/>
        <v>Espanha</v>
      </c>
      <c r="O66" s="3" t="str">
        <f t="shared" si="43"/>
        <v>-</v>
      </c>
      <c r="P66" s="3"/>
      <c r="Q66" s="3" t="b">
        <f t="shared" si="44"/>
        <v>0</v>
      </c>
      <c r="R66" s="3" t="b">
        <f t="shared" si="45"/>
        <v>0</v>
      </c>
      <c r="S66" s="3" t="b">
        <f t="shared" si="46"/>
        <v>0</v>
      </c>
      <c r="T66" s="3" t="b">
        <f t="shared" si="47"/>
        <v>0</v>
      </c>
      <c r="U66" s="3" t="b">
        <f t="shared" si="8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9">A67</f>
        <v>65</v>
      </c>
      <c r="J67" s="3" t="str">
        <f t="shared" si="79"/>
        <v>Nova Zelândia</v>
      </c>
      <c r="K67" s="3"/>
      <c r="L67" s="3" t="str">
        <f t="shared" ref="L67:L98" si="80">D67</f>
        <v>x</v>
      </c>
      <c r="M67" s="3"/>
      <c r="N67" s="3" t="str">
        <f t="shared" ref="N67:N98" si="81">F67</f>
        <v>Bélgica</v>
      </c>
      <c r="O67" s="3" t="str">
        <f t="shared" ref="O67:O98" si="82">IF(K67&gt;M67,J67,IF(M67&gt;K67,N67,IF(ISBLANK(K67),"-","Empate")))</f>
        <v>-</v>
      </c>
      <c r="P67" s="3"/>
      <c r="Q67" s="3" t="b">
        <f t="shared" ref="Q67:Q98" si="83">IF(AND(O67=G67,K67=C67,M67=E67,ISBLANK(K67)&lt;&gt;TRUE),TRUE,FALSE)</f>
        <v>0</v>
      </c>
      <c r="R67" s="3" t="b">
        <f t="shared" ref="R67:R98" si="84">IF(OR(AND(O67=G67,K67=C67,K67&gt;M67,M67&lt;&gt;E67,ISBLANK(K67)&lt;&gt;TRUE),AND(O67=G67,M67&gt;K67,K67&lt;&gt;C67,M67=E67,ISBLANK(K67)&lt;&gt;TRUE)),TRUE,FALSE)</f>
        <v>0</v>
      </c>
      <c r="S67" s="3" t="b">
        <f t="shared" ref="S67:S98" si="85">IF(AND(O67=G67,ABS(K67-M67)=ABS(C67-E67),OR(K67&lt;&gt;C67,M67&lt;&gt;E67),ISBLANK(K67)&lt;&gt;TRUE),TRUE,FALSE)</f>
        <v>0</v>
      </c>
      <c r="T67" s="3" t="b">
        <f t="shared" ref="T67:T98" si="86">IF(OR(AND(O67=G67,Q67=FALSE,R67=FALSE,S67=FALSE,G67&lt;&gt;"-"),AND(O67="Empate",S67=TRUE)),TRUE,FALSE)</f>
        <v>0</v>
      </c>
      <c r="U67" s="3" t="b">
        <f t="shared" si="8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87">A68</f>
        <v>66</v>
      </c>
      <c r="J68" s="3" t="str">
        <f t="shared" si="87"/>
        <v>Egito</v>
      </c>
      <c r="K68" s="3"/>
      <c r="L68" s="3" t="str">
        <f t="shared" si="80"/>
        <v>x</v>
      </c>
      <c r="M68" s="3"/>
      <c r="N68" s="3" t="str">
        <f t="shared" si="81"/>
        <v>Irã</v>
      </c>
      <c r="O68" s="3" t="str">
        <f t="shared" si="82"/>
        <v>-</v>
      </c>
      <c r="P68" s="3"/>
      <c r="Q68" s="3" t="b">
        <f t="shared" si="83"/>
        <v>0</v>
      </c>
      <c r="R68" s="3" t="b">
        <f t="shared" si="84"/>
        <v>0</v>
      </c>
      <c r="S68" s="3" t="b">
        <f t="shared" si="85"/>
        <v>0</v>
      </c>
      <c r="T68" s="3" t="b">
        <f t="shared" si="86"/>
        <v>0</v>
      </c>
      <c r="U68" s="3" t="b">
        <f t="shared" si="8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88">A69</f>
        <v>67</v>
      </c>
      <c r="J69" s="3" t="str">
        <f t="shared" si="88"/>
        <v>Panamá</v>
      </c>
      <c r="K69" s="3"/>
      <c r="L69" s="3" t="str">
        <f t="shared" si="80"/>
        <v>x</v>
      </c>
      <c r="M69" s="3"/>
      <c r="N69" s="3" t="str">
        <f t="shared" si="81"/>
        <v>Inglaterra</v>
      </c>
      <c r="O69" s="3" t="str">
        <f t="shared" si="82"/>
        <v>-</v>
      </c>
      <c r="P69" s="3"/>
      <c r="Q69" s="3" t="b">
        <f t="shared" si="83"/>
        <v>0</v>
      </c>
      <c r="R69" s="3" t="b">
        <f t="shared" si="84"/>
        <v>0</v>
      </c>
      <c r="S69" s="3" t="b">
        <f t="shared" si="85"/>
        <v>0</v>
      </c>
      <c r="T69" s="3" t="b">
        <f t="shared" si="86"/>
        <v>0</v>
      </c>
      <c r="U69" s="3" t="b">
        <f t="shared" si="8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89">A70</f>
        <v>68</v>
      </c>
      <c r="J70" s="3" t="str">
        <f t="shared" si="89"/>
        <v>Croácia</v>
      </c>
      <c r="K70" s="3"/>
      <c r="L70" s="3" t="str">
        <f t="shared" si="80"/>
        <v>x</v>
      </c>
      <c r="M70" s="3"/>
      <c r="N70" s="3" t="str">
        <f t="shared" si="81"/>
        <v>Gana</v>
      </c>
      <c r="O70" s="3" t="str">
        <f t="shared" si="82"/>
        <v>-</v>
      </c>
      <c r="P70" s="3"/>
      <c r="Q70" s="3" t="b">
        <f t="shared" si="83"/>
        <v>0</v>
      </c>
      <c r="R70" s="3" t="b">
        <f t="shared" si="84"/>
        <v>0</v>
      </c>
      <c r="S70" s="3" t="b">
        <f t="shared" si="85"/>
        <v>0</v>
      </c>
      <c r="T70" s="3" t="b">
        <f t="shared" si="86"/>
        <v>0</v>
      </c>
      <c r="U70" s="3" t="b">
        <f t="shared" si="8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90">A71</f>
        <v>69</v>
      </c>
      <c r="J71" s="3" t="str">
        <f t="shared" si="90"/>
        <v>Colômbia</v>
      </c>
      <c r="K71" s="3"/>
      <c r="L71" s="3" t="str">
        <f t="shared" si="80"/>
        <v>x</v>
      </c>
      <c r="M71" s="3"/>
      <c r="N71" s="3" t="str">
        <f t="shared" si="81"/>
        <v>Portugal</v>
      </c>
      <c r="O71" s="3" t="str">
        <f t="shared" si="82"/>
        <v>-</v>
      </c>
      <c r="P71" s="3"/>
      <c r="Q71" s="3" t="b">
        <f t="shared" si="83"/>
        <v>0</v>
      </c>
      <c r="R71" s="3" t="b">
        <f t="shared" si="84"/>
        <v>0</v>
      </c>
      <c r="S71" s="3" t="b">
        <f t="shared" si="85"/>
        <v>0</v>
      </c>
      <c r="T71" s="3" t="b">
        <f t="shared" si="86"/>
        <v>0</v>
      </c>
      <c r="U71" s="3" t="b">
        <f t="shared" si="8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91">A72</f>
        <v>70</v>
      </c>
      <c r="J72" s="3" t="str">
        <f t="shared" si="91"/>
        <v>RD Congo</v>
      </c>
      <c r="K72" s="3"/>
      <c r="L72" s="3" t="str">
        <f t="shared" si="80"/>
        <v>x</v>
      </c>
      <c r="M72" s="3"/>
      <c r="N72" s="3" t="str">
        <f t="shared" si="81"/>
        <v>Uzbequistão</v>
      </c>
      <c r="O72" s="3" t="str">
        <f t="shared" si="82"/>
        <v>-</v>
      </c>
      <c r="P72" s="3"/>
      <c r="Q72" s="3" t="b">
        <f t="shared" si="83"/>
        <v>0</v>
      </c>
      <c r="R72" s="3" t="b">
        <f t="shared" si="84"/>
        <v>0</v>
      </c>
      <c r="S72" s="3" t="b">
        <f t="shared" si="85"/>
        <v>0</v>
      </c>
      <c r="T72" s="3" t="b">
        <f t="shared" si="86"/>
        <v>0</v>
      </c>
      <c r="U72" s="3" t="b">
        <f t="shared" si="8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92">A73</f>
        <v>71</v>
      </c>
      <c r="J73" s="3" t="str">
        <f t="shared" si="92"/>
        <v>Argélia</v>
      </c>
      <c r="K73" s="3"/>
      <c r="L73" s="3" t="str">
        <f t="shared" si="80"/>
        <v>x</v>
      </c>
      <c r="M73" s="3"/>
      <c r="N73" s="3" t="str">
        <f t="shared" si="81"/>
        <v>Áustria</v>
      </c>
      <c r="O73" s="3" t="str">
        <f t="shared" si="82"/>
        <v>-</v>
      </c>
      <c r="P73" s="3"/>
      <c r="Q73" s="3" t="b">
        <f t="shared" si="83"/>
        <v>0</v>
      </c>
      <c r="R73" s="3" t="b">
        <f t="shared" si="84"/>
        <v>0</v>
      </c>
      <c r="S73" s="3" t="b">
        <f t="shared" si="85"/>
        <v>0</v>
      </c>
      <c r="T73" s="3" t="b">
        <f t="shared" si="86"/>
        <v>0</v>
      </c>
      <c r="U73" s="3" t="b">
        <f t="shared" si="8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93">A74</f>
        <v>72</v>
      </c>
      <c r="J74" s="3" t="str">
        <f t="shared" si="93"/>
        <v>Jordânia</v>
      </c>
      <c r="K74" s="3"/>
      <c r="L74" s="3" t="str">
        <f t="shared" si="80"/>
        <v>x</v>
      </c>
      <c r="M74" s="3"/>
      <c r="N74" s="3" t="str">
        <f t="shared" si="81"/>
        <v>Argentina</v>
      </c>
      <c r="O74" s="3" t="str">
        <f t="shared" si="82"/>
        <v>-</v>
      </c>
      <c r="P74" s="3"/>
      <c r="Q74" s="3" t="b">
        <f t="shared" si="83"/>
        <v>0</v>
      </c>
      <c r="R74" s="3" t="b">
        <f t="shared" si="84"/>
        <v>0</v>
      </c>
      <c r="S74" s="3" t="b">
        <f t="shared" si="85"/>
        <v>0</v>
      </c>
      <c r="T74" s="3" t="b">
        <f t="shared" si="86"/>
        <v>0</v>
      </c>
      <c r="U74" s="3" t="b">
        <f t="shared" si="8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94">A75</f>
        <v>73</v>
      </c>
      <c r="J75" s="3">
        <f t="shared" si="94"/>
        <v>0</v>
      </c>
      <c r="K75" s="3"/>
      <c r="L75" s="3" t="str">
        <f t="shared" si="80"/>
        <v>x</v>
      </c>
      <c r="M75" s="3"/>
      <c r="N75" s="3">
        <f t="shared" si="81"/>
        <v>0</v>
      </c>
      <c r="O75" s="3" t="str">
        <f t="shared" si="82"/>
        <v>-</v>
      </c>
      <c r="P75" s="3"/>
      <c r="Q75" s="3" t="b">
        <f t="shared" si="83"/>
        <v>0</v>
      </c>
      <c r="R75" s="3" t="b">
        <f t="shared" si="84"/>
        <v>0</v>
      </c>
      <c r="S75" s="3" t="b">
        <f t="shared" si="85"/>
        <v>0</v>
      </c>
      <c r="T75" s="3" t="b">
        <f t="shared" si="86"/>
        <v>0</v>
      </c>
      <c r="U75" s="3" t="b">
        <f t="shared" si="8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95">A76</f>
        <v>74</v>
      </c>
      <c r="J76" s="3">
        <f t="shared" si="95"/>
        <v>0</v>
      </c>
      <c r="K76" s="3"/>
      <c r="L76" s="3" t="str">
        <f t="shared" si="80"/>
        <v>x</v>
      </c>
      <c r="M76" s="3"/>
      <c r="N76" s="3">
        <f t="shared" si="81"/>
        <v>0</v>
      </c>
      <c r="O76" s="3" t="str">
        <f t="shared" si="82"/>
        <v>-</v>
      </c>
      <c r="P76" s="3"/>
      <c r="Q76" s="3" t="b">
        <f t="shared" si="83"/>
        <v>0</v>
      </c>
      <c r="R76" s="3" t="b">
        <f t="shared" si="84"/>
        <v>0</v>
      </c>
      <c r="S76" s="3" t="b">
        <f t="shared" si="85"/>
        <v>0</v>
      </c>
      <c r="T76" s="3" t="b">
        <f t="shared" si="86"/>
        <v>0</v>
      </c>
      <c r="U76" s="3" t="b">
        <f t="shared" si="8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96">A77</f>
        <v>75</v>
      </c>
      <c r="J77" s="3">
        <f t="shared" si="96"/>
        <v>0</v>
      </c>
      <c r="K77" s="3"/>
      <c r="L77" s="3" t="str">
        <f t="shared" si="80"/>
        <v>x</v>
      </c>
      <c r="M77" s="3"/>
      <c r="N77" s="3">
        <f t="shared" si="81"/>
        <v>0</v>
      </c>
      <c r="O77" s="3" t="str">
        <f t="shared" si="82"/>
        <v>-</v>
      </c>
      <c r="P77" s="3"/>
      <c r="Q77" s="3" t="b">
        <f t="shared" si="83"/>
        <v>0</v>
      </c>
      <c r="R77" s="3" t="b">
        <f t="shared" si="84"/>
        <v>0</v>
      </c>
      <c r="S77" s="3" t="b">
        <f t="shared" si="85"/>
        <v>0</v>
      </c>
      <c r="T77" s="3" t="b">
        <f t="shared" si="86"/>
        <v>0</v>
      </c>
      <c r="U77" s="3" t="b">
        <f t="shared" si="8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97">A78</f>
        <v>76</v>
      </c>
      <c r="J78" s="3">
        <f t="shared" si="97"/>
        <v>0</v>
      </c>
      <c r="K78" s="3"/>
      <c r="L78" s="3" t="str">
        <f t="shared" si="80"/>
        <v>x</v>
      </c>
      <c r="M78" s="3"/>
      <c r="N78" s="3">
        <f t="shared" si="81"/>
        <v>0</v>
      </c>
      <c r="O78" s="3" t="str">
        <f t="shared" si="82"/>
        <v>-</v>
      </c>
      <c r="P78" s="3"/>
      <c r="Q78" s="3" t="b">
        <f t="shared" si="83"/>
        <v>0</v>
      </c>
      <c r="R78" s="3" t="b">
        <f t="shared" si="84"/>
        <v>0</v>
      </c>
      <c r="S78" s="3" t="b">
        <f t="shared" si="85"/>
        <v>0</v>
      </c>
      <c r="T78" s="3" t="b">
        <f t="shared" si="86"/>
        <v>0</v>
      </c>
      <c r="U78" s="3" t="b">
        <f t="shared" si="8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98">A79</f>
        <v>77</v>
      </c>
      <c r="J79" s="3">
        <f t="shared" si="98"/>
        <v>0</v>
      </c>
      <c r="K79" s="3"/>
      <c r="L79" s="3" t="str">
        <f t="shared" si="80"/>
        <v>x</v>
      </c>
      <c r="M79" s="3"/>
      <c r="N79" s="3">
        <f t="shared" si="81"/>
        <v>0</v>
      </c>
      <c r="O79" s="3" t="str">
        <f t="shared" si="82"/>
        <v>-</v>
      </c>
      <c r="P79" s="3"/>
      <c r="Q79" s="3" t="b">
        <f t="shared" si="83"/>
        <v>0</v>
      </c>
      <c r="R79" s="3" t="b">
        <f t="shared" si="84"/>
        <v>0</v>
      </c>
      <c r="S79" s="3" t="b">
        <f t="shared" si="85"/>
        <v>0</v>
      </c>
      <c r="T79" s="3" t="b">
        <f t="shared" si="86"/>
        <v>0</v>
      </c>
      <c r="U79" s="3" t="b">
        <f t="shared" si="8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99">A80</f>
        <v>78</v>
      </c>
      <c r="J80" s="3">
        <f t="shared" si="99"/>
        <v>0</v>
      </c>
      <c r="K80" s="3"/>
      <c r="L80" s="3" t="str">
        <f t="shared" si="80"/>
        <v>x</v>
      </c>
      <c r="M80" s="3"/>
      <c r="N80" s="3">
        <f t="shared" si="81"/>
        <v>0</v>
      </c>
      <c r="O80" s="3" t="str">
        <f t="shared" si="82"/>
        <v>-</v>
      </c>
      <c r="P80" s="3"/>
      <c r="Q80" s="3" t="b">
        <f t="shared" si="83"/>
        <v>0</v>
      </c>
      <c r="R80" s="3" t="b">
        <f t="shared" si="84"/>
        <v>0</v>
      </c>
      <c r="S80" s="3" t="b">
        <f t="shared" si="85"/>
        <v>0</v>
      </c>
      <c r="T80" s="3" t="b">
        <f t="shared" si="86"/>
        <v>0</v>
      </c>
      <c r="U80" s="3" t="b">
        <f t="shared" si="8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100">A81</f>
        <v>79</v>
      </c>
      <c r="J81" s="3">
        <f t="shared" si="100"/>
        <v>0</v>
      </c>
      <c r="K81" s="3"/>
      <c r="L81" s="3" t="str">
        <f t="shared" si="80"/>
        <v>x</v>
      </c>
      <c r="M81" s="3"/>
      <c r="N81" s="3">
        <f t="shared" si="81"/>
        <v>0</v>
      </c>
      <c r="O81" s="3" t="str">
        <f t="shared" si="82"/>
        <v>-</v>
      </c>
      <c r="P81" s="3"/>
      <c r="Q81" s="3" t="b">
        <f t="shared" si="83"/>
        <v>0</v>
      </c>
      <c r="R81" s="3" t="b">
        <f t="shared" si="84"/>
        <v>0</v>
      </c>
      <c r="S81" s="3" t="b">
        <f t="shared" si="85"/>
        <v>0</v>
      </c>
      <c r="T81" s="3" t="b">
        <f t="shared" si="86"/>
        <v>0</v>
      </c>
      <c r="U81" s="3" t="b">
        <f t="shared" si="8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101">A82</f>
        <v>80</v>
      </c>
      <c r="J82" s="3">
        <f t="shared" si="101"/>
        <v>0</v>
      </c>
      <c r="K82" s="3"/>
      <c r="L82" s="3" t="str">
        <f t="shared" si="80"/>
        <v>x</v>
      </c>
      <c r="M82" s="3"/>
      <c r="N82" s="3">
        <f t="shared" si="81"/>
        <v>0</v>
      </c>
      <c r="O82" s="3" t="str">
        <f t="shared" si="82"/>
        <v>-</v>
      </c>
      <c r="P82" s="3"/>
      <c r="Q82" s="3" t="b">
        <f t="shared" si="83"/>
        <v>0</v>
      </c>
      <c r="R82" s="3" t="b">
        <f t="shared" si="84"/>
        <v>0</v>
      </c>
      <c r="S82" s="3" t="b">
        <f t="shared" si="85"/>
        <v>0</v>
      </c>
      <c r="T82" s="3" t="b">
        <f t="shared" si="86"/>
        <v>0</v>
      </c>
      <c r="U82" s="3" t="b">
        <f t="shared" si="8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102">A83</f>
        <v>81</v>
      </c>
      <c r="J83" s="3">
        <f t="shared" si="102"/>
        <v>0</v>
      </c>
      <c r="K83" s="3"/>
      <c r="L83" s="3" t="str">
        <f t="shared" si="80"/>
        <v>x</v>
      </c>
      <c r="M83" s="3"/>
      <c r="N83" s="3">
        <f t="shared" si="81"/>
        <v>0</v>
      </c>
      <c r="O83" s="3" t="str">
        <f t="shared" si="82"/>
        <v>-</v>
      </c>
      <c r="P83" s="3"/>
      <c r="Q83" s="3" t="b">
        <f t="shared" si="83"/>
        <v>0</v>
      </c>
      <c r="R83" s="3" t="b">
        <f t="shared" si="84"/>
        <v>0</v>
      </c>
      <c r="S83" s="3" t="b">
        <f t="shared" si="85"/>
        <v>0</v>
      </c>
      <c r="T83" s="3" t="b">
        <f t="shared" si="86"/>
        <v>0</v>
      </c>
      <c r="U83" s="3" t="b">
        <f t="shared" si="8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103">A84</f>
        <v>82</v>
      </c>
      <c r="J84" s="3">
        <f t="shared" si="103"/>
        <v>0</v>
      </c>
      <c r="K84" s="3"/>
      <c r="L84" s="3" t="str">
        <f t="shared" si="80"/>
        <v>x</v>
      </c>
      <c r="M84" s="3"/>
      <c r="N84" s="3">
        <f t="shared" si="81"/>
        <v>0</v>
      </c>
      <c r="O84" s="3" t="str">
        <f t="shared" si="82"/>
        <v>-</v>
      </c>
      <c r="P84" s="3"/>
      <c r="Q84" s="3" t="b">
        <f t="shared" si="83"/>
        <v>0</v>
      </c>
      <c r="R84" s="3" t="b">
        <f t="shared" si="84"/>
        <v>0</v>
      </c>
      <c r="S84" s="3" t="b">
        <f t="shared" si="85"/>
        <v>0</v>
      </c>
      <c r="T84" s="3" t="b">
        <f t="shared" si="86"/>
        <v>0</v>
      </c>
      <c r="U84" s="3" t="b">
        <f t="shared" si="8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104">A85</f>
        <v>83</v>
      </c>
      <c r="J85" s="3">
        <f t="shared" si="104"/>
        <v>0</v>
      </c>
      <c r="K85" s="3"/>
      <c r="L85" s="3" t="str">
        <f t="shared" si="80"/>
        <v>x</v>
      </c>
      <c r="M85" s="3"/>
      <c r="N85" s="3">
        <f t="shared" si="81"/>
        <v>0</v>
      </c>
      <c r="O85" s="3" t="str">
        <f t="shared" si="82"/>
        <v>-</v>
      </c>
      <c r="P85" s="3"/>
      <c r="Q85" s="3" t="b">
        <f t="shared" si="83"/>
        <v>0</v>
      </c>
      <c r="R85" s="3" t="b">
        <f t="shared" si="84"/>
        <v>0</v>
      </c>
      <c r="S85" s="3" t="b">
        <f t="shared" si="85"/>
        <v>0</v>
      </c>
      <c r="T85" s="3" t="b">
        <f t="shared" si="86"/>
        <v>0</v>
      </c>
      <c r="U85" s="3" t="b">
        <f t="shared" si="8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105">A86</f>
        <v>84</v>
      </c>
      <c r="J86" s="3">
        <f t="shared" si="105"/>
        <v>0</v>
      </c>
      <c r="K86" s="3"/>
      <c r="L86" s="3" t="str">
        <f t="shared" si="80"/>
        <v>x</v>
      </c>
      <c r="M86" s="3"/>
      <c r="N86" s="3">
        <f t="shared" si="81"/>
        <v>0</v>
      </c>
      <c r="O86" s="3" t="str">
        <f t="shared" si="82"/>
        <v>-</v>
      </c>
      <c r="P86" s="3"/>
      <c r="Q86" s="3" t="b">
        <f t="shared" si="83"/>
        <v>0</v>
      </c>
      <c r="R86" s="3" t="b">
        <f t="shared" si="84"/>
        <v>0</v>
      </c>
      <c r="S86" s="3" t="b">
        <f t="shared" si="85"/>
        <v>0</v>
      </c>
      <c r="T86" s="3" t="b">
        <f t="shared" si="86"/>
        <v>0</v>
      </c>
      <c r="U86" s="3" t="b">
        <f t="shared" si="8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106">A87</f>
        <v>85</v>
      </c>
      <c r="J87" s="3">
        <f t="shared" si="106"/>
        <v>0</v>
      </c>
      <c r="K87" s="3"/>
      <c r="L87" s="3" t="str">
        <f t="shared" si="80"/>
        <v>x</v>
      </c>
      <c r="M87" s="3"/>
      <c r="N87" s="3">
        <f t="shared" si="81"/>
        <v>0</v>
      </c>
      <c r="O87" s="3" t="str">
        <f t="shared" si="82"/>
        <v>-</v>
      </c>
      <c r="P87" s="3"/>
      <c r="Q87" s="3" t="b">
        <f t="shared" si="83"/>
        <v>0</v>
      </c>
      <c r="R87" s="3" t="b">
        <f t="shared" si="84"/>
        <v>0</v>
      </c>
      <c r="S87" s="3" t="b">
        <f t="shared" si="85"/>
        <v>0</v>
      </c>
      <c r="T87" s="3" t="b">
        <f t="shared" si="86"/>
        <v>0</v>
      </c>
      <c r="U87" s="3" t="b">
        <f t="shared" si="8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107">A88</f>
        <v>86</v>
      </c>
      <c r="J88" s="3">
        <f t="shared" si="107"/>
        <v>0</v>
      </c>
      <c r="K88" s="3"/>
      <c r="L88" s="3" t="str">
        <f t="shared" si="80"/>
        <v>x</v>
      </c>
      <c r="M88" s="3"/>
      <c r="N88" s="3">
        <f t="shared" si="81"/>
        <v>0</v>
      </c>
      <c r="O88" s="3" t="str">
        <f t="shared" si="82"/>
        <v>-</v>
      </c>
      <c r="P88" s="3"/>
      <c r="Q88" s="3" t="b">
        <f t="shared" si="83"/>
        <v>0</v>
      </c>
      <c r="R88" s="3" t="b">
        <f t="shared" si="84"/>
        <v>0</v>
      </c>
      <c r="S88" s="3" t="b">
        <f t="shared" si="85"/>
        <v>0</v>
      </c>
      <c r="T88" s="3" t="b">
        <f t="shared" si="86"/>
        <v>0</v>
      </c>
      <c r="U88" s="3" t="b">
        <f t="shared" si="8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108">A89</f>
        <v>87</v>
      </c>
      <c r="J89" s="3">
        <f t="shared" si="108"/>
        <v>0</v>
      </c>
      <c r="K89" s="3"/>
      <c r="L89" s="3" t="str">
        <f t="shared" si="80"/>
        <v>x</v>
      </c>
      <c r="M89" s="3"/>
      <c r="N89" s="3">
        <f t="shared" si="81"/>
        <v>0</v>
      </c>
      <c r="O89" s="3" t="str">
        <f t="shared" si="82"/>
        <v>-</v>
      </c>
      <c r="P89" s="3"/>
      <c r="Q89" s="3" t="b">
        <f t="shared" si="83"/>
        <v>0</v>
      </c>
      <c r="R89" s="3" t="b">
        <f t="shared" si="84"/>
        <v>0</v>
      </c>
      <c r="S89" s="3" t="b">
        <f t="shared" si="85"/>
        <v>0</v>
      </c>
      <c r="T89" s="3" t="b">
        <f t="shared" si="86"/>
        <v>0</v>
      </c>
      <c r="U89" s="3" t="b">
        <f t="shared" si="8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109">A90</f>
        <v>88</v>
      </c>
      <c r="J90" s="3">
        <f t="shared" si="109"/>
        <v>0</v>
      </c>
      <c r="K90" s="3"/>
      <c r="L90" s="3" t="str">
        <f t="shared" si="80"/>
        <v>x</v>
      </c>
      <c r="M90" s="3"/>
      <c r="N90" s="3">
        <f t="shared" si="81"/>
        <v>0</v>
      </c>
      <c r="O90" s="3" t="str">
        <f t="shared" si="82"/>
        <v>-</v>
      </c>
      <c r="P90" s="3"/>
      <c r="Q90" s="3" t="b">
        <f t="shared" si="83"/>
        <v>0</v>
      </c>
      <c r="R90" s="3" t="b">
        <f t="shared" si="84"/>
        <v>0</v>
      </c>
      <c r="S90" s="3" t="b">
        <f t="shared" si="85"/>
        <v>0</v>
      </c>
      <c r="T90" s="3" t="b">
        <f t="shared" si="86"/>
        <v>0</v>
      </c>
      <c r="U90" s="3" t="b">
        <f t="shared" si="8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10">A91</f>
        <v>89</v>
      </c>
      <c r="J91" s="3">
        <f t="shared" si="110"/>
        <v>0</v>
      </c>
      <c r="K91" s="3"/>
      <c r="L91" s="3" t="str">
        <f t="shared" si="80"/>
        <v>x</v>
      </c>
      <c r="M91" s="3"/>
      <c r="N91" s="3">
        <f t="shared" si="81"/>
        <v>0</v>
      </c>
      <c r="O91" s="3" t="str">
        <f t="shared" si="82"/>
        <v>-</v>
      </c>
      <c r="P91" s="3"/>
      <c r="Q91" s="3" t="b">
        <f t="shared" si="83"/>
        <v>0</v>
      </c>
      <c r="R91" s="3" t="b">
        <f t="shared" si="84"/>
        <v>0</v>
      </c>
      <c r="S91" s="3" t="b">
        <f t="shared" si="85"/>
        <v>0</v>
      </c>
      <c r="T91" s="3" t="b">
        <f t="shared" si="86"/>
        <v>0</v>
      </c>
      <c r="U91" s="3" t="b">
        <f t="shared" si="8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11">A92</f>
        <v>90</v>
      </c>
      <c r="J92" s="3">
        <f t="shared" si="111"/>
        <v>0</v>
      </c>
      <c r="K92" s="3"/>
      <c r="L92" s="3" t="str">
        <f t="shared" si="80"/>
        <v>x</v>
      </c>
      <c r="M92" s="3"/>
      <c r="N92" s="3">
        <f t="shared" si="81"/>
        <v>0</v>
      </c>
      <c r="O92" s="3" t="str">
        <f t="shared" si="82"/>
        <v>-</v>
      </c>
      <c r="P92" s="3"/>
      <c r="Q92" s="3" t="b">
        <f t="shared" si="83"/>
        <v>0</v>
      </c>
      <c r="R92" s="3" t="b">
        <f t="shared" si="84"/>
        <v>0</v>
      </c>
      <c r="S92" s="3" t="b">
        <f t="shared" si="85"/>
        <v>0</v>
      </c>
      <c r="T92" s="3" t="b">
        <f t="shared" si="86"/>
        <v>0</v>
      </c>
      <c r="U92" s="3" t="b">
        <f t="shared" si="8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12">A93</f>
        <v>91</v>
      </c>
      <c r="J93" s="3">
        <f t="shared" si="112"/>
        <v>0</v>
      </c>
      <c r="K93" s="3"/>
      <c r="L93" s="3" t="str">
        <f t="shared" si="80"/>
        <v>x</v>
      </c>
      <c r="M93" s="3"/>
      <c r="N93" s="3">
        <f t="shared" si="81"/>
        <v>0</v>
      </c>
      <c r="O93" s="3" t="str">
        <f t="shared" si="82"/>
        <v>-</v>
      </c>
      <c r="P93" s="3"/>
      <c r="Q93" s="3" t="b">
        <f t="shared" si="83"/>
        <v>0</v>
      </c>
      <c r="R93" s="3" t="b">
        <f t="shared" si="84"/>
        <v>0</v>
      </c>
      <c r="S93" s="3" t="b">
        <f t="shared" si="85"/>
        <v>0</v>
      </c>
      <c r="T93" s="3" t="b">
        <f t="shared" si="86"/>
        <v>0</v>
      </c>
      <c r="U93" s="3" t="b">
        <f t="shared" si="8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13">A94</f>
        <v>92</v>
      </c>
      <c r="J94" s="3">
        <f t="shared" si="113"/>
        <v>0</v>
      </c>
      <c r="K94" s="3"/>
      <c r="L94" s="3" t="str">
        <f t="shared" si="80"/>
        <v>x</v>
      </c>
      <c r="M94" s="3"/>
      <c r="N94" s="3">
        <f t="shared" si="81"/>
        <v>0</v>
      </c>
      <c r="O94" s="3" t="str">
        <f t="shared" si="82"/>
        <v>-</v>
      </c>
      <c r="P94" s="3"/>
      <c r="Q94" s="3" t="b">
        <f t="shared" si="83"/>
        <v>0</v>
      </c>
      <c r="R94" s="3" t="b">
        <f t="shared" si="84"/>
        <v>0</v>
      </c>
      <c r="S94" s="3" t="b">
        <f t="shared" si="85"/>
        <v>0</v>
      </c>
      <c r="T94" s="3" t="b">
        <f t="shared" si="86"/>
        <v>0</v>
      </c>
      <c r="U94" s="3" t="b">
        <f t="shared" si="8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4">A95</f>
        <v>93</v>
      </c>
      <c r="J95" s="3">
        <f t="shared" si="114"/>
        <v>0</v>
      </c>
      <c r="K95" s="3"/>
      <c r="L95" s="3" t="str">
        <f t="shared" si="80"/>
        <v>x</v>
      </c>
      <c r="M95" s="3"/>
      <c r="N95" s="3">
        <f t="shared" si="81"/>
        <v>0</v>
      </c>
      <c r="O95" s="3" t="str">
        <f t="shared" si="82"/>
        <v>-</v>
      </c>
      <c r="P95" s="3"/>
      <c r="Q95" s="3" t="b">
        <f t="shared" si="83"/>
        <v>0</v>
      </c>
      <c r="R95" s="3" t="b">
        <f t="shared" si="84"/>
        <v>0</v>
      </c>
      <c r="S95" s="3" t="b">
        <f t="shared" si="85"/>
        <v>0</v>
      </c>
      <c r="T95" s="3" t="b">
        <f t="shared" si="86"/>
        <v>0</v>
      </c>
      <c r="U95" s="3" t="b">
        <f t="shared" si="8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5">A96</f>
        <v>94</v>
      </c>
      <c r="J96" s="3">
        <f t="shared" si="115"/>
        <v>0</v>
      </c>
      <c r="K96" s="3"/>
      <c r="L96" s="3" t="str">
        <f t="shared" si="80"/>
        <v>x</v>
      </c>
      <c r="M96" s="3"/>
      <c r="N96" s="3">
        <f t="shared" si="81"/>
        <v>0</v>
      </c>
      <c r="O96" s="3" t="str">
        <f t="shared" si="82"/>
        <v>-</v>
      </c>
      <c r="P96" s="3"/>
      <c r="Q96" s="3" t="b">
        <f t="shared" si="83"/>
        <v>0</v>
      </c>
      <c r="R96" s="3" t="b">
        <f t="shared" si="84"/>
        <v>0</v>
      </c>
      <c r="S96" s="3" t="b">
        <f t="shared" si="85"/>
        <v>0</v>
      </c>
      <c r="T96" s="3" t="b">
        <f t="shared" si="86"/>
        <v>0</v>
      </c>
      <c r="U96" s="3" t="b">
        <f t="shared" si="8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6">A97</f>
        <v>95</v>
      </c>
      <c r="J97" s="3">
        <f t="shared" si="116"/>
        <v>0</v>
      </c>
      <c r="K97" s="3"/>
      <c r="L97" s="3" t="str">
        <f t="shared" si="80"/>
        <v>x</v>
      </c>
      <c r="M97" s="3"/>
      <c r="N97" s="3">
        <f t="shared" si="81"/>
        <v>0</v>
      </c>
      <c r="O97" s="3" t="str">
        <f t="shared" si="82"/>
        <v>-</v>
      </c>
      <c r="P97" s="3"/>
      <c r="Q97" s="3" t="b">
        <f t="shared" si="83"/>
        <v>0</v>
      </c>
      <c r="R97" s="3" t="b">
        <f t="shared" si="84"/>
        <v>0</v>
      </c>
      <c r="S97" s="3" t="b">
        <f t="shared" si="85"/>
        <v>0</v>
      </c>
      <c r="T97" s="3" t="b">
        <f t="shared" si="86"/>
        <v>0</v>
      </c>
      <c r="U97" s="3" t="b">
        <f t="shared" si="8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7">A98</f>
        <v>96</v>
      </c>
      <c r="J98" s="3">
        <f t="shared" si="117"/>
        <v>0</v>
      </c>
      <c r="K98" s="3"/>
      <c r="L98" s="3" t="str">
        <f t="shared" si="80"/>
        <v>x</v>
      </c>
      <c r="M98" s="3"/>
      <c r="N98" s="3">
        <f t="shared" si="81"/>
        <v>0</v>
      </c>
      <c r="O98" s="3" t="str">
        <f t="shared" si="82"/>
        <v>-</v>
      </c>
      <c r="P98" s="3"/>
      <c r="Q98" s="3" t="b">
        <f t="shared" si="83"/>
        <v>0</v>
      </c>
      <c r="R98" s="3" t="b">
        <f t="shared" si="84"/>
        <v>0</v>
      </c>
      <c r="S98" s="3" t="b">
        <f t="shared" si="85"/>
        <v>0</v>
      </c>
      <c r="T98" s="3" t="b">
        <f t="shared" si="86"/>
        <v>0</v>
      </c>
      <c r="U98" s="3" t="b">
        <f t="shared" si="8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8">A99</f>
        <v>97</v>
      </c>
      <c r="J99" s="3">
        <f t="shared" si="118"/>
        <v>0</v>
      </c>
      <c r="K99" s="3"/>
      <c r="L99" s="3" t="str">
        <f t="shared" ref="L99:L106" si="119">D99</f>
        <v>x</v>
      </c>
      <c r="M99" s="3"/>
      <c r="N99" s="3">
        <f t="shared" ref="N99:N106" si="120">F99</f>
        <v>0</v>
      </c>
      <c r="O99" s="3" t="str">
        <f t="shared" ref="O99:O106" si="121">IF(K99&gt;M99,J99,IF(M99&gt;K99,N99,IF(ISBLANK(K99),"-","Empate")))</f>
        <v>-</v>
      </c>
      <c r="P99" s="3"/>
      <c r="Q99" s="3" t="b">
        <f t="shared" ref="Q99:Q106" si="122">IF(AND(O99=G99,K99=C99,M99=E99,ISBLANK(K99)&lt;&gt;TRUE),TRUE,FALSE)</f>
        <v>0</v>
      </c>
      <c r="R99" s="3" t="b">
        <f t="shared" ref="R99:R106" si="123">IF(OR(AND(O99=G99,K99=C99,K99&gt;M99,M99&lt;&gt;E99,ISBLANK(K99)&lt;&gt;TRUE),AND(O99=G99,M99&gt;K99,K99&lt;&gt;C99,M99=E99,ISBLANK(K99)&lt;&gt;TRUE)),TRUE,FALSE)</f>
        <v>0</v>
      </c>
      <c r="S99" s="3" t="b">
        <f t="shared" ref="S99:S106" si="124">IF(AND(O99=G99,ABS(K99-M99)=ABS(C99-E99),OR(K99&lt;&gt;C99,M99&lt;&gt;E99),ISBLANK(K99)&lt;&gt;TRUE),TRUE,FALSE)</f>
        <v>0</v>
      </c>
      <c r="T99" s="3" t="b">
        <f t="shared" ref="T99:T106" si="125">IF(OR(AND(O99=G99,Q99=FALSE,R99=FALSE,S99=FALSE,G99&lt;&gt;"-"),AND(O99="Empate",S99=TRUE)),TRUE,FALSE)</f>
        <v>0</v>
      </c>
      <c r="U99" s="3" t="b">
        <f t="shared" si="8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26">A100</f>
        <v>98</v>
      </c>
      <c r="J100" s="3">
        <f t="shared" si="126"/>
        <v>0</v>
      </c>
      <c r="K100" s="3"/>
      <c r="L100" s="3" t="str">
        <f t="shared" si="119"/>
        <v>x</v>
      </c>
      <c r="M100" s="3"/>
      <c r="N100" s="3">
        <f t="shared" si="120"/>
        <v>0</v>
      </c>
      <c r="O100" s="3" t="str">
        <f t="shared" si="121"/>
        <v>-</v>
      </c>
      <c r="P100" s="3"/>
      <c r="Q100" s="3" t="b">
        <f t="shared" si="122"/>
        <v>0</v>
      </c>
      <c r="R100" s="3" t="b">
        <f t="shared" si="123"/>
        <v>0</v>
      </c>
      <c r="S100" s="3" t="b">
        <f t="shared" si="124"/>
        <v>0</v>
      </c>
      <c r="T100" s="3" t="b">
        <f t="shared" si="125"/>
        <v>0</v>
      </c>
      <c r="U100" s="3" t="b">
        <f t="shared" si="8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27">A101</f>
        <v>99</v>
      </c>
      <c r="J101" s="3">
        <f t="shared" si="127"/>
        <v>0</v>
      </c>
      <c r="K101" s="3"/>
      <c r="L101" s="3" t="str">
        <f t="shared" si="119"/>
        <v>x</v>
      </c>
      <c r="M101" s="3"/>
      <c r="N101" s="3">
        <f t="shared" si="120"/>
        <v>0</v>
      </c>
      <c r="O101" s="3" t="str">
        <f t="shared" si="121"/>
        <v>-</v>
      </c>
      <c r="P101" s="3"/>
      <c r="Q101" s="3" t="b">
        <f t="shared" si="122"/>
        <v>0</v>
      </c>
      <c r="R101" s="3" t="b">
        <f t="shared" si="123"/>
        <v>0</v>
      </c>
      <c r="S101" s="3" t="b">
        <f t="shared" si="124"/>
        <v>0</v>
      </c>
      <c r="T101" s="3" t="b">
        <f t="shared" si="125"/>
        <v>0</v>
      </c>
      <c r="U101" s="3" t="b">
        <f t="shared" si="8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28">A102</f>
        <v>100</v>
      </c>
      <c r="J102" s="3">
        <f t="shared" si="128"/>
        <v>0</v>
      </c>
      <c r="K102" s="3"/>
      <c r="L102" s="3" t="str">
        <f t="shared" si="119"/>
        <v>x</v>
      </c>
      <c r="M102" s="3"/>
      <c r="N102" s="3">
        <f t="shared" si="120"/>
        <v>0</v>
      </c>
      <c r="O102" s="3" t="str">
        <f t="shared" si="121"/>
        <v>-</v>
      </c>
      <c r="P102" s="3"/>
      <c r="Q102" s="3" t="b">
        <f t="shared" si="122"/>
        <v>0</v>
      </c>
      <c r="R102" s="3" t="b">
        <f t="shared" si="123"/>
        <v>0</v>
      </c>
      <c r="S102" s="3" t="b">
        <f t="shared" si="124"/>
        <v>0</v>
      </c>
      <c r="T102" s="3" t="b">
        <f t="shared" si="125"/>
        <v>0</v>
      </c>
      <c r="U102" s="3" t="b">
        <f t="shared" si="8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29">A103</f>
        <v>101</v>
      </c>
      <c r="J103" s="3">
        <f t="shared" si="129"/>
        <v>0</v>
      </c>
      <c r="K103" s="3"/>
      <c r="L103" s="3" t="str">
        <f t="shared" si="119"/>
        <v>x</v>
      </c>
      <c r="M103" s="3"/>
      <c r="N103" s="3">
        <f t="shared" si="120"/>
        <v>0</v>
      </c>
      <c r="O103" s="3" t="str">
        <f t="shared" si="121"/>
        <v>-</v>
      </c>
      <c r="P103" s="3"/>
      <c r="Q103" s="3" t="b">
        <f t="shared" si="122"/>
        <v>0</v>
      </c>
      <c r="R103" s="3" t="b">
        <f t="shared" si="123"/>
        <v>0</v>
      </c>
      <c r="S103" s="3" t="b">
        <f t="shared" si="124"/>
        <v>0</v>
      </c>
      <c r="T103" s="3" t="b">
        <f t="shared" si="125"/>
        <v>0</v>
      </c>
      <c r="U103" s="3" t="b">
        <f t="shared" si="8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0">A104</f>
        <v>102</v>
      </c>
      <c r="J104" s="3">
        <f t="shared" si="130"/>
        <v>0</v>
      </c>
      <c r="K104" s="3"/>
      <c r="L104" s="3" t="str">
        <f t="shared" si="119"/>
        <v>x</v>
      </c>
      <c r="M104" s="3"/>
      <c r="N104" s="3">
        <f t="shared" si="120"/>
        <v>0</v>
      </c>
      <c r="O104" s="3" t="str">
        <f t="shared" si="121"/>
        <v>-</v>
      </c>
      <c r="P104" s="3"/>
      <c r="Q104" s="3" t="b">
        <f t="shared" si="122"/>
        <v>0</v>
      </c>
      <c r="R104" s="3" t="b">
        <f t="shared" si="123"/>
        <v>0</v>
      </c>
      <c r="S104" s="3" t="b">
        <f t="shared" si="124"/>
        <v>0</v>
      </c>
      <c r="T104" s="3" t="b">
        <f t="shared" si="125"/>
        <v>0</v>
      </c>
      <c r="U104" s="3" t="b">
        <f t="shared" si="8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31">A105</f>
        <v>103</v>
      </c>
      <c r="J105" s="3">
        <f t="shared" si="131"/>
        <v>0</v>
      </c>
      <c r="K105" s="3"/>
      <c r="L105" s="3" t="str">
        <f t="shared" si="119"/>
        <v>x</v>
      </c>
      <c r="M105" s="3"/>
      <c r="N105" s="3">
        <f t="shared" si="120"/>
        <v>0</v>
      </c>
      <c r="O105" s="3" t="str">
        <f t="shared" si="121"/>
        <v>-</v>
      </c>
      <c r="P105" s="3"/>
      <c r="Q105" s="3" t="b">
        <f t="shared" si="122"/>
        <v>0</v>
      </c>
      <c r="R105" s="3" t="b">
        <f t="shared" si="123"/>
        <v>0</v>
      </c>
      <c r="S105" s="3" t="b">
        <f t="shared" si="124"/>
        <v>0</v>
      </c>
      <c r="T105" s="3" t="b">
        <f t="shared" si="125"/>
        <v>0</v>
      </c>
      <c r="U105" s="3" t="b">
        <f t="shared" si="8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32">A106</f>
        <v>104</v>
      </c>
      <c r="J106" s="3">
        <f t="shared" si="132"/>
        <v>0</v>
      </c>
      <c r="K106" s="3"/>
      <c r="L106" s="3" t="str">
        <f t="shared" si="119"/>
        <v>x</v>
      </c>
      <c r="M106" s="3"/>
      <c r="N106" s="3">
        <f t="shared" si="120"/>
        <v>0</v>
      </c>
      <c r="O106" s="3" t="str">
        <f t="shared" si="121"/>
        <v>-</v>
      </c>
      <c r="P106" s="3"/>
      <c r="Q106" s="3" t="b">
        <f t="shared" si="122"/>
        <v>0</v>
      </c>
      <c r="R106" s="3" t="b">
        <f t="shared" si="123"/>
        <v>0</v>
      </c>
      <c r="S106" s="3" t="b">
        <f t="shared" si="124"/>
        <v>0</v>
      </c>
      <c r="T106" s="3" t="b">
        <f t="shared" si="125"/>
        <v>0</v>
      </c>
      <c r="U106" s="3" t="b">
        <f t="shared" si="8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topLeftCell="I30" workbookViewId="0">
      <selection activeCell="K47" sqref="K47:M50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85</v>
      </c>
      <c r="Y3" s="3">
        <f>COUNTIF(W3:W106,6)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opLeftCell="I30" workbookViewId="0">
      <selection activeCell="K47" sqref="K47:M50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62</v>
      </c>
      <c r="Y3" s="3">
        <f>COUNTIF(W3:W106,6)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27" workbookViewId="0">
      <selection activeCell="M48" sqref="K48:M50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66</v>
      </c>
      <c r="Y3" s="3">
        <f>COUNTIF(W3:W106,6)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opLeftCell="I26" workbookViewId="0">
      <selection activeCell="K47" sqref="K47:M50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92</v>
      </c>
      <c r="Y3" s="3">
        <f>COUNTIF(W3:W106,6)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26" workbookViewId="0">
      <selection activeCell="K47" sqref="K47:M50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3" width="8.88671875" customWidth="1"/>
    <col min="24" max="24" width="8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75</v>
      </c>
      <c r="Y3" s="3">
        <f>COUNTIF(W3:W106,6)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25" workbookViewId="0">
      <selection activeCell="K47" sqref="K47:M50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63</v>
      </c>
      <c r="Y3" s="3">
        <f>COUNTIF(W3:W106,6)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66</v>
      </c>
      <c r="C47" s="2">
        <f>IF('Tabela de Jogos'!C47&lt;&gt;"",Arthur!W47+C46,C46)</f>
        <v>85</v>
      </c>
      <c r="D47" s="2">
        <f>IF('Tabela de Jogos'!C47&lt;&gt;"",Dudu!W47+D46,D46)</f>
        <v>62</v>
      </c>
      <c r="E47" s="2">
        <f>IF('Tabela de Jogos'!C47&lt;&gt;"",Carol!W47+E46,E46)</f>
        <v>66</v>
      </c>
      <c r="F47" s="2">
        <f>IF('Tabela de Jogos'!C47&lt;&gt;"",Ana!W47+F46,F46)</f>
        <v>92</v>
      </c>
      <c r="G47" s="2">
        <f>IF('Tabela de Jogos'!C47&lt;&gt;"",Isa!W47+G46,G46)</f>
        <v>75</v>
      </c>
      <c r="H47" s="2">
        <f>IF('Tabela de Jogos'!C47&lt;&gt;"",Trops!W47+H46,H46)</f>
        <v>63</v>
      </c>
      <c r="J47">
        <f>Rodrigo!W47</f>
        <v>0</v>
      </c>
      <c r="K47">
        <f>Arthur!W47</f>
        <v>0</v>
      </c>
      <c r="L47">
        <f>Dudu!W47</f>
        <v>0</v>
      </c>
      <c r="M47">
        <f>Carol!W47</f>
        <v>0</v>
      </c>
      <c r="N47">
        <f>Ana!W47</f>
        <v>0</v>
      </c>
      <c r="O47">
        <f>Isa!W47</f>
        <v>0</v>
      </c>
      <c r="P47">
        <f>Trops!W47</f>
        <v>0</v>
      </c>
    </row>
    <row r="48" spans="1:16" ht="14.25" customHeight="1" x14ac:dyDescent="0.3">
      <c r="A48" s="2">
        <v>46</v>
      </c>
      <c r="B48" s="2">
        <f>IF('Tabela de Jogos'!C48&lt;&gt;"",Rodrigo!W48+B47,B47)</f>
        <v>66</v>
      </c>
      <c r="C48" s="2">
        <f>IF('Tabela de Jogos'!C48&lt;&gt;"",Arthur!W48+C47,C47)</f>
        <v>85</v>
      </c>
      <c r="D48" s="2">
        <f>IF('Tabela de Jogos'!C48&lt;&gt;"",Dudu!W48+D47,D47)</f>
        <v>62</v>
      </c>
      <c r="E48" s="2">
        <f>IF('Tabela de Jogos'!C48&lt;&gt;"",Carol!W48+E47,E47)</f>
        <v>66</v>
      </c>
      <c r="F48" s="2">
        <f>IF('Tabela de Jogos'!C48&lt;&gt;"",Ana!W48+F47,F47)</f>
        <v>92</v>
      </c>
      <c r="G48" s="2">
        <f>IF('Tabela de Jogos'!C48&lt;&gt;"",Isa!W48+G47,G47)</f>
        <v>75</v>
      </c>
      <c r="H48" s="2">
        <f>IF('Tabela de Jogos'!C48&lt;&gt;"",Trops!W48+H47,H47)</f>
        <v>63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66</v>
      </c>
      <c r="C49" s="2">
        <f>IF('Tabela de Jogos'!C49&lt;&gt;"",Arthur!W49+C48,C48)</f>
        <v>85</v>
      </c>
      <c r="D49" s="2">
        <f>IF('Tabela de Jogos'!C49&lt;&gt;"",Dudu!W49+D48,D48)</f>
        <v>62</v>
      </c>
      <c r="E49" s="2">
        <f>IF('Tabela de Jogos'!C49&lt;&gt;"",Carol!W49+E48,E48)</f>
        <v>66</v>
      </c>
      <c r="F49" s="2">
        <f>IF('Tabela de Jogos'!C49&lt;&gt;"",Ana!W49+F48,F48)</f>
        <v>92</v>
      </c>
      <c r="G49" s="2">
        <f>IF('Tabela de Jogos'!C49&lt;&gt;"",Isa!W49+G48,G48)</f>
        <v>75</v>
      </c>
      <c r="H49" s="2">
        <f>IF('Tabela de Jogos'!C49&lt;&gt;"",Trops!W49+H48,H48)</f>
        <v>63</v>
      </c>
      <c r="J49">
        <f>Rodrigo!W49</f>
        <v>0</v>
      </c>
      <c r="K49">
        <f>Arthur!W49</f>
        <v>0</v>
      </c>
      <c r="L49">
        <f>Dudu!W49</f>
        <v>0</v>
      </c>
      <c r="M49">
        <f>Carol!W49</f>
        <v>0</v>
      </c>
      <c r="N49">
        <f>Ana!W49</f>
        <v>0</v>
      </c>
      <c r="O49">
        <f>Isa!W49</f>
        <v>0</v>
      </c>
      <c r="P49">
        <f>Trops!W49</f>
        <v>0</v>
      </c>
    </row>
    <row r="50" spans="1:16" ht="14.25" customHeight="1" x14ac:dyDescent="0.3">
      <c r="A50" s="2">
        <v>48</v>
      </c>
      <c r="B50" s="2">
        <f>IF('Tabela de Jogos'!C50&lt;&gt;"",Rodrigo!W50+B49,B49)</f>
        <v>66</v>
      </c>
      <c r="C50" s="2">
        <f>IF('Tabela de Jogos'!C50&lt;&gt;"",Arthur!W50+C49,C49)</f>
        <v>85</v>
      </c>
      <c r="D50" s="2">
        <f>IF('Tabela de Jogos'!C50&lt;&gt;"",Dudu!W50+D49,D49)</f>
        <v>62</v>
      </c>
      <c r="E50" s="2">
        <f>IF('Tabela de Jogos'!C50&lt;&gt;"",Carol!W50+E49,E49)</f>
        <v>66</v>
      </c>
      <c r="F50" s="2">
        <f>IF('Tabela de Jogos'!C50&lt;&gt;"",Ana!W50+F49,F49)</f>
        <v>92</v>
      </c>
      <c r="G50" s="2">
        <f>IF('Tabela de Jogos'!C50&lt;&gt;"",Isa!W50+G49,G49)</f>
        <v>75</v>
      </c>
      <c r="H50" s="2">
        <f>IF('Tabela de Jogos'!C50&lt;&gt;"",Trops!W50+H49,H49)</f>
        <v>63</v>
      </c>
      <c r="J50">
        <f>Rodrigo!W50</f>
        <v>0</v>
      </c>
      <c r="K50">
        <f>Arthur!W50</f>
        <v>0</v>
      </c>
      <c r="L50">
        <f>Dudu!W50</f>
        <v>0</v>
      </c>
      <c r="M50">
        <f>Carol!W50</f>
        <v>0</v>
      </c>
      <c r="N50">
        <f>Ana!W50</f>
        <v>0</v>
      </c>
      <c r="O50">
        <f>Isa!W50</f>
        <v>0</v>
      </c>
      <c r="P50">
        <f>Trops!W50</f>
        <v>0</v>
      </c>
    </row>
    <row r="51" spans="1:16" ht="14.25" customHeight="1" x14ac:dyDescent="0.3">
      <c r="A51" s="2">
        <v>49</v>
      </c>
      <c r="B51" s="2">
        <f>IF('Tabela de Jogos'!C51&lt;&gt;"",Rodrigo!W51+B50,B50)</f>
        <v>66</v>
      </c>
      <c r="C51" s="2">
        <f>IF('Tabela de Jogos'!C51&lt;&gt;"",Arthur!W51+C50,C50)</f>
        <v>85</v>
      </c>
      <c r="D51" s="2">
        <f>IF('Tabela de Jogos'!C51&lt;&gt;"",Dudu!W51+D50,D50)</f>
        <v>62</v>
      </c>
      <c r="E51" s="2">
        <f>IF('Tabela de Jogos'!C51&lt;&gt;"",Carol!W51+E50,E50)</f>
        <v>66</v>
      </c>
      <c r="F51" s="2">
        <f>IF('Tabela de Jogos'!C51&lt;&gt;"",Ana!W51+F50,F50)</f>
        <v>92</v>
      </c>
      <c r="G51" s="2">
        <f>IF('Tabela de Jogos'!C51&lt;&gt;"",Isa!W51+G50,G50)</f>
        <v>75</v>
      </c>
      <c r="H51" s="2">
        <f>IF('Tabela de Jogos'!C51&lt;&gt;"",Trops!W51+H50,H50)</f>
        <v>63</v>
      </c>
      <c r="J51">
        <f>Rodrigo!W51</f>
        <v>0</v>
      </c>
      <c r="K51">
        <f>Arthur!W51</f>
        <v>0</v>
      </c>
      <c r="L51">
        <f>Dudu!W51</f>
        <v>0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66</v>
      </c>
      <c r="C52" s="2">
        <f>IF('Tabela de Jogos'!C52&lt;&gt;"",Arthur!W52+C51,C51)</f>
        <v>85</v>
      </c>
      <c r="D52" s="2">
        <f>IF('Tabela de Jogos'!C52&lt;&gt;"",Dudu!W52+D51,D51)</f>
        <v>62</v>
      </c>
      <c r="E52" s="2">
        <f>IF('Tabela de Jogos'!C52&lt;&gt;"",Carol!W52+E51,E51)</f>
        <v>66</v>
      </c>
      <c r="F52" s="2">
        <f>IF('Tabela de Jogos'!C52&lt;&gt;"",Ana!W52+F51,F51)</f>
        <v>92</v>
      </c>
      <c r="G52" s="2">
        <f>IF('Tabela de Jogos'!C52&lt;&gt;"",Isa!W52+G51,G51)</f>
        <v>75</v>
      </c>
      <c r="H52" s="2">
        <f>IF('Tabela de Jogos'!C52&lt;&gt;"",Trops!W52+H51,H51)</f>
        <v>63</v>
      </c>
      <c r="J52">
        <f>Rodrigo!W52</f>
        <v>0</v>
      </c>
      <c r="K52">
        <f>Arthur!W52</f>
        <v>0</v>
      </c>
      <c r="L52">
        <f>Dudu!W52</f>
        <v>0</v>
      </c>
      <c r="M52">
        <f>Carol!W52</f>
        <v>0</v>
      </c>
      <c r="N52">
        <f>Ana!W52</f>
        <v>0</v>
      </c>
      <c r="O52">
        <f>Isa!W52</f>
        <v>0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66</v>
      </c>
      <c r="C53" s="2">
        <f>IF('Tabela de Jogos'!C53&lt;&gt;"",Arthur!W53+C52,C52)</f>
        <v>85</v>
      </c>
      <c r="D53" s="2">
        <f>IF('Tabela de Jogos'!C53&lt;&gt;"",Dudu!W53+D52,D52)</f>
        <v>62</v>
      </c>
      <c r="E53" s="2">
        <f>IF('Tabela de Jogos'!C53&lt;&gt;"",Carol!W53+E52,E52)</f>
        <v>66</v>
      </c>
      <c r="F53" s="2">
        <f>IF('Tabela de Jogos'!C53&lt;&gt;"",Ana!W53+F52,F52)</f>
        <v>92</v>
      </c>
      <c r="G53" s="2">
        <f>IF('Tabela de Jogos'!C53&lt;&gt;"",Isa!W53+G52,G52)</f>
        <v>75</v>
      </c>
      <c r="H53" s="2">
        <f>IF('Tabela de Jogos'!C53&lt;&gt;"",Trops!W53+H52,H52)</f>
        <v>63</v>
      </c>
      <c r="J53">
        <f>Rodrigo!W53</f>
        <v>0</v>
      </c>
      <c r="K53">
        <f>Arthur!W53</f>
        <v>0</v>
      </c>
      <c r="L53">
        <f>Dudu!W53</f>
        <v>0</v>
      </c>
      <c r="M53">
        <f>Carol!W53</f>
        <v>0</v>
      </c>
      <c r="N53">
        <f>Ana!W53</f>
        <v>0</v>
      </c>
      <c r="O53">
        <f>Isa!W53</f>
        <v>0</v>
      </c>
      <c r="P53">
        <f>Trops!W53</f>
        <v>0</v>
      </c>
    </row>
    <row r="54" spans="1:16" ht="14.25" customHeight="1" x14ac:dyDescent="0.3">
      <c r="A54" s="2">
        <v>52</v>
      </c>
      <c r="B54" s="2">
        <f>IF('Tabela de Jogos'!C54&lt;&gt;"",Rodrigo!W54+B53,B53)</f>
        <v>66</v>
      </c>
      <c r="C54" s="2">
        <f>IF('Tabela de Jogos'!C54&lt;&gt;"",Arthur!W54+C53,C53)</f>
        <v>85</v>
      </c>
      <c r="D54" s="2">
        <f>IF('Tabela de Jogos'!C54&lt;&gt;"",Dudu!W54+D53,D53)</f>
        <v>62</v>
      </c>
      <c r="E54" s="2">
        <f>IF('Tabela de Jogos'!C54&lt;&gt;"",Carol!W54+E53,E53)</f>
        <v>66</v>
      </c>
      <c r="F54" s="2">
        <f>IF('Tabela de Jogos'!C54&lt;&gt;"",Ana!W54+F53,F53)</f>
        <v>92</v>
      </c>
      <c r="G54" s="2">
        <f>IF('Tabela de Jogos'!C54&lt;&gt;"",Isa!W54+G53,G53)</f>
        <v>75</v>
      </c>
      <c r="H54" s="2">
        <f>IF('Tabela de Jogos'!C54&lt;&gt;"",Trops!W54+H53,H53)</f>
        <v>63</v>
      </c>
      <c r="J54">
        <f>Rodrigo!W54</f>
        <v>0</v>
      </c>
      <c r="K54">
        <f>Arthur!W54</f>
        <v>0</v>
      </c>
      <c r="L54">
        <f>Dudu!W54</f>
        <v>0</v>
      </c>
      <c r="M54">
        <f>Carol!W54</f>
        <v>0</v>
      </c>
      <c r="N54">
        <f>Ana!W54</f>
        <v>0</v>
      </c>
      <c r="O54">
        <f>Isa!W54</f>
        <v>0</v>
      </c>
      <c r="P54">
        <f>Trops!W54</f>
        <v>0</v>
      </c>
    </row>
    <row r="55" spans="1:16" ht="14.25" customHeight="1" x14ac:dyDescent="0.3">
      <c r="A55" s="2">
        <v>53</v>
      </c>
      <c r="B55" s="2">
        <f>IF('Tabela de Jogos'!C55&lt;&gt;"",Rodrigo!W55+B54,B54)</f>
        <v>66</v>
      </c>
      <c r="C55" s="2">
        <f>IF('Tabela de Jogos'!C55&lt;&gt;"",Arthur!W55+C54,C54)</f>
        <v>85</v>
      </c>
      <c r="D55" s="2">
        <f>IF('Tabela de Jogos'!C55&lt;&gt;"",Dudu!W55+D54,D54)</f>
        <v>62</v>
      </c>
      <c r="E55" s="2">
        <f>IF('Tabela de Jogos'!C55&lt;&gt;"",Carol!W55+E54,E54)</f>
        <v>66</v>
      </c>
      <c r="F55" s="2">
        <f>IF('Tabela de Jogos'!C55&lt;&gt;"",Ana!W55+F54,F54)</f>
        <v>92</v>
      </c>
      <c r="G55" s="2">
        <f>IF('Tabela de Jogos'!C55&lt;&gt;"",Isa!W55+G54,G54)</f>
        <v>75</v>
      </c>
      <c r="H55" s="2">
        <f>IF('Tabela de Jogos'!C55&lt;&gt;"",Trops!W55+H54,H54)</f>
        <v>63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66</v>
      </c>
      <c r="C56" s="2">
        <f>IF('Tabela de Jogos'!C56&lt;&gt;"",Arthur!W56+C55,C55)</f>
        <v>85</v>
      </c>
      <c r="D56" s="2">
        <f>IF('Tabela de Jogos'!C56&lt;&gt;"",Dudu!W56+D55,D55)</f>
        <v>62</v>
      </c>
      <c r="E56" s="2">
        <f>IF('Tabela de Jogos'!C56&lt;&gt;"",Carol!W56+E55,E55)</f>
        <v>66</v>
      </c>
      <c r="F56" s="2">
        <f>IF('Tabela de Jogos'!C56&lt;&gt;"",Ana!W56+F55,F55)</f>
        <v>92</v>
      </c>
      <c r="G56" s="2">
        <f>IF('Tabela de Jogos'!C56&lt;&gt;"",Isa!W56+G55,G55)</f>
        <v>75</v>
      </c>
      <c r="H56" s="2">
        <f>IF('Tabela de Jogos'!C56&lt;&gt;"",Trops!W56+H55,H55)</f>
        <v>63</v>
      </c>
      <c r="J56">
        <f>Rodrigo!W56</f>
        <v>0</v>
      </c>
      <c r="K56">
        <f>Arthur!W56</f>
        <v>0</v>
      </c>
      <c r="L56">
        <f>Dudu!W56</f>
        <v>0</v>
      </c>
      <c r="M56">
        <f>Carol!W56</f>
        <v>0</v>
      </c>
      <c r="N56">
        <f>Ana!W56</f>
        <v>0</v>
      </c>
      <c r="O56">
        <f>Isa!W56</f>
        <v>0</v>
      </c>
      <c r="P56">
        <f>Trops!W56</f>
        <v>0</v>
      </c>
    </row>
    <row r="57" spans="1:16" ht="14.25" customHeight="1" x14ac:dyDescent="0.3">
      <c r="A57" s="2">
        <v>55</v>
      </c>
      <c r="B57" s="2">
        <f>IF('Tabela de Jogos'!C57&lt;&gt;"",Rodrigo!W57+B56,B56)</f>
        <v>66</v>
      </c>
      <c r="C57" s="2">
        <f>IF('Tabela de Jogos'!C57&lt;&gt;"",Arthur!W57+C56,C56)</f>
        <v>85</v>
      </c>
      <c r="D57" s="2">
        <f>IF('Tabela de Jogos'!C57&lt;&gt;"",Dudu!W57+D56,D56)</f>
        <v>62</v>
      </c>
      <c r="E57" s="2">
        <f>IF('Tabela de Jogos'!C57&lt;&gt;"",Carol!W57+E56,E56)</f>
        <v>66</v>
      </c>
      <c r="F57" s="2">
        <f>IF('Tabela de Jogos'!C57&lt;&gt;"",Ana!W57+F56,F56)</f>
        <v>92</v>
      </c>
      <c r="G57" s="2">
        <f>IF('Tabela de Jogos'!C57&lt;&gt;"",Isa!W57+G56,G56)</f>
        <v>75</v>
      </c>
      <c r="H57" s="2">
        <f>IF('Tabela de Jogos'!C57&lt;&gt;"",Trops!W57+H56,H56)</f>
        <v>63</v>
      </c>
      <c r="J57">
        <f>Rodrigo!W57</f>
        <v>0</v>
      </c>
      <c r="K57">
        <f>Arthur!W57</f>
        <v>0</v>
      </c>
      <c r="L57">
        <f>Dudu!W57</f>
        <v>0</v>
      </c>
      <c r="M57">
        <f>Carol!W57</f>
        <v>0</v>
      </c>
      <c r="N57">
        <f>Ana!W57</f>
        <v>0</v>
      </c>
      <c r="O57">
        <f>Isa!W57</f>
        <v>0</v>
      </c>
      <c r="P57">
        <f>Trops!W57</f>
        <v>0</v>
      </c>
    </row>
    <row r="58" spans="1:16" ht="14.25" customHeight="1" x14ac:dyDescent="0.3">
      <c r="A58" s="2">
        <v>56</v>
      </c>
      <c r="B58" s="2">
        <f>IF('Tabela de Jogos'!C58&lt;&gt;"",Rodrigo!W58+B57,B57)</f>
        <v>66</v>
      </c>
      <c r="C58" s="2">
        <f>IF('Tabela de Jogos'!C58&lt;&gt;"",Arthur!W58+C57,C57)</f>
        <v>85</v>
      </c>
      <c r="D58" s="2">
        <f>IF('Tabela de Jogos'!C58&lt;&gt;"",Dudu!W58+D57,D57)</f>
        <v>62</v>
      </c>
      <c r="E58" s="2">
        <f>IF('Tabela de Jogos'!C58&lt;&gt;"",Carol!W58+E57,E57)</f>
        <v>66</v>
      </c>
      <c r="F58" s="2">
        <f>IF('Tabela de Jogos'!C58&lt;&gt;"",Ana!W58+F57,F57)</f>
        <v>92</v>
      </c>
      <c r="G58" s="2">
        <f>IF('Tabela de Jogos'!C58&lt;&gt;"",Isa!W58+G57,G57)</f>
        <v>75</v>
      </c>
      <c r="H58" s="2">
        <f>IF('Tabela de Jogos'!C58&lt;&gt;"",Trops!W58+H57,H57)</f>
        <v>63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66</v>
      </c>
      <c r="C59" s="2">
        <f>IF('Tabela de Jogos'!C59&lt;&gt;"",Arthur!W59+C58,C58)</f>
        <v>85</v>
      </c>
      <c r="D59" s="2">
        <f>IF('Tabela de Jogos'!C59&lt;&gt;"",Dudu!W59+D58,D58)</f>
        <v>62</v>
      </c>
      <c r="E59" s="2">
        <f>IF('Tabela de Jogos'!C59&lt;&gt;"",Carol!W59+E58,E58)</f>
        <v>66</v>
      </c>
      <c r="F59" s="2">
        <f>IF('Tabela de Jogos'!C59&lt;&gt;"",Ana!W59+F58,F58)</f>
        <v>92</v>
      </c>
      <c r="G59" s="2">
        <f>IF('Tabela de Jogos'!C59&lt;&gt;"",Isa!W59+G58,G58)</f>
        <v>75</v>
      </c>
      <c r="H59" s="2">
        <f>IF('Tabela de Jogos'!C59&lt;&gt;"",Trops!W59+H58,H58)</f>
        <v>63</v>
      </c>
      <c r="J59">
        <f>Rodrigo!W59</f>
        <v>0</v>
      </c>
      <c r="K59">
        <f>Arthur!W59</f>
        <v>0</v>
      </c>
      <c r="L59">
        <f>Dudu!W59</f>
        <v>0</v>
      </c>
      <c r="M59">
        <f>Carol!W59</f>
        <v>0</v>
      </c>
      <c r="N59">
        <f>Ana!W59</f>
        <v>0</v>
      </c>
      <c r="O59">
        <f>Isa!W59</f>
        <v>0</v>
      </c>
      <c r="P59">
        <f>Trops!W59</f>
        <v>0</v>
      </c>
    </row>
    <row r="60" spans="1:16" ht="14.25" customHeight="1" x14ac:dyDescent="0.3">
      <c r="A60" s="2">
        <v>58</v>
      </c>
      <c r="B60" s="2">
        <f>IF('Tabela de Jogos'!C60&lt;&gt;"",Rodrigo!W60+B59,B59)</f>
        <v>66</v>
      </c>
      <c r="C60" s="2">
        <f>IF('Tabela de Jogos'!C60&lt;&gt;"",Arthur!W60+C59,C59)</f>
        <v>85</v>
      </c>
      <c r="D60" s="2">
        <f>IF('Tabela de Jogos'!C60&lt;&gt;"",Dudu!W60+D59,D59)</f>
        <v>62</v>
      </c>
      <c r="E60" s="2">
        <f>IF('Tabela de Jogos'!C60&lt;&gt;"",Carol!W60+E59,E59)</f>
        <v>66</v>
      </c>
      <c r="F60" s="2">
        <f>IF('Tabela de Jogos'!C60&lt;&gt;"",Ana!W60+F59,F59)</f>
        <v>92</v>
      </c>
      <c r="G60" s="2">
        <f>IF('Tabela de Jogos'!C60&lt;&gt;"",Isa!W60+G59,G59)</f>
        <v>75</v>
      </c>
      <c r="H60" s="2">
        <f>IF('Tabela de Jogos'!C60&lt;&gt;"",Trops!W60+H59,H59)</f>
        <v>63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66</v>
      </c>
      <c r="C61" s="2">
        <f>IF('Tabela de Jogos'!C61&lt;&gt;"",Arthur!W61+C60,C60)</f>
        <v>85</v>
      </c>
      <c r="D61" s="2">
        <f>IF('Tabela de Jogos'!C61&lt;&gt;"",Dudu!W61+D60,D60)</f>
        <v>62</v>
      </c>
      <c r="E61" s="2">
        <f>IF('Tabela de Jogos'!C61&lt;&gt;"",Carol!W61+E60,E60)</f>
        <v>66</v>
      </c>
      <c r="F61" s="2">
        <f>IF('Tabela de Jogos'!C61&lt;&gt;"",Ana!W61+F60,F60)</f>
        <v>92</v>
      </c>
      <c r="G61" s="2">
        <f>IF('Tabela de Jogos'!C61&lt;&gt;"",Isa!W61+G60,G60)</f>
        <v>75</v>
      </c>
      <c r="H61" s="2">
        <f>IF('Tabela de Jogos'!C61&lt;&gt;"",Trops!W61+H60,H60)</f>
        <v>63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66</v>
      </c>
      <c r="C62" s="2">
        <f>IF('Tabela de Jogos'!C62&lt;&gt;"",Arthur!W62+C61,C61)</f>
        <v>85</v>
      </c>
      <c r="D62" s="2">
        <f>IF('Tabela de Jogos'!C62&lt;&gt;"",Dudu!W62+D61,D61)</f>
        <v>62</v>
      </c>
      <c r="E62" s="2">
        <f>IF('Tabela de Jogos'!C62&lt;&gt;"",Carol!W62+E61,E61)</f>
        <v>66</v>
      </c>
      <c r="F62" s="2">
        <f>IF('Tabela de Jogos'!C62&lt;&gt;"",Ana!W62+F61,F61)</f>
        <v>92</v>
      </c>
      <c r="G62" s="2">
        <f>IF('Tabela de Jogos'!C62&lt;&gt;"",Isa!W62+G61,G61)</f>
        <v>75</v>
      </c>
      <c r="H62" s="2">
        <f>IF('Tabela de Jogos'!C62&lt;&gt;"",Trops!W62+H61,H61)</f>
        <v>63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0</v>
      </c>
      <c r="P62">
        <f>Trops!W62</f>
        <v>0</v>
      </c>
    </row>
    <row r="63" spans="1:16" ht="14.25" customHeight="1" x14ac:dyDescent="0.3">
      <c r="A63" s="2">
        <v>61</v>
      </c>
      <c r="B63" s="2">
        <f>IF('Tabela de Jogos'!C63&lt;&gt;"",Rodrigo!W63+B62,B62)</f>
        <v>66</v>
      </c>
      <c r="C63" s="2">
        <f>IF('Tabela de Jogos'!C63&lt;&gt;"",Arthur!W63+C62,C62)</f>
        <v>85</v>
      </c>
      <c r="D63" s="2">
        <f>IF('Tabela de Jogos'!C63&lt;&gt;"",Dudu!W63+D62,D62)</f>
        <v>62</v>
      </c>
      <c r="E63" s="2">
        <f>IF('Tabela de Jogos'!C63&lt;&gt;"",Carol!W63+E62,E62)</f>
        <v>66</v>
      </c>
      <c r="F63" s="2">
        <f>IF('Tabela de Jogos'!C63&lt;&gt;"",Ana!W63+F62,F62)</f>
        <v>92</v>
      </c>
      <c r="G63" s="2">
        <f>IF('Tabela de Jogos'!C63&lt;&gt;"",Isa!W63+G62,G62)</f>
        <v>75</v>
      </c>
      <c r="H63" s="2">
        <f>IF('Tabela de Jogos'!C63&lt;&gt;"",Trops!W63+H62,H62)</f>
        <v>63</v>
      </c>
      <c r="J63">
        <f>Rodrigo!W63</f>
        <v>0</v>
      </c>
      <c r="K63">
        <f>Arthur!W63</f>
        <v>0</v>
      </c>
      <c r="L63">
        <f>Dudu!W63</f>
        <v>0</v>
      </c>
      <c r="M63">
        <f>Carol!W63</f>
        <v>0</v>
      </c>
      <c r="N63">
        <f>Ana!W63</f>
        <v>0</v>
      </c>
      <c r="O63">
        <f>Isa!W63</f>
        <v>0</v>
      </c>
      <c r="P63">
        <f>Trops!W63</f>
        <v>0</v>
      </c>
    </row>
    <row r="64" spans="1:16" ht="14.25" customHeight="1" x14ac:dyDescent="0.3">
      <c r="A64" s="2">
        <v>62</v>
      </c>
      <c r="B64" s="2">
        <f>IF('Tabela de Jogos'!C64&lt;&gt;"",Rodrigo!W64+B63,B63)</f>
        <v>66</v>
      </c>
      <c r="C64" s="2">
        <f>IF('Tabela de Jogos'!C64&lt;&gt;"",Arthur!W64+C63,C63)</f>
        <v>85</v>
      </c>
      <c r="D64" s="2">
        <f>IF('Tabela de Jogos'!C64&lt;&gt;"",Dudu!W64+D63,D63)</f>
        <v>62</v>
      </c>
      <c r="E64" s="2">
        <f>IF('Tabela de Jogos'!C64&lt;&gt;"",Carol!W64+E63,E63)</f>
        <v>66</v>
      </c>
      <c r="F64" s="2">
        <f>IF('Tabela de Jogos'!C64&lt;&gt;"",Ana!W64+F63,F63)</f>
        <v>92</v>
      </c>
      <c r="G64" s="2">
        <f>IF('Tabela de Jogos'!C64&lt;&gt;"",Isa!W64+G63,G63)</f>
        <v>75</v>
      </c>
      <c r="H64" s="2">
        <f>IF('Tabela de Jogos'!C64&lt;&gt;"",Trops!W64+H63,H63)</f>
        <v>63</v>
      </c>
      <c r="J64">
        <f>Rodrigo!W64</f>
        <v>0</v>
      </c>
      <c r="K64">
        <f>Arthur!W64</f>
        <v>0</v>
      </c>
      <c r="L64">
        <f>Dudu!W64</f>
        <v>0</v>
      </c>
      <c r="M64">
        <f>Carol!W64</f>
        <v>0</v>
      </c>
      <c r="N64">
        <f>Ana!W64</f>
        <v>0</v>
      </c>
      <c r="O64">
        <f>Isa!W64</f>
        <v>0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66</v>
      </c>
      <c r="C65" s="2">
        <f>IF('Tabela de Jogos'!C65&lt;&gt;"",Arthur!W65+C64,C64)</f>
        <v>85</v>
      </c>
      <c r="D65" s="2">
        <f>IF('Tabela de Jogos'!C65&lt;&gt;"",Dudu!W65+D64,D64)</f>
        <v>62</v>
      </c>
      <c r="E65" s="2">
        <f>IF('Tabela de Jogos'!C65&lt;&gt;"",Carol!W65+E64,E64)</f>
        <v>66</v>
      </c>
      <c r="F65" s="2">
        <f>IF('Tabela de Jogos'!C65&lt;&gt;"",Ana!W65+F64,F64)</f>
        <v>92</v>
      </c>
      <c r="G65" s="2">
        <f>IF('Tabela de Jogos'!C65&lt;&gt;"",Isa!W65+G64,G64)</f>
        <v>75</v>
      </c>
      <c r="H65" s="2">
        <f>IF('Tabela de Jogos'!C65&lt;&gt;"",Trops!W65+H64,H64)</f>
        <v>63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66</v>
      </c>
      <c r="C66" s="2">
        <f>IF('Tabela de Jogos'!C66&lt;&gt;"",Arthur!W66+C65,C65)</f>
        <v>85</v>
      </c>
      <c r="D66" s="2">
        <f>IF('Tabela de Jogos'!C66&lt;&gt;"",Dudu!W66+D65,D65)</f>
        <v>62</v>
      </c>
      <c r="E66" s="2">
        <f>IF('Tabela de Jogos'!C66&lt;&gt;"",Carol!W66+E65,E65)</f>
        <v>66</v>
      </c>
      <c r="F66" s="2">
        <f>IF('Tabela de Jogos'!C66&lt;&gt;"",Ana!W66+F65,F65)</f>
        <v>92</v>
      </c>
      <c r="G66" s="2">
        <f>IF('Tabela de Jogos'!C66&lt;&gt;"",Isa!W66+G65,G65)</f>
        <v>75</v>
      </c>
      <c r="H66" s="2">
        <f>IF('Tabela de Jogos'!C66&lt;&gt;"",Trops!W66+H65,H65)</f>
        <v>63</v>
      </c>
      <c r="J66">
        <f>Rodrigo!W66</f>
        <v>0</v>
      </c>
      <c r="K66">
        <f>Arthur!W66</f>
        <v>0</v>
      </c>
      <c r="L66">
        <f>Dudu!W66</f>
        <v>0</v>
      </c>
      <c r="M66">
        <f>Carol!W66</f>
        <v>0</v>
      </c>
      <c r="N66">
        <f>Ana!W66</f>
        <v>0</v>
      </c>
      <c r="O66">
        <f>Isa!W66</f>
        <v>0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66</v>
      </c>
      <c r="C67" s="2">
        <f>IF('Tabela de Jogos'!C67&lt;&gt;"",Arthur!W67+C66,C66)</f>
        <v>85</v>
      </c>
      <c r="D67" s="2">
        <f>IF('Tabela de Jogos'!C67&lt;&gt;"",Dudu!W67+D66,D66)</f>
        <v>62</v>
      </c>
      <c r="E67" s="2">
        <f>IF('Tabela de Jogos'!C67&lt;&gt;"",Carol!W67+E66,E66)</f>
        <v>66</v>
      </c>
      <c r="F67" s="2">
        <f>IF('Tabela de Jogos'!C67&lt;&gt;"",Ana!W67+F66,F66)</f>
        <v>92</v>
      </c>
      <c r="G67" s="2">
        <f>IF('Tabela de Jogos'!C67&lt;&gt;"",Isa!W67+G66,G66)</f>
        <v>75</v>
      </c>
      <c r="H67" s="2">
        <f>IF('Tabela de Jogos'!C67&lt;&gt;"",Trops!W67+H66,H66)</f>
        <v>63</v>
      </c>
      <c r="J67">
        <f>Rodrigo!W67</f>
        <v>0</v>
      </c>
      <c r="K67">
        <f>Arthur!W67</f>
        <v>0</v>
      </c>
      <c r="L67">
        <f>Dudu!W67</f>
        <v>0</v>
      </c>
      <c r="M67">
        <f>Carol!W67</f>
        <v>0</v>
      </c>
      <c r="N67">
        <f>Ana!W67</f>
        <v>0</v>
      </c>
      <c r="O67">
        <f>Isa!W67</f>
        <v>0</v>
      </c>
      <c r="P67">
        <f>Trops!W67</f>
        <v>0</v>
      </c>
    </row>
    <row r="68" spans="1:16" ht="14.25" customHeight="1" x14ac:dyDescent="0.3">
      <c r="A68" s="2">
        <v>66</v>
      </c>
      <c r="B68" s="2">
        <f>IF('Tabela de Jogos'!C68&lt;&gt;"",Rodrigo!W68+B67,B67)</f>
        <v>66</v>
      </c>
      <c r="C68" s="2">
        <f>IF('Tabela de Jogos'!C68&lt;&gt;"",Arthur!W68+C67,C67)</f>
        <v>85</v>
      </c>
      <c r="D68" s="2">
        <f>IF('Tabela de Jogos'!C68&lt;&gt;"",Dudu!W68+D67,D67)</f>
        <v>62</v>
      </c>
      <c r="E68" s="2">
        <f>IF('Tabela de Jogos'!C68&lt;&gt;"",Carol!W68+E67,E67)</f>
        <v>66</v>
      </c>
      <c r="F68" s="2">
        <f>IF('Tabela de Jogos'!C68&lt;&gt;"",Ana!W68+F67,F67)</f>
        <v>92</v>
      </c>
      <c r="G68" s="2">
        <f>IF('Tabela de Jogos'!C68&lt;&gt;"",Isa!W68+G67,G67)</f>
        <v>75</v>
      </c>
      <c r="H68" s="2">
        <f>IF('Tabela de Jogos'!C68&lt;&gt;"",Trops!W68+H67,H67)</f>
        <v>63</v>
      </c>
      <c r="J68">
        <f>Rodrigo!W68</f>
        <v>0</v>
      </c>
      <c r="K68">
        <f>Arthur!W68</f>
        <v>0</v>
      </c>
      <c r="L68">
        <f>Dudu!W68</f>
        <v>0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66</v>
      </c>
      <c r="C69" s="2">
        <f>IF('Tabela de Jogos'!C69&lt;&gt;"",Arthur!W69+C68,C68)</f>
        <v>85</v>
      </c>
      <c r="D69" s="2">
        <f>IF('Tabela de Jogos'!C69&lt;&gt;"",Dudu!W69+D68,D68)</f>
        <v>62</v>
      </c>
      <c r="E69" s="2">
        <f>IF('Tabela de Jogos'!C69&lt;&gt;"",Carol!W69+E68,E68)</f>
        <v>66</v>
      </c>
      <c r="F69" s="2">
        <f>IF('Tabela de Jogos'!C69&lt;&gt;"",Ana!W69+F68,F68)</f>
        <v>92</v>
      </c>
      <c r="G69" s="2">
        <f>IF('Tabela de Jogos'!C69&lt;&gt;"",Isa!W69+G68,G68)</f>
        <v>75</v>
      </c>
      <c r="H69" s="2">
        <f>IF('Tabela de Jogos'!C69&lt;&gt;"",Trops!W69+H68,H68)</f>
        <v>63</v>
      </c>
      <c r="J69">
        <f>Rodrigo!W69</f>
        <v>0</v>
      </c>
      <c r="K69">
        <f>Arthur!W69</f>
        <v>0</v>
      </c>
      <c r="L69">
        <f>Dudu!W69</f>
        <v>0</v>
      </c>
      <c r="M69">
        <f>Carol!W69</f>
        <v>0</v>
      </c>
      <c r="N69">
        <f>Ana!W69</f>
        <v>0</v>
      </c>
      <c r="O69">
        <f>Isa!W69</f>
        <v>0</v>
      </c>
      <c r="P69">
        <f>Trops!W69</f>
        <v>0</v>
      </c>
    </row>
    <row r="70" spans="1:16" ht="14.25" customHeight="1" x14ac:dyDescent="0.3">
      <c r="A70" s="2">
        <v>68</v>
      </c>
      <c r="B70" s="2">
        <f>IF('Tabela de Jogos'!C70&lt;&gt;"",Rodrigo!W70+B69,B69)</f>
        <v>66</v>
      </c>
      <c r="C70" s="2">
        <f>IF('Tabela de Jogos'!C70&lt;&gt;"",Arthur!W70+C69,C69)</f>
        <v>85</v>
      </c>
      <c r="D70" s="2">
        <f>IF('Tabela de Jogos'!C70&lt;&gt;"",Dudu!W70+D69,D69)</f>
        <v>62</v>
      </c>
      <c r="E70" s="2">
        <f>IF('Tabela de Jogos'!C70&lt;&gt;"",Carol!W70+E69,E69)</f>
        <v>66</v>
      </c>
      <c r="F70" s="2">
        <f>IF('Tabela de Jogos'!C70&lt;&gt;"",Ana!W70+F69,F69)</f>
        <v>92</v>
      </c>
      <c r="G70" s="2">
        <f>IF('Tabela de Jogos'!C70&lt;&gt;"",Isa!W70+G69,G69)</f>
        <v>75</v>
      </c>
      <c r="H70" s="2">
        <f>IF('Tabela de Jogos'!C70&lt;&gt;"",Trops!W70+H69,H69)</f>
        <v>63</v>
      </c>
      <c r="J70">
        <f>Rodrigo!W70</f>
        <v>0</v>
      </c>
      <c r="K70">
        <f>Arthur!W70</f>
        <v>0</v>
      </c>
      <c r="L70">
        <f>Dudu!W70</f>
        <v>0</v>
      </c>
      <c r="M70">
        <f>Carol!W70</f>
        <v>0</v>
      </c>
      <c r="N70">
        <f>Ana!W70</f>
        <v>0</v>
      </c>
      <c r="O70">
        <f>Isa!W70</f>
        <v>0</v>
      </c>
      <c r="P70">
        <f>Trops!W70</f>
        <v>0</v>
      </c>
    </row>
    <row r="71" spans="1:16" ht="14.25" customHeight="1" x14ac:dyDescent="0.3">
      <c r="A71" s="2">
        <v>69</v>
      </c>
      <c r="B71" s="2">
        <f>IF('Tabela de Jogos'!C71&lt;&gt;"",Rodrigo!W71+B70,B70)</f>
        <v>66</v>
      </c>
      <c r="C71" s="2">
        <f>IF('Tabela de Jogos'!C71&lt;&gt;"",Arthur!W71+C70,C70)</f>
        <v>85</v>
      </c>
      <c r="D71" s="2">
        <f>IF('Tabela de Jogos'!C71&lt;&gt;"",Dudu!W71+D70,D70)</f>
        <v>62</v>
      </c>
      <c r="E71" s="2">
        <f>IF('Tabela de Jogos'!C71&lt;&gt;"",Carol!W71+E70,E70)</f>
        <v>66</v>
      </c>
      <c r="F71" s="2">
        <f>IF('Tabela de Jogos'!C71&lt;&gt;"",Ana!W71+F70,F70)</f>
        <v>92</v>
      </c>
      <c r="G71" s="2">
        <f>IF('Tabela de Jogos'!C71&lt;&gt;"",Isa!W71+G70,G70)</f>
        <v>75</v>
      </c>
      <c r="H71" s="2">
        <f>IF('Tabela de Jogos'!C71&lt;&gt;"",Trops!W71+H70,H70)</f>
        <v>63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66</v>
      </c>
      <c r="C72" s="2">
        <f>IF('Tabela de Jogos'!C72&lt;&gt;"",Arthur!W72+C71,C71)</f>
        <v>85</v>
      </c>
      <c r="D72" s="2">
        <f>IF('Tabela de Jogos'!C72&lt;&gt;"",Dudu!W72+D71,D71)</f>
        <v>62</v>
      </c>
      <c r="E72" s="2">
        <f>IF('Tabela de Jogos'!C72&lt;&gt;"",Carol!W72+E71,E71)</f>
        <v>66</v>
      </c>
      <c r="F72" s="2">
        <f>IF('Tabela de Jogos'!C72&lt;&gt;"",Ana!W72+F71,F71)</f>
        <v>92</v>
      </c>
      <c r="G72" s="2">
        <f>IF('Tabela de Jogos'!C72&lt;&gt;"",Isa!W72+G71,G71)</f>
        <v>75</v>
      </c>
      <c r="H72" s="2">
        <f>IF('Tabela de Jogos'!C72&lt;&gt;"",Trops!W72+H71,H71)</f>
        <v>63</v>
      </c>
      <c r="J72">
        <f>Rodrigo!W72</f>
        <v>0</v>
      </c>
      <c r="K72">
        <f>Arthur!W72</f>
        <v>0</v>
      </c>
      <c r="L72">
        <f>Dudu!W72</f>
        <v>0</v>
      </c>
      <c r="M72">
        <f>Carol!W72</f>
        <v>0</v>
      </c>
      <c r="N72">
        <f>Ana!W72</f>
        <v>0</v>
      </c>
      <c r="O72">
        <f>Isa!W72</f>
        <v>0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66</v>
      </c>
      <c r="C73" s="2">
        <f>IF('Tabela de Jogos'!C73&lt;&gt;"",Arthur!W73+C72,C72)</f>
        <v>85</v>
      </c>
      <c r="D73" s="2">
        <f>IF('Tabela de Jogos'!C73&lt;&gt;"",Dudu!W73+D72,D72)</f>
        <v>62</v>
      </c>
      <c r="E73" s="2">
        <f>IF('Tabela de Jogos'!C73&lt;&gt;"",Carol!W73+E72,E72)</f>
        <v>66</v>
      </c>
      <c r="F73" s="2">
        <f>IF('Tabela de Jogos'!C73&lt;&gt;"",Ana!W73+F72,F72)</f>
        <v>92</v>
      </c>
      <c r="G73" s="2">
        <f>IF('Tabela de Jogos'!C73&lt;&gt;"",Isa!W73+G72,G72)</f>
        <v>75</v>
      </c>
      <c r="H73" s="2">
        <f>IF('Tabela de Jogos'!C73&lt;&gt;"",Trops!W73+H72,H72)</f>
        <v>63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0</v>
      </c>
      <c r="P73">
        <f>Trops!W73</f>
        <v>0</v>
      </c>
    </row>
    <row r="74" spans="1:16" ht="14.25" customHeight="1" x14ac:dyDescent="0.3">
      <c r="A74" s="2">
        <v>72</v>
      </c>
      <c r="B74" s="2">
        <f>IF('Tabela de Jogos'!C74&lt;&gt;"",Rodrigo!W74+B73,B73)</f>
        <v>66</v>
      </c>
      <c r="C74" s="2">
        <f>IF('Tabela de Jogos'!C74&lt;&gt;"",Arthur!W74+C73,C73)</f>
        <v>85</v>
      </c>
      <c r="D74" s="2">
        <f>IF('Tabela de Jogos'!C74&lt;&gt;"",Dudu!W74+D73,D73)</f>
        <v>62</v>
      </c>
      <c r="E74" s="2">
        <f>IF('Tabela de Jogos'!C74&lt;&gt;"",Carol!W74+E73,E73)</f>
        <v>66</v>
      </c>
      <c r="F74" s="2">
        <f>IF('Tabela de Jogos'!C74&lt;&gt;"",Ana!W74+F73,F73)</f>
        <v>92</v>
      </c>
      <c r="G74" s="2">
        <f>IF('Tabela de Jogos'!C74&lt;&gt;"",Isa!W74+G73,G73)</f>
        <v>75</v>
      </c>
      <c r="H74" s="2">
        <f>IF('Tabela de Jogos'!C74&lt;&gt;"",Trops!W74+H73,H73)</f>
        <v>63</v>
      </c>
      <c r="J74">
        <f>Rodrigo!W74</f>
        <v>0</v>
      </c>
      <c r="K74">
        <f>Arthur!W74</f>
        <v>0</v>
      </c>
      <c r="L74">
        <f>Dudu!W74</f>
        <v>0</v>
      </c>
      <c r="M74">
        <f>Carol!W74</f>
        <v>0</v>
      </c>
      <c r="N74">
        <f>Ana!W74</f>
        <v>0</v>
      </c>
      <c r="O74">
        <f>Isa!W74</f>
        <v>0</v>
      </c>
      <c r="P74">
        <f>Trops!W74</f>
        <v>0</v>
      </c>
    </row>
    <row r="75" spans="1:16" ht="14.25" customHeight="1" x14ac:dyDescent="0.3">
      <c r="A75" s="2">
        <v>73</v>
      </c>
      <c r="B75" s="2">
        <f>IF('Tabela de Jogos'!C75&lt;&gt;"",Rodrigo!W75+B74,B74)</f>
        <v>66</v>
      </c>
      <c r="C75" s="2">
        <f>IF('Tabela de Jogos'!C75&lt;&gt;"",Arthur!W75+C74,C74)</f>
        <v>85</v>
      </c>
      <c r="D75" s="2">
        <f>IF('Tabela de Jogos'!C75&lt;&gt;"",Dudu!W75+D74,D74)</f>
        <v>62</v>
      </c>
      <c r="E75" s="2">
        <f>IF('Tabela de Jogos'!C75&lt;&gt;"",Carol!W75+E74,E74)</f>
        <v>66</v>
      </c>
      <c r="F75" s="2">
        <f>IF('Tabela de Jogos'!C75&lt;&gt;"",Ana!W75+F74,F74)</f>
        <v>92</v>
      </c>
      <c r="G75" s="2">
        <f>IF('Tabela de Jogos'!C75&lt;&gt;"",Isa!W75+G74,G74)</f>
        <v>75</v>
      </c>
      <c r="H75" s="2">
        <f>IF('Tabela de Jogos'!C75&lt;&gt;"",Trops!W75+H74,H74)</f>
        <v>63</v>
      </c>
      <c r="J75">
        <f>Rodrigo!W75</f>
        <v>0</v>
      </c>
      <c r="K75">
        <f>Arthur!W75</f>
        <v>0</v>
      </c>
      <c r="L75">
        <f>Dudu!W75</f>
        <v>0</v>
      </c>
      <c r="M75">
        <f>Carol!W75</f>
        <v>0</v>
      </c>
      <c r="N75">
        <f>Ana!W75</f>
        <v>0</v>
      </c>
      <c r="O75">
        <f>Isa!W75</f>
        <v>0</v>
      </c>
      <c r="P75">
        <f>Trops!W75</f>
        <v>0</v>
      </c>
    </row>
    <row r="76" spans="1:16" ht="14.25" customHeight="1" x14ac:dyDescent="0.3">
      <c r="A76" s="2">
        <v>74</v>
      </c>
      <c r="B76" s="2">
        <f>IF('Tabela de Jogos'!C76&lt;&gt;"",Rodrigo!W76+B75,B75)</f>
        <v>66</v>
      </c>
      <c r="C76" s="2">
        <f>IF('Tabela de Jogos'!C76&lt;&gt;"",Arthur!W76+C75,C75)</f>
        <v>85</v>
      </c>
      <c r="D76" s="2">
        <f>IF('Tabela de Jogos'!C76&lt;&gt;"",Dudu!W76+D75,D75)</f>
        <v>62</v>
      </c>
      <c r="E76" s="2">
        <f>IF('Tabela de Jogos'!C76&lt;&gt;"",Carol!W76+E75,E75)</f>
        <v>66</v>
      </c>
      <c r="F76" s="2">
        <f>IF('Tabela de Jogos'!C76&lt;&gt;"",Ana!W76+F75,F75)</f>
        <v>92</v>
      </c>
      <c r="G76" s="2">
        <f>IF('Tabela de Jogos'!C76&lt;&gt;"",Isa!W76+G75,G75)</f>
        <v>75</v>
      </c>
      <c r="H76" s="2">
        <f>IF('Tabela de Jogos'!C76&lt;&gt;"",Trops!W76+H75,H75)</f>
        <v>63</v>
      </c>
      <c r="J76">
        <f>Rodrigo!W76</f>
        <v>0</v>
      </c>
      <c r="K76">
        <f>Arthur!W76</f>
        <v>0</v>
      </c>
      <c r="L76">
        <f>Dudu!W76</f>
        <v>0</v>
      </c>
      <c r="M76">
        <f>Carol!W76</f>
        <v>0</v>
      </c>
      <c r="N76">
        <f>Ana!W76</f>
        <v>0</v>
      </c>
      <c r="O76">
        <f>Isa!W76</f>
        <v>0</v>
      </c>
      <c r="P76">
        <f>Trops!W76</f>
        <v>0</v>
      </c>
    </row>
    <row r="77" spans="1:16" ht="14.25" customHeight="1" x14ac:dyDescent="0.3">
      <c r="A77" s="2">
        <v>75</v>
      </c>
      <c r="B77" s="2">
        <f>IF('Tabela de Jogos'!C77&lt;&gt;"",Rodrigo!W77+B76,B76)</f>
        <v>66</v>
      </c>
      <c r="C77" s="2">
        <f>IF('Tabela de Jogos'!C77&lt;&gt;"",Arthur!W77+C76,C76)</f>
        <v>85</v>
      </c>
      <c r="D77" s="2">
        <f>IF('Tabela de Jogos'!C77&lt;&gt;"",Dudu!W77+D76,D76)</f>
        <v>62</v>
      </c>
      <c r="E77" s="2">
        <f>IF('Tabela de Jogos'!C77&lt;&gt;"",Carol!W77+E76,E76)</f>
        <v>66</v>
      </c>
      <c r="F77" s="2">
        <f>IF('Tabela de Jogos'!C77&lt;&gt;"",Ana!W77+F76,F76)</f>
        <v>92</v>
      </c>
      <c r="G77" s="2">
        <f>IF('Tabela de Jogos'!C77&lt;&gt;"",Isa!W77+G76,G76)</f>
        <v>75</v>
      </c>
      <c r="H77" s="2">
        <f>IF('Tabela de Jogos'!C77&lt;&gt;"",Trops!W77+H76,H76)</f>
        <v>63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66</v>
      </c>
      <c r="C78" s="2">
        <f>IF('Tabela de Jogos'!C78&lt;&gt;"",Arthur!W78+C77,C77)</f>
        <v>85</v>
      </c>
      <c r="D78" s="2">
        <f>IF('Tabela de Jogos'!C78&lt;&gt;"",Dudu!W78+D77,D77)</f>
        <v>62</v>
      </c>
      <c r="E78" s="2">
        <f>IF('Tabela de Jogos'!C78&lt;&gt;"",Carol!W78+E77,E77)</f>
        <v>66</v>
      </c>
      <c r="F78" s="2">
        <f>IF('Tabela de Jogos'!C78&lt;&gt;"",Ana!W78+F77,F77)</f>
        <v>92</v>
      </c>
      <c r="G78" s="2">
        <f>IF('Tabela de Jogos'!C78&lt;&gt;"",Isa!W78+G77,G77)</f>
        <v>75</v>
      </c>
      <c r="H78" s="2">
        <f>IF('Tabela de Jogos'!C78&lt;&gt;"",Trops!W78+H77,H77)</f>
        <v>63</v>
      </c>
      <c r="J78">
        <f>Rodrigo!W78</f>
        <v>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0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66</v>
      </c>
      <c r="C79" s="2">
        <f>IF('Tabela de Jogos'!C79&lt;&gt;"",Arthur!W79+C78,C78)</f>
        <v>85</v>
      </c>
      <c r="D79" s="2">
        <f>IF('Tabela de Jogos'!C79&lt;&gt;"",Dudu!W79+D78,D78)</f>
        <v>62</v>
      </c>
      <c r="E79" s="2">
        <f>IF('Tabela de Jogos'!C79&lt;&gt;"",Carol!W79+E78,E78)</f>
        <v>66</v>
      </c>
      <c r="F79" s="2">
        <f>IF('Tabela de Jogos'!C79&lt;&gt;"",Ana!W79+F78,F78)</f>
        <v>92</v>
      </c>
      <c r="G79" s="2">
        <f>IF('Tabela de Jogos'!C79&lt;&gt;"",Isa!W79+G78,G78)</f>
        <v>75</v>
      </c>
      <c r="H79" s="2">
        <f>IF('Tabela de Jogos'!C79&lt;&gt;"",Trops!W79+H78,H78)</f>
        <v>63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66</v>
      </c>
      <c r="C80" s="2">
        <f>IF('Tabela de Jogos'!C80&lt;&gt;"",Arthur!W80+C79,C79)</f>
        <v>85</v>
      </c>
      <c r="D80" s="2">
        <f>IF('Tabela de Jogos'!C80&lt;&gt;"",Dudu!W80+D79,D79)</f>
        <v>62</v>
      </c>
      <c r="E80" s="2">
        <f>IF('Tabela de Jogos'!C80&lt;&gt;"",Carol!W80+E79,E79)</f>
        <v>66</v>
      </c>
      <c r="F80" s="2">
        <f>IF('Tabela de Jogos'!C80&lt;&gt;"",Ana!W80+F79,F79)</f>
        <v>92</v>
      </c>
      <c r="G80" s="2">
        <f>IF('Tabela de Jogos'!C80&lt;&gt;"",Isa!W80+G79,G79)</f>
        <v>75</v>
      </c>
      <c r="H80" s="2">
        <f>IF('Tabela de Jogos'!C80&lt;&gt;"",Trops!W80+H79,H79)</f>
        <v>63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66</v>
      </c>
      <c r="C81" s="2">
        <f>IF('Tabela de Jogos'!C81&lt;&gt;"",Arthur!W81+C80,C80)</f>
        <v>85</v>
      </c>
      <c r="D81" s="2">
        <f>IF('Tabela de Jogos'!C81&lt;&gt;"",Dudu!W81+D80,D80)</f>
        <v>62</v>
      </c>
      <c r="E81" s="2">
        <f>IF('Tabela de Jogos'!C81&lt;&gt;"",Carol!W81+E80,E80)</f>
        <v>66</v>
      </c>
      <c r="F81" s="2">
        <f>IF('Tabela de Jogos'!C81&lt;&gt;"",Ana!W81+F80,F80)</f>
        <v>92</v>
      </c>
      <c r="G81" s="2">
        <f>IF('Tabela de Jogos'!C81&lt;&gt;"",Isa!W81+G80,G80)</f>
        <v>75</v>
      </c>
      <c r="H81" s="2">
        <f>IF('Tabela de Jogos'!C81&lt;&gt;"",Trops!W81+H80,H80)</f>
        <v>63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66</v>
      </c>
      <c r="C82" s="2">
        <f>IF('Tabela de Jogos'!C82&lt;&gt;"",Arthur!W82+C81,C81)</f>
        <v>85</v>
      </c>
      <c r="D82" s="2">
        <f>IF('Tabela de Jogos'!C82&lt;&gt;"",Dudu!W82+D81,D81)</f>
        <v>62</v>
      </c>
      <c r="E82" s="2">
        <f>IF('Tabela de Jogos'!C82&lt;&gt;"",Carol!W82+E81,E81)</f>
        <v>66</v>
      </c>
      <c r="F82" s="2">
        <f>IF('Tabela de Jogos'!C82&lt;&gt;"",Ana!W82+F81,F81)</f>
        <v>92</v>
      </c>
      <c r="G82" s="2">
        <f>IF('Tabela de Jogos'!C82&lt;&gt;"",Isa!W82+G81,G81)</f>
        <v>75</v>
      </c>
      <c r="H82" s="2">
        <f>IF('Tabela de Jogos'!C82&lt;&gt;"",Trops!W82+H81,H81)</f>
        <v>63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66</v>
      </c>
      <c r="C83" s="2">
        <f>IF('Tabela de Jogos'!C83&lt;&gt;"",Arthur!W83+C82,C82)</f>
        <v>85</v>
      </c>
      <c r="D83" s="2">
        <f>IF('Tabela de Jogos'!C83&lt;&gt;"",Dudu!W83+D82,D82)</f>
        <v>62</v>
      </c>
      <c r="E83" s="2">
        <f>IF('Tabela de Jogos'!C83&lt;&gt;"",Carol!W83+E82,E82)</f>
        <v>66</v>
      </c>
      <c r="F83" s="2">
        <f>IF('Tabela de Jogos'!C83&lt;&gt;"",Ana!W83+F82,F82)</f>
        <v>92</v>
      </c>
      <c r="G83" s="2">
        <f>IF('Tabela de Jogos'!C83&lt;&gt;"",Isa!W83+G82,G82)</f>
        <v>75</v>
      </c>
      <c r="H83" s="2">
        <f>IF('Tabela de Jogos'!C83&lt;&gt;"",Trops!W83+H82,H82)</f>
        <v>63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66</v>
      </c>
      <c r="C84" s="2">
        <f>IF('Tabela de Jogos'!C84&lt;&gt;"",Arthur!W84+C83,C83)</f>
        <v>85</v>
      </c>
      <c r="D84" s="2">
        <f>IF('Tabela de Jogos'!C84&lt;&gt;"",Dudu!W84+D83,D83)</f>
        <v>62</v>
      </c>
      <c r="E84" s="2">
        <f>IF('Tabela de Jogos'!C84&lt;&gt;"",Carol!W84+E83,E83)</f>
        <v>66</v>
      </c>
      <c r="F84" s="2">
        <f>IF('Tabela de Jogos'!C84&lt;&gt;"",Ana!W84+F83,F83)</f>
        <v>92</v>
      </c>
      <c r="G84" s="2">
        <f>IF('Tabela de Jogos'!C84&lt;&gt;"",Isa!W84+G83,G83)</f>
        <v>75</v>
      </c>
      <c r="H84" s="2">
        <f>IF('Tabela de Jogos'!C84&lt;&gt;"",Trops!W84+H83,H83)</f>
        <v>63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66</v>
      </c>
      <c r="C85" s="2">
        <f>IF('Tabela de Jogos'!C85&lt;&gt;"",Arthur!W85+C84,C84)</f>
        <v>85</v>
      </c>
      <c r="D85" s="2">
        <f>IF('Tabela de Jogos'!C85&lt;&gt;"",Dudu!W85+D84,D84)</f>
        <v>62</v>
      </c>
      <c r="E85" s="2">
        <f>IF('Tabela de Jogos'!C85&lt;&gt;"",Carol!W85+E84,E84)</f>
        <v>66</v>
      </c>
      <c r="F85" s="2">
        <f>IF('Tabela de Jogos'!C85&lt;&gt;"",Ana!W85+F84,F84)</f>
        <v>92</v>
      </c>
      <c r="G85" s="2">
        <f>IF('Tabela de Jogos'!C85&lt;&gt;"",Isa!W85+G84,G84)</f>
        <v>75</v>
      </c>
      <c r="H85" s="2">
        <f>IF('Tabela de Jogos'!C85&lt;&gt;"",Trops!W85+H84,H84)</f>
        <v>63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66</v>
      </c>
      <c r="C86" s="2">
        <f>IF('Tabela de Jogos'!C86&lt;&gt;"",Arthur!W86+C85,C85)</f>
        <v>85</v>
      </c>
      <c r="D86" s="2">
        <f>IF('Tabela de Jogos'!C86&lt;&gt;"",Dudu!W86+D85,D85)</f>
        <v>62</v>
      </c>
      <c r="E86" s="2">
        <f>IF('Tabela de Jogos'!C86&lt;&gt;"",Carol!W86+E85,E85)</f>
        <v>66</v>
      </c>
      <c r="F86" s="2">
        <f>IF('Tabela de Jogos'!C86&lt;&gt;"",Ana!W86+F85,F85)</f>
        <v>92</v>
      </c>
      <c r="G86" s="2">
        <f>IF('Tabela de Jogos'!C86&lt;&gt;"",Isa!W86+G85,G85)</f>
        <v>75</v>
      </c>
      <c r="H86" s="2">
        <f>IF('Tabela de Jogos'!C86&lt;&gt;"",Trops!W86+H85,H85)</f>
        <v>63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66</v>
      </c>
      <c r="C87" s="2">
        <f>IF('Tabela de Jogos'!C87&lt;&gt;"",Arthur!W87+C86,C86)</f>
        <v>85</v>
      </c>
      <c r="D87" s="2">
        <f>IF('Tabela de Jogos'!C87&lt;&gt;"",Dudu!W87+D86,D86)</f>
        <v>62</v>
      </c>
      <c r="E87" s="2">
        <f>IF('Tabela de Jogos'!C87&lt;&gt;"",Carol!W87+E86,E86)</f>
        <v>66</v>
      </c>
      <c r="F87" s="2">
        <f>IF('Tabela de Jogos'!C87&lt;&gt;"",Ana!W87+F86,F86)</f>
        <v>92</v>
      </c>
      <c r="G87" s="2">
        <f>IF('Tabela de Jogos'!C87&lt;&gt;"",Isa!W87+G86,G86)</f>
        <v>75</v>
      </c>
      <c r="H87" s="2">
        <f>IF('Tabela de Jogos'!C87&lt;&gt;"",Trops!W87+H86,H86)</f>
        <v>63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66</v>
      </c>
      <c r="C88" s="2">
        <f>IF('Tabela de Jogos'!C88&lt;&gt;"",Arthur!W88+C87,C87)</f>
        <v>85</v>
      </c>
      <c r="D88" s="2">
        <f>IF('Tabela de Jogos'!C88&lt;&gt;"",Dudu!W88+D87,D87)</f>
        <v>62</v>
      </c>
      <c r="E88" s="2">
        <f>IF('Tabela de Jogos'!C88&lt;&gt;"",Carol!W88+E87,E87)</f>
        <v>66</v>
      </c>
      <c r="F88" s="2">
        <f>IF('Tabela de Jogos'!C88&lt;&gt;"",Ana!W88+F87,F87)</f>
        <v>92</v>
      </c>
      <c r="G88" s="2">
        <f>IF('Tabela de Jogos'!C88&lt;&gt;"",Isa!W88+G87,G87)</f>
        <v>75</v>
      </c>
      <c r="H88" s="2">
        <f>IF('Tabela de Jogos'!C88&lt;&gt;"",Trops!W88+H87,H87)</f>
        <v>63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66</v>
      </c>
      <c r="C89" s="2">
        <f>IF('Tabela de Jogos'!C89&lt;&gt;"",Arthur!W89+C88,C88)</f>
        <v>85</v>
      </c>
      <c r="D89" s="2">
        <f>IF('Tabela de Jogos'!C89&lt;&gt;"",Dudu!W89+D88,D88)</f>
        <v>62</v>
      </c>
      <c r="E89" s="2">
        <f>IF('Tabela de Jogos'!C89&lt;&gt;"",Carol!W89+E88,E88)</f>
        <v>66</v>
      </c>
      <c r="F89" s="2">
        <f>IF('Tabela de Jogos'!C89&lt;&gt;"",Ana!W89+F88,F88)</f>
        <v>92</v>
      </c>
      <c r="G89" s="2">
        <f>IF('Tabela de Jogos'!C89&lt;&gt;"",Isa!W89+G88,G88)</f>
        <v>75</v>
      </c>
      <c r="H89" s="2">
        <f>IF('Tabela de Jogos'!C89&lt;&gt;"",Trops!W89+H88,H88)</f>
        <v>63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66</v>
      </c>
      <c r="C90" s="2">
        <f>IF('Tabela de Jogos'!C90&lt;&gt;"",Arthur!W90+C89,C89)</f>
        <v>85</v>
      </c>
      <c r="D90" s="2">
        <f>IF('Tabela de Jogos'!C90&lt;&gt;"",Dudu!W90+D89,D89)</f>
        <v>62</v>
      </c>
      <c r="E90" s="2">
        <f>IF('Tabela de Jogos'!C90&lt;&gt;"",Carol!W90+E89,E89)</f>
        <v>66</v>
      </c>
      <c r="F90" s="2">
        <f>IF('Tabela de Jogos'!C90&lt;&gt;"",Ana!W90+F89,F89)</f>
        <v>92</v>
      </c>
      <c r="G90" s="2">
        <f>IF('Tabela de Jogos'!C90&lt;&gt;"",Isa!W90+G89,G89)</f>
        <v>75</v>
      </c>
      <c r="H90" s="2">
        <f>IF('Tabela de Jogos'!C90&lt;&gt;"",Trops!W90+H89,H89)</f>
        <v>63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66</v>
      </c>
      <c r="C91" s="2">
        <f>IF('Tabela de Jogos'!C91&lt;&gt;"",Arthur!W91+C90,C90)</f>
        <v>85</v>
      </c>
      <c r="D91" s="2">
        <f>IF('Tabela de Jogos'!C91&lt;&gt;"",Dudu!W91+D90,D90)</f>
        <v>62</v>
      </c>
      <c r="E91" s="2">
        <f>IF('Tabela de Jogos'!C91&lt;&gt;"",Carol!W91+E90,E90)</f>
        <v>66</v>
      </c>
      <c r="F91" s="2">
        <f>IF('Tabela de Jogos'!C91&lt;&gt;"",Ana!W91+F90,F90)</f>
        <v>92</v>
      </c>
      <c r="G91" s="2">
        <f>IF('Tabela de Jogos'!C91&lt;&gt;"",Isa!W91+G90,G90)</f>
        <v>75</v>
      </c>
      <c r="H91" s="2">
        <f>IF('Tabela de Jogos'!C91&lt;&gt;"",Trops!W91+H90,H90)</f>
        <v>63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66</v>
      </c>
      <c r="C92" s="2">
        <f>IF('Tabela de Jogos'!C92&lt;&gt;"",Arthur!W92+C91,C91)</f>
        <v>85</v>
      </c>
      <c r="D92" s="2">
        <f>IF('Tabela de Jogos'!C92&lt;&gt;"",Dudu!W92+D91,D91)</f>
        <v>62</v>
      </c>
      <c r="E92" s="2">
        <f>IF('Tabela de Jogos'!C92&lt;&gt;"",Carol!W92+E91,E91)</f>
        <v>66</v>
      </c>
      <c r="F92" s="2">
        <f>IF('Tabela de Jogos'!C92&lt;&gt;"",Ana!W92+F91,F91)</f>
        <v>92</v>
      </c>
      <c r="G92" s="2">
        <f>IF('Tabela de Jogos'!C92&lt;&gt;"",Isa!W92+G91,G91)</f>
        <v>75</v>
      </c>
      <c r="H92" s="2">
        <f>IF('Tabela de Jogos'!C92&lt;&gt;"",Trops!W92+H91,H91)</f>
        <v>63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66</v>
      </c>
      <c r="C93" s="2">
        <f>IF('Tabela de Jogos'!C93&lt;&gt;"",Arthur!W93+C92,C92)</f>
        <v>85</v>
      </c>
      <c r="D93" s="2">
        <f>IF('Tabela de Jogos'!C93&lt;&gt;"",Dudu!W93+D92,D92)</f>
        <v>62</v>
      </c>
      <c r="E93" s="2">
        <f>IF('Tabela de Jogos'!C93&lt;&gt;"",Carol!W93+E92,E92)</f>
        <v>66</v>
      </c>
      <c r="F93" s="2">
        <f>IF('Tabela de Jogos'!C93&lt;&gt;"",Ana!W93+F92,F92)</f>
        <v>92</v>
      </c>
      <c r="G93" s="2">
        <f>IF('Tabela de Jogos'!C93&lt;&gt;"",Isa!W93+G92,G92)</f>
        <v>75</v>
      </c>
      <c r="H93" s="2">
        <f>IF('Tabela de Jogos'!C93&lt;&gt;"",Trops!W93+H92,H92)</f>
        <v>63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66</v>
      </c>
      <c r="C94" s="2">
        <f>IF('Tabela de Jogos'!C94&lt;&gt;"",Arthur!W94+C93,C93)</f>
        <v>85</v>
      </c>
      <c r="D94" s="2">
        <f>IF('Tabela de Jogos'!C94&lt;&gt;"",Dudu!W94+D93,D93)</f>
        <v>62</v>
      </c>
      <c r="E94" s="2">
        <f>IF('Tabela de Jogos'!C94&lt;&gt;"",Carol!W94+E93,E93)</f>
        <v>66</v>
      </c>
      <c r="F94" s="2">
        <f>IF('Tabela de Jogos'!C94&lt;&gt;"",Ana!W94+F93,F93)</f>
        <v>92</v>
      </c>
      <c r="G94" s="2">
        <f>IF('Tabela de Jogos'!C94&lt;&gt;"",Isa!W94+G93,G93)</f>
        <v>75</v>
      </c>
      <c r="H94" s="2">
        <f>IF('Tabela de Jogos'!C94&lt;&gt;"",Trops!W94+H93,H93)</f>
        <v>63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66</v>
      </c>
      <c r="C95" s="2">
        <f>IF('Tabela de Jogos'!C95&lt;&gt;"",Arthur!W95+C94,C94)</f>
        <v>85</v>
      </c>
      <c r="D95" s="2">
        <f>IF('Tabela de Jogos'!C95&lt;&gt;"",Dudu!W95+D94,D94)</f>
        <v>62</v>
      </c>
      <c r="E95" s="2">
        <f>IF('Tabela de Jogos'!C95&lt;&gt;"",Carol!W95+E94,E94)</f>
        <v>66</v>
      </c>
      <c r="F95" s="2">
        <f>IF('Tabela de Jogos'!C95&lt;&gt;"",Ana!W95+F94,F94)</f>
        <v>92</v>
      </c>
      <c r="G95" s="2">
        <f>IF('Tabela de Jogos'!C95&lt;&gt;"",Isa!W95+G94,G94)</f>
        <v>75</v>
      </c>
      <c r="H95" s="2">
        <f>IF('Tabela de Jogos'!C95&lt;&gt;"",Trops!W95+H94,H94)</f>
        <v>63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66</v>
      </c>
      <c r="C96" s="2">
        <f>IF('Tabela de Jogos'!C96&lt;&gt;"",Arthur!W96+C95,C95)</f>
        <v>85</v>
      </c>
      <c r="D96" s="2">
        <f>IF('Tabela de Jogos'!C96&lt;&gt;"",Dudu!W96+D95,D95)</f>
        <v>62</v>
      </c>
      <c r="E96" s="2">
        <f>IF('Tabela de Jogos'!C96&lt;&gt;"",Carol!W96+E95,E95)</f>
        <v>66</v>
      </c>
      <c r="F96" s="2">
        <f>IF('Tabela de Jogos'!C96&lt;&gt;"",Ana!W96+F95,F95)</f>
        <v>92</v>
      </c>
      <c r="G96" s="2">
        <f>IF('Tabela de Jogos'!C96&lt;&gt;"",Isa!W96+G95,G95)</f>
        <v>75</v>
      </c>
      <c r="H96" s="2">
        <f>IF('Tabela de Jogos'!C96&lt;&gt;"",Trops!W96+H95,H95)</f>
        <v>63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66</v>
      </c>
      <c r="C97" s="2">
        <f>IF('Tabela de Jogos'!C97&lt;&gt;"",Arthur!W97+C96,C96)</f>
        <v>85</v>
      </c>
      <c r="D97" s="2">
        <f>IF('Tabela de Jogos'!C97&lt;&gt;"",Dudu!W97+D96,D96)</f>
        <v>62</v>
      </c>
      <c r="E97" s="2">
        <f>IF('Tabela de Jogos'!C97&lt;&gt;"",Carol!W97+E96,E96)</f>
        <v>66</v>
      </c>
      <c r="F97" s="2">
        <f>IF('Tabela de Jogos'!C97&lt;&gt;"",Ana!W97+F96,F96)</f>
        <v>92</v>
      </c>
      <c r="G97" s="2">
        <f>IF('Tabela de Jogos'!C97&lt;&gt;"",Isa!W97+G96,G96)</f>
        <v>75</v>
      </c>
      <c r="H97" s="2">
        <f>IF('Tabela de Jogos'!C97&lt;&gt;"",Trops!W97+H96,H96)</f>
        <v>63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66</v>
      </c>
      <c r="C98" s="2">
        <f>IF('Tabela de Jogos'!C98&lt;&gt;"",Arthur!W98+C97,C97)</f>
        <v>85</v>
      </c>
      <c r="D98" s="2">
        <f>IF('Tabela de Jogos'!C98&lt;&gt;"",Dudu!W98+D97,D97)</f>
        <v>62</v>
      </c>
      <c r="E98" s="2">
        <f>IF('Tabela de Jogos'!C98&lt;&gt;"",Carol!W98+E97,E97)</f>
        <v>66</v>
      </c>
      <c r="F98" s="2">
        <f>IF('Tabela de Jogos'!C98&lt;&gt;"",Ana!W98+F97,F97)</f>
        <v>92</v>
      </c>
      <c r="G98" s="2">
        <f>IF('Tabela de Jogos'!C98&lt;&gt;"",Isa!W98+G97,G97)</f>
        <v>75</v>
      </c>
      <c r="H98" s="2">
        <f>IF('Tabela de Jogos'!C98&lt;&gt;"",Trops!W98+H97,H97)</f>
        <v>63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66</v>
      </c>
      <c r="C99" s="2">
        <f>IF('Tabela de Jogos'!C99&lt;&gt;"",Arthur!W99+C98,C98)</f>
        <v>85</v>
      </c>
      <c r="D99" s="2">
        <f>IF('Tabela de Jogos'!C99&lt;&gt;"",Dudu!W99+D98,D98)</f>
        <v>62</v>
      </c>
      <c r="E99" s="2">
        <f>IF('Tabela de Jogos'!C99&lt;&gt;"",Carol!W99+E98,E98)</f>
        <v>66</v>
      </c>
      <c r="F99" s="2">
        <f>IF('Tabela de Jogos'!C99&lt;&gt;"",Ana!W99+F98,F98)</f>
        <v>92</v>
      </c>
      <c r="G99" s="2">
        <f>IF('Tabela de Jogos'!C99&lt;&gt;"",Isa!W99+G98,G98)</f>
        <v>75</v>
      </c>
      <c r="H99" s="2">
        <f>IF('Tabela de Jogos'!C99&lt;&gt;"",Trops!W99+H98,H98)</f>
        <v>63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66</v>
      </c>
      <c r="C100" s="2">
        <f>IF('Tabela de Jogos'!C100&lt;&gt;"",Arthur!W100+C99,C99)</f>
        <v>85</v>
      </c>
      <c r="D100" s="2">
        <f>IF('Tabela de Jogos'!C100&lt;&gt;"",Dudu!W100+D99,D99)</f>
        <v>62</v>
      </c>
      <c r="E100" s="2">
        <f>IF('Tabela de Jogos'!C100&lt;&gt;"",Carol!W100+E99,E99)</f>
        <v>66</v>
      </c>
      <c r="F100" s="2">
        <f>IF('Tabela de Jogos'!C100&lt;&gt;"",Ana!W100+F99,F99)</f>
        <v>92</v>
      </c>
      <c r="G100" s="2">
        <f>IF('Tabela de Jogos'!C100&lt;&gt;"",Isa!W100+G99,G99)</f>
        <v>75</v>
      </c>
      <c r="H100" s="2">
        <f>IF('Tabela de Jogos'!C100&lt;&gt;"",Trops!W100+H99,H99)</f>
        <v>63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66</v>
      </c>
      <c r="C101" s="2">
        <f>IF('Tabela de Jogos'!C101&lt;&gt;"",Arthur!W101+C100,C100)</f>
        <v>85</v>
      </c>
      <c r="D101" s="2">
        <f>IF('Tabela de Jogos'!C101&lt;&gt;"",Dudu!W101+D100,D100)</f>
        <v>62</v>
      </c>
      <c r="E101" s="2">
        <f>IF('Tabela de Jogos'!C101&lt;&gt;"",Carol!W101+E100,E100)</f>
        <v>66</v>
      </c>
      <c r="F101" s="2">
        <f>IF('Tabela de Jogos'!C101&lt;&gt;"",Ana!W101+F100,F100)</f>
        <v>92</v>
      </c>
      <c r="G101" s="2">
        <f>IF('Tabela de Jogos'!C101&lt;&gt;"",Isa!W101+G100,G100)</f>
        <v>75</v>
      </c>
      <c r="H101" s="2">
        <f>IF('Tabela de Jogos'!C101&lt;&gt;"",Trops!W101+H100,H100)</f>
        <v>63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66</v>
      </c>
      <c r="C102" s="2">
        <f>IF('Tabela de Jogos'!C102&lt;&gt;"",Arthur!W102+C101,C101)</f>
        <v>85</v>
      </c>
      <c r="D102" s="2">
        <f>IF('Tabela de Jogos'!C102&lt;&gt;"",Dudu!W102+D101,D101)</f>
        <v>62</v>
      </c>
      <c r="E102" s="2">
        <f>IF('Tabela de Jogos'!C102&lt;&gt;"",Carol!W102+E101,E101)</f>
        <v>66</v>
      </c>
      <c r="F102" s="2">
        <f>IF('Tabela de Jogos'!C102&lt;&gt;"",Ana!W102+F101,F101)</f>
        <v>92</v>
      </c>
      <c r="G102" s="2">
        <f>IF('Tabela de Jogos'!C102&lt;&gt;"",Isa!W102+G101,G101)</f>
        <v>75</v>
      </c>
      <c r="H102" s="2">
        <f>IF('Tabela de Jogos'!C102&lt;&gt;"",Trops!W102+H101,H101)</f>
        <v>63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66</v>
      </c>
      <c r="C103" s="2">
        <f>IF('Tabela de Jogos'!C103&lt;&gt;"",Arthur!W103+C102,C102)</f>
        <v>85</v>
      </c>
      <c r="D103" s="2">
        <f>IF('Tabela de Jogos'!C103&lt;&gt;"",Dudu!W103+D102,D102)</f>
        <v>62</v>
      </c>
      <c r="E103" s="2">
        <f>IF('Tabela de Jogos'!C103&lt;&gt;"",Carol!W103+E102,E102)</f>
        <v>66</v>
      </c>
      <c r="F103" s="2">
        <f>IF('Tabela de Jogos'!C103&lt;&gt;"",Ana!W103+F102,F102)</f>
        <v>92</v>
      </c>
      <c r="G103" s="2">
        <f>IF('Tabela de Jogos'!C103&lt;&gt;"",Isa!W103+G102,G102)</f>
        <v>75</v>
      </c>
      <c r="H103" s="2">
        <f>IF('Tabela de Jogos'!C103&lt;&gt;"",Trops!W103+H102,H102)</f>
        <v>63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66</v>
      </c>
      <c r="C104" s="2">
        <f>IF('Tabela de Jogos'!C104&lt;&gt;"",Arthur!W104+C103,C103)</f>
        <v>85</v>
      </c>
      <c r="D104" s="2">
        <f>IF('Tabela de Jogos'!C104&lt;&gt;"",Dudu!W104+D103,D103)</f>
        <v>62</v>
      </c>
      <c r="E104" s="2">
        <f>IF('Tabela de Jogos'!C104&lt;&gt;"",Carol!W104+E103,E103)</f>
        <v>66</v>
      </c>
      <c r="F104" s="2">
        <f>IF('Tabela de Jogos'!C104&lt;&gt;"",Ana!W104+F103,F103)</f>
        <v>92</v>
      </c>
      <c r="G104" s="2">
        <f>IF('Tabela de Jogos'!C104&lt;&gt;"",Isa!W104+G103,G103)</f>
        <v>75</v>
      </c>
      <c r="H104" s="2">
        <f>IF('Tabela de Jogos'!C104&lt;&gt;"",Trops!W104+H103,H103)</f>
        <v>63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66</v>
      </c>
      <c r="C105" s="2">
        <f>IF('Tabela de Jogos'!C105&lt;&gt;"",Arthur!W105+C104,C104)</f>
        <v>85</v>
      </c>
      <c r="D105" s="2">
        <f>IF('Tabela de Jogos'!C105&lt;&gt;"",Dudu!W105+D104,D104)</f>
        <v>62</v>
      </c>
      <c r="E105" s="2">
        <f>IF('Tabela de Jogos'!C105&lt;&gt;"",Carol!W105+E104,E104)</f>
        <v>66</v>
      </c>
      <c r="F105" s="2">
        <f>IF('Tabela de Jogos'!C105&lt;&gt;"",Ana!W105+F104,F104)</f>
        <v>92</v>
      </c>
      <c r="G105" s="2">
        <f>IF('Tabela de Jogos'!C105&lt;&gt;"",Isa!W105+G104,G104)</f>
        <v>75</v>
      </c>
      <c r="H105" s="2">
        <f>IF('Tabela de Jogos'!C105&lt;&gt;"",Trops!W105+H104,H104)</f>
        <v>63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66</v>
      </c>
      <c r="C106" s="2">
        <f>IF('Tabela de Jogos'!C106&lt;&gt;"",Arthur!W106+C105,C105)</f>
        <v>85</v>
      </c>
      <c r="D106" s="2">
        <f>IF('Tabela de Jogos'!C106&lt;&gt;"",Dudu!W106+D105,D105)</f>
        <v>62</v>
      </c>
      <c r="E106" s="2">
        <f>IF('Tabela de Jogos'!C106&lt;&gt;"",Carol!W106+E105,E105)</f>
        <v>66</v>
      </c>
      <c r="F106" s="2">
        <f>IF('Tabela de Jogos'!C106&lt;&gt;"",Ana!W106+F105,F105)</f>
        <v>92</v>
      </c>
      <c r="G106" s="2">
        <f>IF('Tabela de Jogos'!C106&lt;&gt;"",Isa!W106+G105,G105)</f>
        <v>75</v>
      </c>
      <c r="H106" s="2">
        <f>IF('Tabela de Jogos'!C106&lt;&gt;"",Trops!W106+H105,H105)</f>
        <v>63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2026-06-23T16:41:00Z</dcterms:modified>
  <cp:category/>
  <cp:contentStatus/>
</cp:coreProperties>
</file>