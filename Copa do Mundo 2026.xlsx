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23C8BCEC-4ACE-4FC6-B107-61BB3418F77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G24" i="10"/>
  <c r="N23" i="10"/>
  <c r="L23" i="10"/>
  <c r="J23" i="10"/>
  <c r="I23" i="10"/>
  <c r="G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G24" i="9"/>
  <c r="N23" i="9"/>
  <c r="L23" i="9"/>
  <c r="J23" i="9"/>
  <c r="I23" i="9"/>
  <c r="G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G24" i="8"/>
  <c r="N23" i="8"/>
  <c r="L23" i="8"/>
  <c r="J23" i="8"/>
  <c r="I23" i="8"/>
  <c r="G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G24" i="7"/>
  <c r="N23" i="7"/>
  <c r="L23" i="7"/>
  <c r="J23" i="7"/>
  <c r="I23" i="7"/>
  <c r="G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G24" i="6"/>
  <c r="N23" i="6"/>
  <c r="L23" i="6"/>
  <c r="J23" i="6"/>
  <c r="I23" i="6"/>
  <c r="G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G24" i="5"/>
  <c r="N23" i="5"/>
  <c r="L23" i="5"/>
  <c r="J23" i="5"/>
  <c r="I23" i="5"/>
  <c r="G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G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R24" i="10"/>
  <c r="S23" i="10"/>
  <c r="R23" i="10"/>
  <c r="Q23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4" i="9"/>
  <c r="R24" i="9"/>
  <c r="Q24" i="9"/>
  <c r="S23" i="9"/>
  <c r="R23" i="9"/>
  <c r="Q23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4" i="7"/>
  <c r="R24" i="7"/>
  <c r="Q24" i="7"/>
  <c r="S23" i="7"/>
  <c r="R23" i="7"/>
  <c r="Q23" i="7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4" i="6"/>
  <c r="R24" i="6"/>
  <c r="Q24" i="6"/>
  <c r="S23" i="6"/>
  <c r="R23" i="6"/>
  <c r="Q23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S24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Q24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96" i="9"/>
  <c r="U45" i="10"/>
  <c r="U44" i="10"/>
  <c r="U43" i="10"/>
  <c r="U42" i="10"/>
  <c r="U39" i="10"/>
  <c r="U31" i="10"/>
  <c r="U28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23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84" i="4"/>
  <c r="T77" i="4"/>
  <c r="T93" i="9"/>
  <c r="T60" i="4"/>
  <c r="T59" i="4"/>
  <c r="T58" i="4"/>
  <c r="T57" i="4"/>
  <c r="T35" i="4"/>
  <c r="T33" i="4"/>
  <c r="T28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24" i="8"/>
  <c r="T23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9" i="6"/>
  <c r="T8" i="6"/>
  <c r="T3" i="6"/>
  <c r="T94" i="5"/>
  <c r="T26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24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23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23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24" i="8"/>
  <c r="U23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5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24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7"/>
  <c r="U22" i="7"/>
  <c r="U17" i="7"/>
  <c r="T16" i="7"/>
  <c r="U16" i="7"/>
  <c r="T22" i="6"/>
  <c r="T17" i="6"/>
  <c r="U17" i="6"/>
  <c r="T16" i="6"/>
  <c r="T22" i="5"/>
  <c r="U22" i="5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W22" i="7" a="1"/>
  <c r="M22" i="3"/>
  <c r="T20" i="7"/>
  <c r="W17" i="7" a="1"/>
  <c r="M17" i="3"/>
  <c r="W16" i="7" a="1"/>
  <c r="M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J22" i="3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/>
  <c r="T21" i="6"/>
  <c r="T21" i="8"/>
  <c r="T21" i="9"/>
  <c r="U21" i="9"/>
  <c r="W21" i="9" a="1"/>
  <c r="O21" i="3"/>
  <c r="T21" i="5"/>
  <c r="T21" i="10"/>
  <c r="T21" i="7"/>
  <c r="U21" i="7"/>
  <c r="U20" i="10"/>
  <c r="U20" i="9"/>
  <c r="W16" i="9" a="1"/>
  <c r="O16" i="3"/>
  <c r="U20" i="8"/>
  <c r="W18" i="8" a="1"/>
  <c r="N18" i="3"/>
  <c r="U18" i="8"/>
  <c r="T17" i="8"/>
  <c r="U20" i="7"/>
  <c r="W22" i="6" a="1"/>
  <c r="L22" i="3"/>
  <c r="W17" i="5" a="1"/>
  <c r="K17" i="3"/>
  <c r="W17" i="4" a="1"/>
  <c r="J17" i="3"/>
  <c r="W16" i="4" a="1"/>
  <c r="J16" i="3"/>
  <c r="T20" i="6"/>
  <c r="T20" i="5"/>
  <c r="T20" i="4"/>
  <c r="W20" i="10" a="1"/>
  <c r="P20" i="3"/>
  <c r="W20" i="9" a="1"/>
  <c r="O20" i="3"/>
  <c r="W20" i="8" a="1"/>
  <c r="N20" i="3"/>
  <c r="W20" i="7" a="1"/>
  <c r="M20" i="3"/>
  <c r="T19" i="4"/>
  <c r="T19" i="8"/>
  <c r="T19" i="9"/>
  <c r="T19" i="5"/>
  <c r="T19" i="7"/>
  <c r="T19" i="10"/>
  <c r="T19" i="6"/>
  <c r="U18" i="9"/>
  <c r="W18" i="9" a="1"/>
  <c r="O18" i="3"/>
  <c r="T18" i="10"/>
  <c r="U18" i="5"/>
  <c r="W18" i="5" a="1"/>
  <c r="K18" i="3"/>
  <c r="U18" i="4"/>
  <c r="W18" i="4" a="1"/>
  <c r="J18" i="3"/>
  <c r="U18" i="7"/>
  <c r="W18" i="7" a="1"/>
  <c r="M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a="1"/>
  <c r="K13" i="3"/>
  <c r="T13" i="6"/>
  <c r="T13" i="9"/>
  <c r="T13" i="10"/>
  <c r="T13" i="8"/>
  <c r="T13" i="7"/>
  <c r="T12" i="9"/>
  <c r="T12" i="7"/>
  <c r="U12" i="7"/>
  <c r="T12" i="5"/>
  <c r="T12" i="10"/>
  <c r="T12" i="8"/>
  <c r="T12" i="6"/>
  <c r="T12" i="4"/>
  <c r="T11" i="10"/>
  <c r="T11" i="4"/>
  <c r="T11" i="9"/>
  <c r="T11" i="8"/>
  <c r="T11" i="7"/>
  <c r="T11" i="6"/>
  <c r="T11" i="5"/>
  <c r="U21" i="10"/>
  <c r="U21" i="8"/>
  <c r="W21" i="7" a="1"/>
  <c r="M21" i="3"/>
  <c r="U21" i="6"/>
  <c r="W21" i="6" a="1"/>
  <c r="L21" i="3"/>
  <c r="U21" i="5"/>
  <c r="W21" i="5" a="1"/>
  <c r="K21" i="3"/>
  <c r="U21" i="4"/>
  <c r="W21" i="4" a="1"/>
  <c r="J21" i="3"/>
  <c r="W21" i="8" a="1"/>
  <c r="N21" i="3"/>
  <c r="U17" i="8"/>
  <c r="U20" i="6"/>
  <c r="U20" i="5"/>
  <c r="U20" i="4"/>
  <c r="U19" i="4"/>
  <c r="U19" i="9"/>
  <c r="U19" i="7"/>
  <c r="U19" i="5"/>
  <c r="W19" i="4" a="1"/>
  <c r="J19" i="3"/>
  <c r="U19" i="10"/>
  <c r="U19" i="8"/>
  <c r="U19" i="6"/>
  <c r="U18" i="10"/>
  <c r="W17" i="8" a="1"/>
  <c r="N17" i="3"/>
  <c r="U17" i="10"/>
  <c r="U16" i="10"/>
  <c r="U15" i="8"/>
  <c r="U15" i="6"/>
  <c r="U15" i="7"/>
  <c r="U15" i="5"/>
  <c r="U15" i="4"/>
  <c r="W15" i="4" a="1"/>
  <c r="J15" i="3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U14" i="7"/>
  <c r="W14" i="7" a="1"/>
  <c r="M14" i="3"/>
  <c r="W14" i="9" a="1"/>
  <c r="O14" i="3"/>
  <c r="U14" i="8"/>
  <c r="U14" i="4"/>
  <c r="U13" i="10"/>
  <c r="W13" i="10" a="1"/>
  <c r="P13" i="3"/>
  <c r="U13" i="8"/>
  <c r="W13" i="8" a="1"/>
  <c r="N13" i="3"/>
  <c r="U13" i="6"/>
  <c r="U13" i="9"/>
  <c r="U13" i="7"/>
  <c r="W13" i="7" a="1"/>
  <c r="M13" i="3"/>
  <c r="U12" i="9"/>
  <c r="W12" i="7" a="1"/>
  <c r="M12" i="3"/>
  <c r="W12" i="9" a="1"/>
  <c r="O12" i="3"/>
  <c r="U12" i="10"/>
  <c r="U12" i="8"/>
  <c r="U12" i="6"/>
  <c r="U12" i="5"/>
  <c r="U12" i="4"/>
  <c r="W12" i="5" a="1"/>
  <c r="K12" i="3"/>
  <c r="W12" i="4" a="1"/>
  <c r="J12" i="3"/>
  <c r="U11" i="9"/>
  <c r="U11" i="8"/>
  <c r="U11" i="7"/>
  <c r="U11" i="10"/>
  <c r="U11" i="6"/>
  <c r="U11" i="5"/>
  <c r="W11" i="5" a="1"/>
  <c r="W11" i="7" a="1"/>
  <c r="W11" i="6" a="1"/>
  <c r="U11" i="4"/>
  <c r="W21" i="10" a="1"/>
  <c r="P21" i="3"/>
  <c r="W18" i="10" a="1"/>
  <c r="P18" i="3"/>
  <c r="W15" i="5" a="1"/>
  <c r="K15" i="3"/>
  <c r="W20" i="6" a="1"/>
  <c r="L20" i="3"/>
  <c r="W20" i="5" a="1"/>
  <c r="K20" i="3"/>
  <c r="W20" i="4" a="1"/>
  <c r="J20" i="3"/>
  <c r="W19" i="8" a="1"/>
  <c r="N19" i="3"/>
  <c r="W19" i="9" a="1"/>
  <c r="O19" i="3"/>
  <c r="W19" i="7" a="1"/>
  <c r="M19" i="3"/>
  <c r="W19" i="10" a="1"/>
  <c r="P19" i="3"/>
  <c r="W19" i="6" a="1"/>
  <c r="L19" i="3"/>
  <c r="W19" i="5" a="1"/>
  <c r="K19" i="3"/>
  <c r="W17" i="10" a="1"/>
  <c r="P17" i="3"/>
  <c r="W16" i="10" a="1"/>
  <c r="P16" i="3"/>
  <c r="W15" i="7" a="1"/>
  <c r="M15" i="3"/>
  <c r="W15" i="9" a="1"/>
  <c r="O15" i="3"/>
  <c r="W15" i="6" a="1"/>
  <c r="L15" i="3"/>
  <c r="W15" i="10" a="1"/>
  <c r="P15" i="3"/>
  <c r="W14" i="6" a="1"/>
  <c r="L14" i="3"/>
  <c r="W14" i="8" a="1"/>
  <c r="N14" i="3"/>
  <c r="W14" i="4" a="1"/>
  <c r="J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E11" i="3"/>
  <c r="E12" i="3"/>
  <c r="E13" i="3"/>
  <c r="E14" i="3"/>
  <c r="D11" i="3"/>
  <c r="D12" i="3"/>
  <c r="D13" i="3"/>
  <c r="W11" i="4" a="1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E15" i="3"/>
  <c r="E16" i="3"/>
  <c r="E17" i="3"/>
  <c r="E18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D23" i="3"/>
  <c r="D24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E19" i="3"/>
  <c r="E20" i="3"/>
  <c r="E21" i="3"/>
  <c r="E22" i="3"/>
  <c r="E23" i="3"/>
  <c r="C19" i="3"/>
  <c r="C20" i="3"/>
  <c r="C21" i="3"/>
  <c r="C22" i="3"/>
  <c r="C23" i="3"/>
  <c r="C24" i="3"/>
  <c r="U26" i="10" l="1"/>
  <c r="Q25" i="10"/>
  <c r="S25" i="10"/>
  <c r="R25" i="10"/>
  <c r="T24" i="10"/>
  <c r="U24" i="10" s="1"/>
  <c r="H25" i="3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W23" i="10" a="1"/>
  <c r="P23" i="3"/>
  <c r="O26" i="3"/>
  <c r="U25" i="9"/>
  <c r="W25" i="9" a="1"/>
  <c r="O25" i="3" s="1"/>
  <c r="T24" i="9"/>
  <c r="U24" i="9"/>
  <c r="G25" i="3"/>
  <c r="G26" i="3" s="1"/>
  <c r="G27" i="3" s="1"/>
  <c r="G28" i="3" s="1"/>
  <c r="G29" i="3" s="1"/>
  <c r="G30" i="3" s="1"/>
  <c r="G31" i="3" s="1"/>
  <c r="G32" i="3" s="1"/>
  <c r="W24" i="9" a="1"/>
  <c r="O24" i="3" s="1"/>
  <c r="T23" i="9"/>
  <c r="U26" i="7"/>
  <c r="W26" i="7" a="1"/>
  <c r="M26" i="3" s="1"/>
  <c r="W25" i="7" a="1"/>
  <c r="M25" i="3" s="1"/>
  <c r="T24" i="7"/>
  <c r="U24" i="7" s="1"/>
  <c r="W24" i="7" a="1"/>
  <c r="M24" i="3" s="1"/>
  <c r="U23" i="7"/>
  <c r="E24" i="3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W26" i="6" a="1"/>
  <c r="L26" i="3" s="1"/>
  <c r="U25" i="6"/>
  <c r="W25" i="6" a="1"/>
  <c r="L25" i="3" s="1"/>
  <c r="W24" i="6" a="1"/>
  <c r="L24" i="3" s="1"/>
  <c r="T23" i="6"/>
  <c r="D25" i="3"/>
  <c r="D26" i="3" s="1"/>
  <c r="U23" i="6"/>
  <c r="U26" i="5"/>
  <c r="W26" i="5" a="1"/>
  <c r="K26" i="3" s="1"/>
  <c r="T25" i="5"/>
  <c r="U25" i="5" s="1"/>
  <c r="W25" i="5" a="1"/>
  <c r="K25" i="3" s="1"/>
  <c r="T24" i="5"/>
  <c r="C25" i="3"/>
  <c r="T23" i="5"/>
  <c r="C26" i="3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T26" i="4"/>
  <c r="U26" i="4"/>
  <c r="W26" i="4" a="1"/>
  <c r="J26" i="3" s="1"/>
  <c r="U25" i="4"/>
  <c r="Q24" i="4"/>
  <c r="R24" i="4"/>
  <c r="S24" i="4"/>
  <c r="B24" i="3"/>
  <c r="B25" i="3" s="1"/>
  <c r="B26" i="3" s="1"/>
  <c r="Q23" i="4"/>
  <c r="R23" i="4"/>
  <c r="S23" i="4"/>
  <c r="W26" i="8" a="1"/>
  <c r="N26" i="3" s="1"/>
  <c r="W25" i="8" a="1"/>
  <c r="N25" i="3" s="1"/>
  <c r="W24" i="8" a="1"/>
  <c r="N24" i="3" s="1"/>
  <c r="W23" i="8" a="1"/>
  <c r="W26" i="10" l="1" a="1"/>
  <c r="P26" i="3" s="1"/>
  <c r="T25" i="10"/>
  <c r="W24" i="10" a="1"/>
  <c r="H52" i="3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G33" i="3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U23" i="9"/>
  <c r="W23" i="9" a="1"/>
  <c r="W23" i="7" a="1"/>
  <c r="M23" i="3"/>
  <c r="Y3" i="7"/>
  <c r="C6" i="2" s="1"/>
  <c r="X3" i="7"/>
  <c r="B6" i="2" s="1"/>
  <c r="D27" i="3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W23" i="6" a="1"/>
  <c r="Y3" i="6"/>
  <c r="C5" i="2" s="1"/>
  <c r="X3" i="6"/>
  <c r="B5" i="2" s="1"/>
  <c r="C38" i="3"/>
  <c r="C39" i="3" s="1"/>
  <c r="C40" i="3" s="1"/>
  <c r="C41" i="3" s="1"/>
  <c r="C42" i="3" s="1"/>
  <c r="C43" i="3" s="1"/>
  <c r="C44" i="3" s="1"/>
  <c r="C45" i="3" s="1"/>
  <c r="U24" i="5"/>
  <c r="W24" i="5" s="1" a="1"/>
  <c r="K24" i="3" s="1"/>
  <c r="C46" i="3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U23" i="5"/>
  <c r="W25" i="4" a="1"/>
  <c r="J25" i="3" s="1"/>
  <c r="B27" i="3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T24" i="4"/>
  <c r="T23" i="4"/>
  <c r="N23" i="3"/>
  <c r="Y3" i="8"/>
  <c r="C7" i="2" s="1"/>
  <c r="X3" i="8"/>
  <c r="B7" i="2" s="1"/>
  <c r="U25" i="10" l="1"/>
  <c r="P24" i="3"/>
  <c r="G49" i="3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Y3" i="9"/>
  <c r="C8" i="2" s="1"/>
  <c r="X3" i="9"/>
  <c r="B8" i="2" s="1"/>
  <c r="O23" i="3"/>
  <c r="D44" i="3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L23" i="3"/>
  <c r="W23" i="5" a="1"/>
  <c r="U24" i="4"/>
  <c r="W24" i="4" a="1"/>
  <c r="J24" i="3" s="1"/>
  <c r="U23" i="4"/>
  <c r="W25" i="10" l="1" a="1"/>
  <c r="G70" i="3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5"/>
  <c r="B4" i="2" s="1"/>
  <c r="Y3" i="5"/>
  <c r="C4" i="2" s="1"/>
  <c r="K23" i="3"/>
  <c r="W23" i="4" a="1"/>
  <c r="X3" i="10" l="1"/>
  <c r="B9" i="2" s="1"/>
  <c r="Y3" i="10"/>
  <c r="C9" i="2" s="1"/>
  <c r="P25" i="3"/>
  <c r="J23" i="3"/>
  <c r="Y3" i="4"/>
  <c r="C3" i="2" s="1"/>
  <c r="X3" i="4"/>
  <c r="B3" i="2" s="1"/>
  <c r="F3" i="2" l="1" a="1"/>
  <c r="E4" i="2" l="1"/>
  <c r="E8" i="2"/>
  <c r="E5" i="2"/>
  <c r="E9" i="2"/>
  <c r="E7" i="2"/>
  <c r="E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<sst xmlns="http://schemas.openxmlformats.org/spreadsheetml/2006/main" count="355" uniqueCount="77">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</sst>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4" workbookViewId="0">
      <selection activeCell="E22" sqref="E22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4" t="s">
        <v>0</v>
      </c>
      <c r="B1" s="5"/>
      <c r="C1" s="5"/>
      <c r="D1" s="5"/>
      <c r="E1" s="5"/>
      <c r="F1" s="5"/>
      <c r="G1" s="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/>
      <c r="D23" s="3" t="s">
        <v>4</v>
      </c>
      <c r="E23" s="3"/>
      <c r="F23" s="3" t="s">
        <v>49</v>
      </c>
      <c r="G23" s="3" t="str">
        <f t="shared" si="0"/>
        <v>-</v>
      </c>
    </row>
    <row r="24" spans="1:7" ht="14.25" customHeight="1" x14ac:dyDescent="0.3">
      <c r="A24" s="3">
        <v>22</v>
      </c>
      <c r="B24" s="3" t="s">
        <v>50</v>
      </c>
      <c r="C24" s="3"/>
      <c r="D24" s="3" t="s">
        <v>4</v>
      </c>
      <c r="E24" s="3"/>
      <c r="F24" s="3" t="s">
        <v>51</v>
      </c>
      <c r="G24" s="3" t="str">
        <f t="shared" si="0"/>
        <v>-</v>
      </c>
    </row>
    <row r="25" spans="1:7" ht="14.25" customHeight="1" x14ac:dyDescent="0.3">
      <c r="A25" s="3">
        <v>23</v>
      </c>
      <c r="B25" s="3" t="s">
        <v>52</v>
      </c>
      <c r="C25" s="3"/>
      <c r="D25" s="3" t="s">
        <v>4</v>
      </c>
      <c r="E25" s="3"/>
      <c r="F25" s="3" t="s">
        <v>53</v>
      </c>
      <c r="G25" s="3" t="str">
        <f t="shared" si="0"/>
        <v>-</v>
      </c>
    </row>
    <row r="26" spans="1:7" ht="14.25" customHeight="1" x14ac:dyDescent="0.3">
      <c r="A26" s="3">
        <v>24</v>
      </c>
      <c r="B26" s="3" t="s">
        <v>54</v>
      </c>
      <c r="C26" s="3"/>
      <c r="D26" s="3" t="s">
        <v>4</v>
      </c>
      <c r="E26" s="3"/>
      <c r="F26" s="3" t="s">
        <v>55</v>
      </c>
      <c r="G26" s="3" t="str">
        <f t="shared" si="0"/>
        <v>-</v>
      </c>
    </row>
    <row r="27" spans="1:7" ht="14.25" customHeight="1" x14ac:dyDescent="0.3">
      <c r="A27" s="3">
        <v>25</v>
      </c>
      <c r="B27" s="3" t="s">
        <v>11</v>
      </c>
      <c r="C27" s="3"/>
      <c r="D27" s="3" t="s">
        <v>4</v>
      </c>
      <c r="E27" s="3"/>
      <c r="F27" s="3" t="s">
        <v>9</v>
      </c>
      <c r="G27" s="3" t="str">
        <f t="shared" si="0"/>
        <v>-</v>
      </c>
    </row>
    <row r="28" spans="1:7" ht="14.25" customHeight="1" x14ac:dyDescent="0.3">
      <c r="A28" s="3">
        <v>26</v>
      </c>
      <c r="B28" s="3" t="s">
        <v>17</v>
      </c>
      <c r="C28" s="3"/>
      <c r="D28" s="3" t="s">
        <v>4</v>
      </c>
      <c r="E28" s="3"/>
      <c r="F28" s="3" t="s">
        <v>13</v>
      </c>
      <c r="G28" s="3" t="str">
        <f t="shared" si="0"/>
        <v>-</v>
      </c>
    </row>
    <row r="29" spans="1:7" ht="14.25" customHeight="1" x14ac:dyDescent="0.3">
      <c r="A29" s="3">
        <v>27</v>
      </c>
      <c r="B29" s="3" t="s">
        <v>12</v>
      </c>
      <c r="C29" s="3"/>
      <c r="D29" s="3" t="s">
        <v>4</v>
      </c>
      <c r="E29" s="3"/>
      <c r="F29" s="3" t="s">
        <v>16</v>
      </c>
      <c r="G29" s="3" t="str">
        <f t="shared" si="0"/>
        <v>-</v>
      </c>
    </row>
    <row r="30" spans="1:7" ht="14.25" customHeight="1" x14ac:dyDescent="0.3">
      <c r="A30" s="3">
        <v>28</v>
      </c>
      <c r="B30" s="3" t="s">
        <v>8</v>
      </c>
      <c r="C30" s="3"/>
      <c r="D30" s="3" t="s">
        <v>4</v>
      </c>
      <c r="E30" s="3"/>
      <c r="F30" s="3" t="s">
        <v>10</v>
      </c>
      <c r="G30" s="3" t="str">
        <f t="shared" si="0"/>
        <v>-</v>
      </c>
    </row>
    <row r="31" spans="1:7" ht="14.25" customHeight="1" x14ac:dyDescent="0.3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 x14ac:dyDescent="0.3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 x14ac:dyDescent="0.3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H9" sqref="H9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22</v>
      </c>
      <c r="C3" s="1">
        <f>Rodrigo!Y3</f>
        <v>1</v>
      </c>
      <c r="E3" s="1">
        <v>1</v>
      </c>
      <c r="F3" s="1" t="str" cm="1">
        <f t="array" ref="F3:H9">_xlfn.SORTBY(A3:C9,B3:B9,-1,C3:C9,-1,A3:A9,1)</f>
        <v>Arthur</v>
      </c>
      <c r="G3" s="1">
        <v>33</v>
      </c>
      <c r="H3" s="1">
        <v>2</v>
      </c>
    </row>
    <row r="4" spans="1:8" x14ac:dyDescent="0.45">
      <c r="A4" s="1" t="s">
        <v>62</v>
      </c>
      <c r="B4" s="1">
        <f>Arthur!X3</f>
        <v>33</v>
      </c>
      <c r="C4" s="1">
        <f>Arthur!Y3</f>
        <v>2</v>
      </c>
      <c r="E4" s="1">
        <f>IF(AND(G4=G3,H4=H3),E3,2)</f>
        <v>2</v>
      </c>
      <c r="F4" s="1" t="str">
        <v>Ana</v>
      </c>
      <c r="G4" s="1">
        <v>30</v>
      </c>
      <c r="H4" s="1">
        <v>2</v>
      </c>
    </row>
    <row r="5" spans="1:8" x14ac:dyDescent="0.45">
      <c r="A5" s="1" t="s">
        <v>63</v>
      </c>
      <c r="B5" s="1">
        <f>Dudu!X3</f>
        <v>11</v>
      </c>
      <c r="C5" s="1">
        <f>Dudu!Y3</f>
        <v>0</v>
      </c>
      <c r="E5" s="1">
        <f>IF(AND(G5=G4,H5=H4),E4,3)</f>
        <v>3</v>
      </c>
      <c r="F5" s="1" t="str">
        <v>Carol</v>
      </c>
      <c r="G5" s="1">
        <v>22</v>
      </c>
      <c r="H5" s="1">
        <v>1</v>
      </c>
    </row>
    <row r="6" spans="1:8" x14ac:dyDescent="0.45">
      <c r="A6" s="1" t="s">
        <v>64</v>
      </c>
      <c r="B6" s="1">
        <f>Carol!X3</f>
        <v>22</v>
      </c>
      <c r="C6" s="1">
        <f>Carol!Y3</f>
        <v>1</v>
      </c>
      <c r="E6" s="1">
        <f>IF(AND(G6=G5,H6=H5),E5,4)</f>
        <v>3</v>
      </c>
      <c r="F6" s="1" t="str">
        <v>Rodrigo</v>
      </c>
      <c r="G6" s="1">
        <v>22</v>
      </c>
      <c r="H6" s="1">
        <v>1</v>
      </c>
    </row>
    <row r="7" spans="1:8" x14ac:dyDescent="0.45">
      <c r="A7" s="1" t="s">
        <v>65</v>
      </c>
      <c r="B7" s="1">
        <f>Ana!X3</f>
        <v>30</v>
      </c>
      <c r="C7" s="1">
        <f>Ana!Y3</f>
        <v>2</v>
      </c>
      <c r="E7" s="1">
        <f>IF(AND(G7=G6,H7=H6),E6,5)</f>
        <v>5</v>
      </c>
      <c r="F7" s="1" t="str">
        <v>Isa</v>
      </c>
      <c r="G7" s="1">
        <v>19</v>
      </c>
      <c r="H7" s="1">
        <v>0</v>
      </c>
    </row>
    <row r="8" spans="1:8" x14ac:dyDescent="0.45">
      <c r="A8" s="1" t="s">
        <v>66</v>
      </c>
      <c r="B8" s="1">
        <f>Isa!X3</f>
        <v>19</v>
      </c>
      <c r="C8" s="1">
        <f>Isa!Y3</f>
        <v>0</v>
      </c>
      <c r="E8" s="1">
        <f>IF(AND(G8=G7,H8=H7),E7,6)</f>
        <v>6</v>
      </c>
      <c r="F8" s="1" t="str">
        <v>Trops</v>
      </c>
      <c r="G8" s="1">
        <v>16</v>
      </c>
      <c r="H8" s="1">
        <v>0</v>
      </c>
    </row>
    <row r="9" spans="1:8" x14ac:dyDescent="0.45">
      <c r="A9" s="1" t="s">
        <v>67</v>
      </c>
      <c r="B9" s="1">
        <f>Trops!X3</f>
        <v>16</v>
      </c>
      <c r="C9" s="1">
        <f>Trops!Y3</f>
        <v>0</v>
      </c>
      <c r="E9" s="1">
        <f>IF(AND(G9=G8,H9=H8),E8,7)</f>
        <v>7</v>
      </c>
      <c r="F9" s="1" t="str">
        <v>Dudu</v>
      </c>
      <c r="G9" s="1">
        <v>11</v>
      </c>
      <c r="H9" s="1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5" sqref="K2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33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N26" sqref="N2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7" sqref="K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30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19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M9" sqref="M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16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22</v>
      </c>
      <c r="C24" s="2">
        <f>IF('Tabela de Jogos'!C24&lt;&gt;"",Arthur!W24+C23,C23)</f>
        <v>33</v>
      </c>
      <c r="D24" s="2">
        <f>IF('Tabela de Jogos'!C24&lt;&gt;"",Dudu!W24+D23,D23)</f>
        <v>11</v>
      </c>
      <c r="E24" s="2">
        <f>IF('Tabela de Jogos'!C24&lt;&gt;"",Carol!W24+E23,E23)</f>
        <v>22</v>
      </c>
      <c r="F24" s="2">
        <f>IF('Tabela de Jogos'!C24&lt;&gt;"",Ana!W24+F23,F23)</f>
        <v>30</v>
      </c>
      <c r="G24" s="2">
        <f>IF('Tabela de Jogos'!C24&lt;&gt;"",Isa!W24+G23,G23)</f>
        <v>19</v>
      </c>
      <c r="H24" s="2">
        <f>IF('Tabela de Jogos'!C24&lt;&gt;"",Trops!W24+H23,H23)</f>
        <v>16</v>
      </c>
      <c r="J24">
        <f>Rodrigo!W24</f>
        <v>0</v>
      </c>
      <c r="K24">
        <f>Arthur!W24</f>
        <v>0</v>
      </c>
      <c r="L24">
        <f>Dudu!W24</f>
        <v>0</v>
      </c>
      <c r="M24">
        <f>Carol!W24</f>
        <v>0</v>
      </c>
      <c r="N24">
        <f>Ana!W24</f>
        <v>0</v>
      </c>
      <c r="O24">
        <f>Isa!W24</f>
        <v>0</v>
      </c>
      <c r="P24">
        <f>Trops!W24</f>
        <v>0</v>
      </c>
    </row>
    <row r="25" spans="1:16" ht="14.25" customHeight="1" x14ac:dyDescent="0.3">
      <c r="A25" s="2">
        <v>23</v>
      </c>
      <c r="B25" s="2">
        <f>IF('Tabela de Jogos'!C25&lt;&gt;"",Rodrigo!W25+B24,B24)</f>
        <v>22</v>
      </c>
      <c r="C25" s="2">
        <f>IF('Tabela de Jogos'!C25&lt;&gt;"",Arthur!W25+C24,C24)</f>
        <v>33</v>
      </c>
      <c r="D25" s="2">
        <f>IF('Tabela de Jogos'!C25&lt;&gt;"",Dudu!W25+D24,D24)</f>
        <v>11</v>
      </c>
      <c r="E25" s="2">
        <f>IF('Tabela de Jogos'!C25&lt;&gt;"",Carol!W25+E24,E24)</f>
        <v>22</v>
      </c>
      <c r="F25" s="2">
        <f>IF('Tabela de Jogos'!C25&lt;&gt;"",Ana!W25+F24,F24)</f>
        <v>30</v>
      </c>
      <c r="G25" s="2">
        <f>IF('Tabela de Jogos'!C25&lt;&gt;"",Isa!W25+G24,G24)</f>
        <v>19</v>
      </c>
      <c r="H25" s="2">
        <f>IF('Tabela de Jogos'!C25&lt;&gt;"",Trops!W25+H24,H24)</f>
        <v>16</v>
      </c>
      <c r="J25">
        <f>Rodrigo!W25</f>
        <v>0</v>
      </c>
      <c r="K25">
        <f>Arthur!W25</f>
        <v>0</v>
      </c>
      <c r="L25">
        <f>Dudu!W25</f>
        <v>0</v>
      </c>
      <c r="M25">
        <f>Carol!W25</f>
        <v>0</v>
      </c>
      <c r="N25">
        <f>Ana!W25</f>
        <v>0</v>
      </c>
      <c r="O25">
        <f>Isa!W25</f>
        <v>0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22</v>
      </c>
      <c r="C26" s="2">
        <f>IF('Tabela de Jogos'!C26&lt;&gt;"",Arthur!W26+C25,C25)</f>
        <v>33</v>
      </c>
      <c r="D26" s="2">
        <f>IF('Tabela de Jogos'!C26&lt;&gt;"",Dudu!W26+D25,D25)</f>
        <v>11</v>
      </c>
      <c r="E26" s="2">
        <f>IF('Tabela de Jogos'!C26&lt;&gt;"",Carol!W26+E25,E25)</f>
        <v>22</v>
      </c>
      <c r="F26" s="2">
        <f>IF('Tabela de Jogos'!C26&lt;&gt;"",Ana!W26+F25,F25)</f>
        <v>30</v>
      </c>
      <c r="G26" s="2">
        <f>IF('Tabela de Jogos'!C26&lt;&gt;"",Isa!W26+G25,G25)</f>
        <v>19</v>
      </c>
      <c r="H26" s="2">
        <f>IF('Tabela de Jogos'!C26&lt;&gt;"",Trops!W26+H25,H25)</f>
        <v>16</v>
      </c>
      <c r="J26">
        <f>Rodrigo!W26</f>
        <v>0</v>
      </c>
      <c r="K26">
        <f>Arthur!W26</f>
        <v>0</v>
      </c>
      <c r="L26">
        <f>Dudu!W26</f>
        <v>0</v>
      </c>
      <c r="M26">
        <f>Carol!W26</f>
        <v>0</v>
      </c>
      <c r="N26">
        <f>Ana!W26</f>
        <v>0</v>
      </c>
      <c r="O26">
        <f>Isa!W26</f>
        <v>0</v>
      </c>
      <c r="P26">
        <f>Trops!W26</f>
        <v>0</v>
      </c>
    </row>
    <row r="27" spans="1:16" ht="14.25" customHeight="1" x14ac:dyDescent="0.3">
      <c r="A27" s="2">
        <v>25</v>
      </c>
      <c r="B27" s="2">
        <f>IF('Tabela de Jogos'!C27&lt;&gt;"",Rodrigo!W27+B26,B26)</f>
        <v>22</v>
      </c>
      <c r="C27" s="2">
        <f>IF('Tabela de Jogos'!C27&lt;&gt;"",Arthur!W27+C26,C26)</f>
        <v>33</v>
      </c>
      <c r="D27" s="2">
        <f>IF('Tabela de Jogos'!C27&lt;&gt;"",Dudu!W27+D26,D26)</f>
        <v>11</v>
      </c>
      <c r="E27" s="2">
        <f>IF('Tabela de Jogos'!C27&lt;&gt;"",Carol!W27+E26,E26)</f>
        <v>22</v>
      </c>
      <c r="F27" s="2">
        <f>IF('Tabela de Jogos'!C27&lt;&gt;"",Ana!W27+F26,F26)</f>
        <v>30</v>
      </c>
      <c r="G27" s="2">
        <f>IF('Tabela de Jogos'!C27&lt;&gt;"",Isa!W27+G26,G26)</f>
        <v>19</v>
      </c>
      <c r="H27" s="2">
        <f>IF('Tabela de Jogos'!C27&lt;&gt;"",Trops!W27+H26,H26)</f>
        <v>16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22</v>
      </c>
      <c r="C28" s="2">
        <f>IF('Tabela de Jogos'!C28&lt;&gt;"",Arthur!W28+C27,C27)</f>
        <v>33</v>
      </c>
      <c r="D28" s="2">
        <f>IF('Tabela de Jogos'!C28&lt;&gt;"",Dudu!W28+D27,D27)</f>
        <v>11</v>
      </c>
      <c r="E28" s="2">
        <f>IF('Tabela de Jogos'!C28&lt;&gt;"",Carol!W28+E27,E27)</f>
        <v>22</v>
      </c>
      <c r="F28" s="2">
        <f>IF('Tabela de Jogos'!C28&lt;&gt;"",Ana!W28+F27,F27)</f>
        <v>30</v>
      </c>
      <c r="G28" s="2">
        <f>IF('Tabela de Jogos'!C28&lt;&gt;"",Isa!W28+G27,G27)</f>
        <v>19</v>
      </c>
      <c r="H28" s="2">
        <f>IF('Tabela de Jogos'!C28&lt;&gt;"",Trops!W28+H27,H27)</f>
        <v>16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22</v>
      </c>
      <c r="C29" s="2">
        <f>IF('Tabela de Jogos'!C29&lt;&gt;"",Arthur!W29+C28,C28)</f>
        <v>33</v>
      </c>
      <c r="D29" s="2">
        <f>IF('Tabela de Jogos'!C29&lt;&gt;"",Dudu!W29+D28,D28)</f>
        <v>11</v>
      </c>
      <c r="E29" s="2">
        <f>IF('Tabela de Jogos'!C29&lt;&gt;"",Carol!W29+E28,E28)</f>
        <v>22</v>
      </c>
      <c r="F29" s="2">
        <f>IF('Tabela de Jogos'!C29&lt;&gt;"",Ana!W29+F28,F28)</f>
        <v>30</v>
      </c>
      <c r="G29" s="2">
        <f>IF('Tabela de Jogos'!C29&lt;&gt;"",Isa!W29+G28,G28)</f>
        <v>19</v>
      </c>
      <c r="H29" s="2">
        <f>IF('Tabela de Jogos'!C29&lt;&gt;"",Trops!W29+H28,H28)</f>
        <v>16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22</v>
      </c>
      <c r="C30" s="2">
        <f>IF('Tabela de Jogos'!C30&lt;&gt;"",Arthur!W30+C29,C29)</f>
        <v>33</v>
      </c>
      <c r="D30" s="2">
        <f>IF('Tabela de Jogos'!C30&lt;&gt;"",Dudu!W30+D29,D29)</f>
        <v>11</v>
      </c>
      <c r="E30" s="2">
        <f>IF('Tabela de Jogos'!C30&lt;&gt;"",Carol!W30+E29,E29)</f>
        <v>22</v>
      </c>
      <c r="F30" s="2">
        <f>IF('Tabela de Jogos'!C30&lt;&gt;"",Ana!W30+F29,F29)</f>
        <v>30</v>
      </c>
      <c r="G30" s="2">
        <f>IF('Tabela de Jogos'!C30&lt;&gt;"",Isa!W30+G29,G29)</f>
        <v>19</v>
      </c>
      <c r="H30" s="2">
        <f>IF('Tabela de Jogos'!C30&lt;&gt;"",Trops!W30+H29,H29)</f>
        <v>16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22</v>
      </c>
      <c r="C31" s="2">
        <f>IF('Tabela de Jogos'!C31&lt;&gt;"",Arthur!W31+C30,C30)</f>
        <v>33</v>
      </c>
      <c r="D31" s="2">
        <f>IF('Tabela de Jogos'!C31&lt;&gt;"",Dudu!W31+D30,D30)</f>
        <v>11</v>
      </c>
      <c r="E31" s="2">
        <f>IF('Tabela de Jogos'!C31&lt;&gt;"",Carol!W31+E30,E30)</f>
        <v>22</v>
      </c>
      <c r="F31" s="2">
        <f>IF('Tabela de Jogos'!C31&lt;&gt;"",Ana!W31+F30,F30)</f>
        <v>30</v>
      </c>
      <c r="G31" s="2">
        <f>IF('Tabela de Jogos'!C31&lt;&gt;"",Isa!W31+G30,G30)</f>
        <v>19</v>
      </c>
      <c r="H31" s="2">
        <f>IF('Tabela de Jogos'!C31&lt;&gt;"",Trops!W31+H30,H30)</f>
        <v>16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22</v>
      </c>
      <c r="C32" s="2">
        <f>IF('Tabela de Jogos'!C32&lt;&gt;"",Arthur!W32+C31,C31)</f>
        <v>33</v>
      </c>
      <c r="D32" s="2">
        <f>IF('Tabela de Jogos'!C32&lt;&gt;"",Dudu!W32+D31,D31)</f>
        <v>11</v>
      </c>
      <c r="E32" s="2">
        <f>IF('Tabela de Jogos'!C32&lt;&gt;"",Carol!W32+E31,E31)</f>
        <v>22</v>
      </c>
      <c r="F32" s="2">
        <f>IF('Tabela de Jogos'!C32&lt;&gt;"",Ana!W32+F31,F31)</f>
        <v>30</v>
      </c>
      <c r="G32" s="2">
        <f>IF('Tabela de Jogos'!C32&lt;&gt;"",Isa!W32+G31,G31)</f>
        <v>19</v>
      </c>
      <c r="H32" s="2">
        <f>IF('Tabela de Jogos'!C32&lt;&gt;"",Trops!W32+H31,H31)</f>
        <v>16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22</v>
      </c>
      <c r="C33" s="2">
        <f>IF('Tabela de Jogos'!C33&lt;&gt;"",Arthur!W33+C32,C32)</f>
        <v>33</v>
      </c>
      <c r="D33" s="2">
        <f>IF('Tabela de Jogos'!C33&lt;&gt;"",Dudu!W33+D32,D32)</f>
        <v>11</v>
      </c>
      <c r="E33" s="2">
        <f>IF('Tabela de Jogos'!C33&lt;&gt;"",Carol!W33+E32,E32)</f>
        <v>22</v>
      </c>
      <c r="F33" s="2">
        <f>IF('Tabela de Jogos'!C33&lt;&gt;"",Ana!W33+F32,F32)</f>
        <v>30</v>
      </c>
      <c r="G33" s="2">
        <f>IF('Tabela de Jogos'!C33&lt;&gt;"",Isa!W33+G32,G32)</f>
        <v>19</v>
      </c>
      <c r="H33" s="2">
        <f>IF('Tabela de Jogos'!C33&lt;&gt;"",Trops!W33+H32,H32)</f>
        <v>16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22</v>
      </c>
      <c r="C34" s="2">
        <f>IF('Tabela de Jogos'!C34&lt;&gt;"",Arthur!W34+C33,C33)</f>
        <v>33</v>
      </c>
      <c r="D34" s="2">
        <f>IF('Tabela de Jogos'!C34&lt;&gt;"",Dudu!W34+D33,D33)</f>
        <v>11</v>
      </c>
      <c r="E34" s="2">
        <f>IF('Tabela de Jogos'!C34&lt;&gt;"",Carol!W34+E33,E33)</f>
        <v>22</v>
      </c>
      <c r="F34" s="2">
        <f>IF('Tabela de Jogos'!C34&lt;&gt;"",Ana!W34+F33,F33)</f>
        <v>30</v>
      </c>
      <c r="G34" s="2">
        <f>IF('Tabela de Jogos'!C34&lt;&gt;"",Isa!W34+G33,G33)</f>
        <v>19</v>
      </c>
      <c r="H34" s="2">
        <f>IF('Tabela de Jogos'!C34&lt;&gt;"",Trops!W34+H33,H33)</f>
        <v>16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22</v>
      </c>
      <c r="C35" s="2">
        <f>IF('Tabela de Jogos'!C35&lt;&gt;"",Arthur!W35+C34,C34)</f>
        <v>33</v>
      </c>
      <c r="D35" s="2">
        <f>IF('Tabela de Jogos'!C35&lt;&gt;"",Dudu!W35+D34,D34)</f>
        <v>11</v>
      </c>
      <c r="E35" s="2">
        <f>IF('Tabela de Jogos'!C35&lt;&gt;"",Carol!W35+E34,E34)</f>
        <v>22</v>
      </c>
      <c r="F35" s="2">
        <f>IF('Tabela de Jogos'!C35&lt;&gt;"",Ana!W35+F34,F34)</f>
        <v>30</v>
      </c>
      <c r="G35" s="2">
        <f>IF('Tabela de Jogos'!C35&lt;&gt;"",Isa!W35+G34,G34)</f>
        <v>19</v>
      </c>
      <c r="H35" s="2">
        <f>IF('Tabela de Jogos'!C35&lt;&gt;"",Trops!W35+H34,H34)</f>
        <v>16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22</v>
      </c>
      <c r="C36" s="2">
        <f>IF('Tabela de Jogos'!C36&lt;&gt;"",Arthur!W36+C35,C35)</f>
        <v>33</v>
      </c>
      <c r="D36" s="2">
        <f>IF('Tabela de Jogos'!C36&lt;&gt;"",Dudu!W36+D35,D35)</f>
        <v>11</v>
      </c>
      <c r="E36" s="2">
        <f>IF('Tabela de Jogos'!C36&lt;&gt;"",Carol!W36+E35,E35)</f>
        <v>22</v>
      </c>
      <c r="F36" s="2">
        <f>IF('Tabela de Jogos'!C36&lt;&gt;"",Ana!W36+F35,F35)</f>
        <v>30</v>
      </c>
      <c r="G36" s="2">
        <f>IF('Tabela de Jogos'!C36&lt;&gt;"",Isa!W36+G35,G35)</f>
        <v>19</v>
      </c>
      <c r="H36" s="2">
        <f>IF('Tabela de Jogos'!C36&lt;&gt;"",Trops!W36+H35,H35)</f>
        <v>16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22</v>
      </c>
      <c r="C37" s="2">
        <f>IF('Tabela de Jogos'!C37&lt;&gt;"",Arthur!W37+C36,C36)</f>
        <v>33</v>
      </c>
      <c r="D37" s="2">
        <f>IF('Tabela de Jogos'!C37&lt;&gt;"",Dudu!W37+D36,D36)</f>
        <v>11</v>
      </c>
      <c r="E37" s="2">
        <f>IF('Tabela de Jogos'!C37&lt;&gt;"",Carol!W37+E36,E36)</f>
        <v>22</v>
      </c>
      <c r="F37" s="2">
        <f>IF('Tabela de Jogos'!C37&lt;&gt;"",Ana!W37+F36,F36)</f>
        <v>30</v>
      </c>
      <c r="G37" s="2">
        <f>IF('Tabela de Jogos'!C37&lt;&gt;"",Isa!W37+G36,G36)</f>
        <v>19</v>
      </c>
      <c r="H37" s="2">
        <f>IF('Tabela de Jogos'!C37&lt;&gt;"",Trops!W37+H36,H36)</f>
        <v>16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22</v>
      </c>
      <c r="C38" s="2">
        <f>IF('Tabela de Jogos'!C38&lt;&gt;"",Arthur!W38+C37,C37)</f>
        <v>33</v>
      </c>
      <c r="D38" s="2">
        <f>IF('Tabela de Jogos'!C38&lt;&gt;"",Dudu!W38+D37,D37)</f>
        <v>11</v>
      </c>
      <c r="E38" s="2">
        <f>IF('Tabela de Jogos'!C38&lt;&gt;"",Carol!W38+E37,E37)</f>
        <v>22</v>
      </c>
      <c r="F38" s="2">
        <f>IF('Tabela de Jogos'!C38&lt;&gt;"",Ana!W38+F37,F37)</f>
        <v>30</v>
      </c>
      <c r="G38" s="2">
        <f>IF('Tabela de Jogos'!C38&lt;&gt;"",Isa!W38+G37,G37)</f>
        <v>19</v>
      </c>
      <c r="H38" s="2">
        <f>IF('Tabela de Jogos'!C38&lt;&gt;"",Trops!W38+H37,H37)</f>
        <v>16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22</v>
      </c>
      <c r="C39" s="2">
        <f>IF('Tabela de Jogos'!C39&lt;&gt;"",Arthur!W39+C38,C38)</f>
        <v>33</v>
      </c>
      <c r="D39" s="2">
        <f>IF('Tabela de Jogos'!C39&lt;&gt;"",Dudu!W39+D38,D38)</f>
        <v>11</v>
      </c>
      <c r="E39" s="2">
        <f>IF('Tabela de Jogos'!C39&lt;&gt;"",Carol!W39+E38,E38)</f>
        <v>22</v>
      </c>
      <c r="F39" s="2">
        <f>IF('Tabela de Jogos'!C39&lt;&gt;"",Ana!W39+F38,F38)</f>
        <v>30</v>
      </c>
      <c r="G39" s="2">
        <f>IF('Tabela de Jogos'!C39&lt;&gt;"",Isa!W39+G38,G38)</f>
        <v>19</v>
      </c>
      <c r="H39" s="2">
        <f>IF('Tabela de Jogos'!C39&lt;&gt;"",Trops!W39+H38,H38)</f>
        <v>16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22</v>
      </c>
      <c r="C40" s="2">
        <f>IF('Tabela de Jogos'!C40&lt;&gt;"",Arthur!W40+C39,C39)</f>
        <v>33</v>
      </c>
      <c r="D40" s="2">
        <f>IF('Tabela de Jogos'!C40&lt;&gt;"",Dudu!W40+D39,D39)</f>
        <v>11</v>
      </c>
      <c r="E40" s="2">
        <f>IF('Tabela de Jogos'!C40&lt;&gt;"",Carol!W40+E39,E39)</f>
        <v>22</v>
      </c>
      <c r="F40" s="2">
        <f>IF('Tabela de Jogos'!C40&lt;&gt;"",Ana!W40+F39,F39)</f>
        <v>30</v>
      </c>
      <c r="G40" s="2">
        <f>IF('Tabela de Jogos'!C40&lt;&gt;"",Isa!W40+G39,G39)</f>
        <v>19</v>
      </c>
      <c r="H40" s="2">
        <f>IF('Tabela de Jogos'!C40&lt;&gt;"",Trops!W40+H39,H39)</f>
        <v>16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22</v>
      </c>
      <c r="C41" s="2">
        <f>IF('Tabela de Jogos'!C41&lt;&gt;"",Arthur!W41+C40,C40)</f>
        <v>33</v>
      </c>
      <c r="D41" s="2">
        <f>IF('Tabela de Jogos'!C41&lt;&gt;"",Dudu!W41+D40,D40)</f>
        <v>11</v>
      </c>
      <c r="E41" s="2">
        <f>IF('Tabela de Jogos'!C41&lt;&gt;"",Carol!W41+E40,E40)</f>
        <v>22</v>
      </c>
      <c r="F41" s="2">
        <f>IF('Tabela de Jogos'!C41&lt;&gt;"",Ana!W41+F40,F40)</f>
        <v>30</v>
      </c>
      <c r="G41" s="2">
        <f>IF('Tabela de Jogos'!C41&lt;&gt;"",Isa!W41+G40,G40)</f>
        <v>19</v>
      </c>
      <c r="H41" s="2">
        <f>IF('Tabela de Jogos'!C41&lt;&gt;"",Trops!W41+H40,H40)</f>
        <v>16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22</v>
      </c>
      <c r="C42" s="2">
        <f>IF('Tabela de Jogos'!C42&lt;&gt;"",Arthur!W42+C41,C41)</f>
        <v>33</v>
      </c>
      <c r="D42" s="2">
        <f>IF('Tabela de Jogos'!C42&lt;&gt;"",Dudu!W42+D41,D41)</f>
        <v>11</v>
      </c>
      <c r="E42" s="2">
        <f>IF('Tabela de Jogos'!C42&lt;&gt;"",Carol!W42+E41,E41)</f>
        <v>22</v>
      </c>
      <c r="F42" s="2">
        <f>IF('Tabela de Jogos'!C42&lt;&gt;"",Ana!W42+F41,F41)</f>
        <v>30</v>
      </c>
      <c r="G42" s="2">
        <f>IF('Tabela de Jogos'!C42&lt;&gt;"",Isa!W42+G41,G41)</f>
        <v>19</v>
      </c>
      <c r="H42" s="2">
        <f>IF('Tabela de Jogos'!C42&lt;&gt;"",Trops!W42+H41,H41)</f>
        <v>16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22</v>
      </c>
      <c r="C43" s="2">
        <f>IF('Tabela de Jogos'!C43&lt;&gt;"",Arthur!W43+C42,C42)</f>
        <v>33</v>
      </c>
      <c r="D43" s="2">
        <f>IF('Tabela de Jogos'!C43&lt;&gt;"",Dudu!W43+D42,D42)</f>
        <v>11</v>
      </c>
      <c r="E43" s="2">
        <f>IF('Tabela de Jogos'!C43&lt;&gt;"",Carol!W43+E42,E42)</f>
        <v>22</v>
      </c>
      <c r="F43" s="2">
        <f>IF('Tabela de Jogos'!C43&lt;&gt;"",Ana!W43+F42,F42)</f>
        <v>30</v>
      </c>
      <c r="G43" s="2">
        <f>IF('Tabela de Jogos'!C43&lt;&gt;"",Isa!W43+G42,G42)</f>
        <v>19</v>
      </c>
      <c r="H43" s="2">
        <f>IF('Tabela de Jogos'!C43&lt;&gt;"",Trops!W43+H42,H42)</f>
        <v>16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22</v>
      </c>
      <c r="C44" s="2">
        <f>IF('Tabela de Jogos'!C44&lt;&gt;"",Arthur!W44+C43,C43)</f>
        <v>33</v>
      </c>
      <c r="D44" s="2">
        <f>IF('Tabela de Jogos'!C44&lt;&gt;"",Dudu!W44+D43,D43)</f>
        <v>11</v>
      </c>
      <c r="E44" s="2">
        <f>IF('Tabela de Jogos'!C44&lt;&gt;"",Carol!W44+E43,E43)</f>
        <v>22</v>
      </c>
      <c r="F44" s="2">
        <f>IF('Tabela de Jogos'!C44&lt;&gt;"",Ana!W44+F43,F43)</f>
        <v>30</v>
      </c>
      <c r="G44" s="2">
        <f>IF('Tabela de Jogos'!C44&lt;&gt;"",Isa!W44+G43,G43)</f>
        <v>19</v>
      </c>
      <c r="H44" s="2">
        <f>IF('Tabela de Jogos'!C44&lt;&gt;"",Trops!W44+H43,H43)</f>
        <v>16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22</v>
      </c>
      <c r="C45" s="2">
        <f>IF('Tabela de Jogos'!C45&lt;&gt;"",Arthur!W45+C44,C44)</f>
        <v>33</v>
      </c>
      <c r="D45" s="2">
        <f>IF('Tabela de Jogos'!C45&lt;&gt;"",Dudu!W45+D44,D44)</f>
        <v>11</v>
      </c>
      <c r="E45" s="2">
        <f>IF('Tabela de Jogos'!C45&lt;&gt;"",Carol!W45+E44,E44)</f>
        <v>22</v>
      </c>
      <c r="F45" s="2">
        <f>IF('Tabela de Jogos'!C45&lt;&gt;"",Ana!W45+F44,F44)</f>
        <v>30</v>
      </c>
      <c r="G45" s="2">
        <f>IF('Tabela de Jogos'!C45&lt;&gt;"",Isa!W45+G44,G44)</f>
        <v>19</v>
      </c>
      <c r="H45" s="2">
        <f>IF('Tabela de Jogos'!C45&lt;&gt;"",Trops!W45+H44,H44)</f>
        <v>16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22</v>
      </c>
      <c r="C46" s="2">
        <f>IF('Tabela de Jogos'!C46&lt;&gt;"",Arthur!W46+C45,C45)</f>
        <v>33</v>
      </c>
      <c r="D46" s="2">
        <f>IF('Tabela de Jogos'!C46&lt;&gt;"",Dudu!W46+D45,D45)</f>
        <v>11</v>
      </c>
      <c r="E46" s="2">
        <f>IF('Tabela de Jogos'!C46&lt;&gt;"",Carol!W46+E45,E45)</f>
        <v>22</v>
      </c>
      <c r="F46" s="2">
        <f>IF('Tabela de Jogos'!C46&lt;&gt;"",Ana!W46+F45,F45)</f>
        <v>30</v>
      </c>
      <c r="G46" s="2">
        <f>IF('Tabela de Jogos'!C46&lt;&gt;"",Isa!W46+G45,G45)</f>
        <v>19</v>
      </c>
      <c r="H46" s="2">
        <f>IF('Tabela de Jogos'!C46&lt;&gt;"",Trops!W46+H45,H45)</f>
        <v>16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22</v>
      </c>
      <c r="C47" s="2">
        <f>IF('Tabela de Jogos'!C47&lt;&gt;"",Arthur!W47+C46,C46)</f>
        <v>33</v>
      </c>
      <c r="D47" s="2">
        <f>IF('Tabela de Jogos'!C47&lt;&gt;"",Dudu!W47+D46,D46)</f>
        <v>11</v>
      </c>
      <c r="E47" s="2">
        <f>IF('Tabela de Jogos'!C47&lt;&gt;"",Carol!W47+E46,E46)</f>
        <v>22</v>
      </c>
      <c r="F47" s="2">
        <f>IF('Tabela de Jogos'!C47&lt;&gt;"",Ana!W47+F46,F46)</f>
        <v>30</v>
      </c>
      <c r="G47" s="2">
        <f>IF('Tabela de Jogos'!C47&lt;&gt;"",Isa!W47+G46,G46)</f>
        <v>19</v>
      </c>
      <c r="H47" s="2">
        <f>IF('Tabela de Jogos'!C47&lt;&gt;"",Trops!W47+H46,H46)</f>
        <v>16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22</v>
      </c>
      <c r="C48" s="2">
        <f>IF('Tabela de Jogos'!C48&lt;&gt;"",Arthur!W48+C47,C47)</f>
        <v>33</v>
      </c>
      <c r="D48" s="2">
        <f>IF('Tabela de Jogos'!C48&lt;&gt;"",Dudu!W48+D47,D47)</f>
        <v>11</v>
      </c>
      <c r="E48" s="2">
        <f>IF('Tabela de Jogos'!C48&lt;&gt;"",Carol!W48+E47,E47)</f>
        <v>22</v>
      </c>
      <c r="F48" s="2">
        <f>IF('Tabela de Jogos'!C48&lt;&gt;"",Ana!W48+F47,F47)</f>
        <v>30</v>
      </c>
      <c r="G48" s="2">
        <f>IF('Tabela de Jogos'!C48&lt;&gt;"",Isa!W48+G47,G47)</f>
        <v>19</v>
      </c>
      <c r="H48" s="2">
        <f>IF('Tabela de Jogos'!C48&lt;&gt;"",Trops!W48+H47,H47)</f>
        <v>16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22</v>
      </c>
      <c r="C49" s="2">
        <f>IF('Tabela de Jogos'!C49&lt;&gt;"",Arthur!W49+C48,C48)</f>
        <v>33</v>
      </c>
      <c r="D49" s="2">
        <f>IF('Tabela de Jogos'!C49&lt;&gt;"",Dudu!W49+D48,D48)</f>
        <v>11</v>
      </c>
      <c r="E49" s="2">
        <f>IF('Tabela de Jogos'!C49&lt;&gt;"",Carol!W49+E48,E48)</f>
        <v>22</v>
      </c>
      <c r="F49" s="2">
        <f>IF('Tabela de Jogos'!C49&lt;&gt;"",Ana!W49+F48,F48)</f>
        <v>30</v>
      </c>
      <c r="G49" s="2">
        <f>IF('Tabela de Jogos'!C49&lt;&gt;"",Isa!W49+G48,G48)</f>
        <v>19</v>
      </c>
      <c r="H49" s="2">
        <f>IF('Tabela de Jogos'!C49&lt;&gt;"",Trops!W49+H48,H48)</f>
        <v>16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22</v>
      </c>
      <c r="C50" s="2">
        <f>IF('Tabela de Jogos'!C50&lt;&gt;"",Arthur!W50+C49,C49)</f>
        <v>33</v>
      </c>
      <c r="D50" s="2">
        <f>IF('Tabela de Jogos'!C50&lt;&gt;"",Dudu!W50+D49,D49)</f>
        <v>11</v>
      </c>
      <c r="E50" s="2">
        <f>IF('Tabela de Jogos'!C50&lt;&gt;"",Carol!W50+E49,E49)</f>
        <v>22</v>
      </c>
      <c r="F50" s="2">
        <f>IF('Tabela de Jogos'!C50&lt;&gt;"",Ana!W50+F49,F49)</f>
        <v>30</v>
      </c>
      <c r="G50" s="2">
        <f>IF('Tabela de Jogos'!C50&lt;&gt;"",Isa!W50+G49,G49)</f>
        <v>19</v>
      </c>
      <c r="H50" s="2">
        <f>IF('Tabela de Jogos'!C50&lt;&gt;"",Trops!W50+H49,H49)</f>
        <v>16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22</v>
      </c>
      <c r="C51" s="2">
        <f>IF('Tabela de Jogos'!C51&lt;&gt;"",Arthur!W51+C50,C50)</f>
        <v>33</v>
      </c>
      <c r="D51" s="2">
        <f>IF('Tabela de Jogos'!C51&lt;&gt;"",Dudu!W51+D50,D50)</f>
        <v>11</v>
      </c>
      <c r="E51" s="2">
        <f>IF('Tabela de Jogos'!C51&lt;&gt;"",Carol!W51+E50,E50)</f>
        <v>22</v>
      </c>
      <c r="F51" s="2">
        <f>IF('Tabela de Jogos'!C51&lt;&gt;"",Ana!W51+F50,F50)</f>
        <v>30</v>
      </c>
      <c r="G51" s="2">
        <f>IF('Tabela de Jogos'!C51&lt;&gt;"",Isa!W51+G50,G50)</f>
        <v>19</v>
      </c>
      <c r="H51" s="2">
        <f>IF('Tabela de Jogos'!C51&lt;&gt;"",Trops!W51+H50,H50)</f>
        <v>16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22</v>
      </c>
      <c r="C52" s="2">
        <f>IF('Tabela de Jogos'!C52&lt;&gt;"",Arthur!W52+C51,C51)</f>
        <v>33</v>
      </c>
      <c r="D52" s="2">
        <f>IF('Tabela de Jogos'!C52&lt;&gt;"",Dudu!W52+D51,D51)</f>
        <v>11</v>
      </c>
      <c r="E52" s="2">
        <f>IF('Tabela de Jogos'!C52&lt;&gt;"",Carol!W52+E51,E51)</f>
        <v>22</v>
      </c>
      <c r="F52" s="2">
        <f>IF('Tabela de Jogos'!C52&lt;&gt;"",Ana!W52+F51,F51)</f>
        <v>30</v>
      </c>
      <c r="G52" s="2">
        <f>IF('Tabela de Jogos'!C52&lt;&gt;"",Isa!W52+G51,G51)</f>
        <v>19</v>
      </c>
      <c r="H52" s="2">
        <f>IF('Tabela de Jogos'!C52&lt;&gt;"",Trops!W52+H51,H51)</f>
        <v>16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22</v>
      </c>
      <c r="C53" s="2">
        <f>IF('Tabela de Jogos'!C53&lt;&gt;"",Arthur!W53+C52,C52)</f>
        <v>33</v>
      </c>
      <c r="D53" s="2">
        <f>IF('Tabela de Jogos'!C53&lt;&gt;"",Dudu!W53+D52,D52)</f>
        <v>11</v>
      </c>
      <c r="E53" s="2">
        <f>IF('Tabela de Jogos'!C53&lt;&gt;"",Carol!W53+E52,E52)</f>
        <v>22</v>
      </c>
      <c r="F53" s="2">
        <f>IF('Tabela de Jogos'!C53&lt;&gt;"",Ana!W53+F52,F52)</f>
        <v>30</v>
      </c>
      <c r="G53" s="2">
        <f>IF('Tabela de Jogos'!C53&lt;&gt;"",Isa!W53+G52,G52)</f>
        <v>19</v>
      </c>
      <c r="H53" s="2">
        <f>IF('Tabela de Jogos'!C53&lt;&gt;"",Trops!W53+H52,H52)</f>
        <v>16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22</v>
      </c>
      <c r="C54" s="2">
        <f>IF('Tabela de Jogos'!C54&lt;&gt;"",Arthur!W54+C53,C53)</f>
        <v>33</v>
      </c>
      <c r="D54" s="2">
        <f>IF('Tabela de Jogos'!C54&lt;&gt;"",Dudu!W54+D53,D53)</f>
        <v>11</v>
      </c>
      <c r="E54" s="2">
        <f>IF('Tabela de Jogos'!C54&lt;&gt;"",Carol!W54+E53,E53)</f>
        <v>22</v>
      </c>
      <c r="F54" s="2">
        <f>IF('Tabela de Jogos'!C54&lt;&gt;"",Ana!W54+F53,F53)</f>
        <v>30</v>
      </c>
      <c r="G54" s="2">
        <f>IF('Tabela de Jogos'!C54&lt;&gt;"",Isa!W54+G53,G53)</f>
        <v>19</v>
      </c>
      <c r="H54" s="2">
        <f>IF('Tabela de Jogos'!C54&lt;&gt;"",Trops!W54+H53,H53)</f>
        <v>16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22</v>
      </c>
      <c r="C55" s="2">
        <f>IF('Tabela de Jogos'!C55&lt;&gt;"",Arthur!W55+C54,C54)</f>
        <v>33</v>
      </c>
      <c r="D55" s="2">
        <f>IF('Tabela de Jogos'!C55&lt;&gt;"",Dudu!W55+D54,D54)</f>
        <v>11</v>
      </c>
      <c r="E55" s="2">
        <f>IF('Tabela de Jogos'!C55&lt;&gt;"",Carol!W55+E54,E54)</f>
        <v>22</v>
      </c>
      <c r="F55" s="2">
        <f>IF('Tabela de Jogos'!C55&lt;&gt;"",Ana!W55+F54,F54)</f>
        <v>30</v>
      </c>
      <c r="G55" s="2">
        <f>IF('Tabela de Jogos'!C55&lt;&gt;"",Isa!W55+G54,G54)</f>
        <v>19</v>
      </c>
      <c r="H55" s="2">
        <f>IF('Tabela de Jogos'!C55&lt;&gt;"",Trops!W55+H54,H54)</f>
        <v>16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22</v>
      </c>
      <c r="C56" s="2">
        <f>IF('Tabela de Jogos'!C56&lt;&gt;"",Arthur!W56+C55,C55)</f>
        <v>33</v>
      </c>
      <c r="D56" s="2">
        <f>IF('Tabela de Jogos'!C56&lt;&gt;"",Dudu!W56+D55,D55)</f>
        <v>11</v>
      </c>
      <c r="E56" s="2">
        <f>IF('Tabela de Jogos'!C56&lt;&gt;"",Carol!W56+E55,E55)</f>
        <v>22</v>
      </c>
      <c r="F56" s="2">
        <f>IF('Tabela de Jogos'!C56&lt;&gt;"",Ana!W56+F55,F55)</f>
        <v>30</v>
      </c>
      <c r="G56" s="2">
        <f>IF('Tabela de Jogos'!C56&lt;&gt;"",Isa!W56+G55,G55)</f>
        <v>19</v>
      </c>
      <c r="H56" s="2">
        <f>IF('Tabela de Jogos'!C56&lt;&gt;"",Trops!W56+H55,H55)</f>
        <v>16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22</v>
      </c>
      <c r="C57" s="2">
        <f>IF('Tabela de Jogos'!C57&lt;&gt;"",Arthur!W57+C56,C56)</f>
        <v>33</v>
      </c>
      <c r="D57" s="2">
        <f>IF('Tabela de Jogos'!C57&lt;&gt;"",Dudu!W57+D56,D56)</f>
        <v>11</v>
      </c>
      <c r="E57" s="2">
        <f>IF('Tabela de Jogos'!C57&lt;&gt;"",Carol!W57+E56,E56)</f>
        <v>22</v>
      </c>
      <c r="F57" s="2">
        <f>IF('Tabela de Jogos'!C57&lt;&gt;"",Ana!W57+F56,F56)</f>
        <v>30</v>
      </c>
      <c r="G57" s="2">
        <f>IF('Tabela de Jogos'!C57&lt;&gt;"",Isa!W57+G56,G56)</f>
        <v>19</v>
      </c>
      <c r="H57" s="2">
        <f>IF('Tabela de Jogos'!C57&lt;&gt;"",Trops!W57+H56,H56)</f>
        <v>16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22</v>
      </c>
      <c r="C58" s="2">
        <f>IF('Tabela de Jogos'!C58&lt;&gt;"",Arthur!W58+C57,C57)</f>
        <v>33</v>
      </c>
      <c r="D58" s="2">
        <f>IF('Tabela de Jogos'!C58&lt;&gt;"",Dudu!W58+D57,D57)</f>
        <v>11</v>
      </c>
      <c r="E58" s="2">
        <f>IF('Tabela de Jogos'!C58&lt;&gt;"",Carol!W58+E57,E57)</f>
        <v>22</v>
      </c>
      <c r="F58" s="2">
        <f>IF('Tabela de Jogos'!C58&lt;&gt;"",Ana!W58+F57,F57)</f>
        <v>30</v>
      </c>
      <c r="G58" s="2">
        <f>IF('Tabela de Jogos'!C58&lt;&gt;"",Isa!W58+G57,G57)</f>
        <v>19</v>
      </c>
      <c r="H58" s="2">
        <f>IF('Tabela de Jogos'!C58&lt;&gt;"",Trops!W58+H57,H57)</f>
        <v>16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22</v>
      </c>
      <c r="C59" s="2">
        <f>IF('Tabela de Jogos'!C59&lt;&gt;"",Arthur!W59+C58,C58)</f>
        <v>33</v>
      </c>
      <c r="D59" s="2">
        <f>IF('Tabela de Jogos'!C59&lt;&gt;"",Dudu!W59+D58,D58)</f>
        <v>11</v>
      </c>
      <c r="E59" s="2">
        <f>IF('Tabela de Jogos'!C59&lt;&gt;"",Carol!W59+E58,E58)</f>
        <v>22</v>
      </c>
      <c r="F59" s="2">
        <f>IF('Tabela de Jogos'!C59&lt;&gt;"",Ana!W59+F58,F58)</f>
        <v>30</v>
      </c>
      <c r="G59" s="2">
        <f>IF('Tabela de Jogos'!C59&lt;&gt;"",Isa!W59+G58,G58)</f>
        <v>19</v>
      </c>
      <c r="H59" s="2">
        <f>IF('Tabela de Jogos'!C59&lt;&gt;"",Trops!W59+H58,H58)</f>
        <v>16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22</v>
      </c>
      <c r="C60" s="2">
        <f>IF('Tabela de Jogos'!C60&lt;&gt;"",Arthur!W60+C59,C59)</f>
        <v>33</v>
      </c>
      <c r="D60" s="2">
        <f>IF('Tabela de Jogos'!C60&lt;&gt;"",Dudu!W60+D59,D59)</f>
        <v>11</v>
      </c>
      <c r="E60" s="2">
        <f>IF('Tabela de Jogos'!C60&lt;&gt;"",Carol!W60+E59,E59)</f>
        <v>22</v>
      </c>
      <c r="F60" s="2">
        <f>IF('Tabela de Jogos'!C60&lt;&gt;"",Ana!W60+F59,F59)</f>
        <v>30</v>
      </c>
      <c r="G60" s="2">
        <f>IF('Tabela de Jogos'!C60&lt;&gt;"",Isa!W60+G59,G59)</f>
        <v>19</v>
      </c>
      <c r="H60" s="2">
        <f>IF('Tabela de Jogos'!C60&lt;&gt;"",Trops!W60+H59,H59)</f>
        <v>16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22</v>
      </c>
      <c r="C61" s="2">
        <f>IF('Tabela de Jogos'!C61&lt;&gt;"",Arthur!W61+C60,C60)</f>
        <v>33</v>
      </c>
      <c r="D61" s="2">
        <f>IF('Tabela de Jogos'!C61&lt;&gt;"",Dudu!W61+D60,D60)</f>
        <v>11</v>
      </c>
      <c r="E61" s="2">
        <f>IF('Tabela de Jogos'!C61&lt;&gt;"",Carol!W61+E60,E60)</f>
        <v>22</v>
      </c>
      <c r="F61" s="2">
        <f>IF('Tabela de Jogos'!C61&lt;&gt;"",Ana!W61+F60,F60)</f>
        <v>30</v>
      </c>
      <c r="G61" s="2">
        <f>IF('Tabela de Jogos'!C61&lt;&gt;"",Isa!W61+G60,G60)</f>
        <v>19</v>
      </c>
      <c r="H61" s="2">
        <f>IF('Tabela de Jogos'!C61&lt;&gt;"",Trops!W61+H60,H60)</f>
        <v>16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22</v>
      </c>
      <c r="C62" s="2">
        <f>IF('Tabela de Jogos'!C62&lt;&gt;"",Arthur!W62+C61,C61)</f>
        <v>33</v>
      </c>
      <c r="D62" s="2">
        <f>IF('Tabela de Jogos'!C62&lt;&gt;"",Dudu!W62+D61,D61)</f>
        <v>11</v>
      </c>
      <c r="E62" s="2">
        <f>IF('Tabela de Jogos'!C62&lt;&gt;"",Carol!W62+E61,E61)</f>
        <v>22</v>
      </c>
      <c r="F62" s="2">
        <f>IF('Tabela de Jogos'!C62&lt;&gt;"",Ana!W62+F61,F61)</f>
        <v>30</v>
      </c>
      <c r="G62" s="2">
        <f>IF('Tabela de Jogos'!C62&lt;&gt;"",Isa!W62+G61,G61)</f>
        <v>19</v>
      </c>
      <c r="H62" s="2">
        <f>IF('Tabela de Jogos'!C62&lt;&gt;"",Trops!W62+H61,H61)</f>
        <v>16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22</v>
      </c>
      <c r="C63" s="2">
        <f>IF('Tabela de Jogos'!C63&lt;&gt;"",Arthur!W63+C62,C62)</f>
        <v>33</v>
      </c>
      <c r="D63" s="2">
        <f>IF('Tabela de Jogos'!C63&lt;&gt;"",Dudu!W63+D62,D62)</f>
        <v>11</v>
      </c>
      <c r="E63" s="2">
        <f>IF('Tabela de Jogos'!C63&lt;&gt;"",Carol!W63+E62,E62)</f>
        <v>22</v>
      </c>
      <c r="F63" s="2">
        <f>IF('Tabela de Jogos'!C63&lt;&gt;"",Ana!W63+F62,F62)</f>
        <v>30</v>
      </c>
      <c r="G63" s="2">
        <f>IF('Tabela de Jogos'!C63&lt;&gt;"",Isa!W63+G62,G62)</f>
        <v>19</v>
      </c>
      <c r="H63" s="2">
        <f>IF('Tabela de Jogos'!C63&lt;&gt;"",Trops!W63+H62,H62)</f>
        <v>16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22</v>
      </c>
      <c r="C64" s="2">
        <f>IF('Tabela de Jogos'!C64&lt;&gt;"",Arthur!W64+C63,C63)</f>
        <v>33</v>
      </c>
      <c r="D64" s="2">
        <f>IF('Tabela de Jogos'!C64&lt;&gt;"",Dudu!W64+D63,D63)</f>
        <v>11</v>
      </c>
      <c r="E64" s="2">
        <f>IF('Tabela de Jogos'!C64&lt;&gt;"",Carol!W64+E63,E63)</f>
        <v>22</v>
      </c>
      <c r="F64" s="2">
        <f>IF('Tabela de Jogos'!C64&lt;&gt;"",Ana!W64+F63,F63)</f>
        <v>30</v>
      </c>
      <c r="G64" s="2">
        <f>IF('Tabela de Jogos'!C64&lt;&gt;"",Isa!W64+G63,G63)</f>
        <v>19</v>
      </c>
      <c r="H64" s="2">
        <f>IF('Tabela de Jogos'!C64&lt;&gt;"",Trops!W64+H63,H63)</f>
        <v>16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22</v>
      </c>
      <c r="C65" s="2">
        <f>IF('Tabela de Jogos'!C65&lt;&gt;"",Arthur!W65+C64,C64)</f>
        <v>33</v>
      </c>
      <c r="D65" s="2">
        <f>IF('Tabela de Jogos'!C65&lt;&gt;"",Dudu!W65+D64,D64)</f>
        <v>11</v>
      </c>
      <c r="E65" s="2">
        <f>IF('Tabela de Jogos'!C65&lt;&gt;"",Carol!W65+E64,E64)</f>
        <v>22</v>
      </c>
      <c r="F65" s="2">
        <f>IF('Tabela de Jogos'!C65&lt;&gt;"",Ana!W65+F64,F64)</f>
        <v>30</v>
      </c>
      <c r="G65" s="2">
        <f>IF('Tabela de Jogos'!C65&lt;&gt;"",Isa!W65+G64,G64)</f>
        <v>19</v>
      </c>
      <c r="H65" s="2">
        <f>IF('Tabela de Jogos'!C65&lt;&gt;"",Trops!W65+H64,H64)</f>
        <v>16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22</v>
      </c>
      <c r="C66" s="2">
        <f>IF('Tabela de Jogos'!C66&lt;&gt;"",Arthur!W66+C65,C65)</f>
        <v>33</v>
      </c>
      <c r="D66" s="2">
        <f>IF('Tabela de Jogos'!C66&lt;&gt;"",Dudu!W66+D65,D65)</f>
        <v>11</v>
      </c>
      <c r="E66" s="2">
        <f>IF('Tabela de Jogos'!C66&lt;&gt;"",Carol!W66+E65,E65)</f>
        <v>22</v>
      </c>
      <c r="F66" s="2">
        <f>IF('Tabela de Jogos'!C66&lt;&gt;"",Ana!W66+F65,F65)</f>
        <v>30</v>
      </c>
      <c r="G66" s="2">
        <f>IF('Tabela de Jogos'!C66&lt;&gt;"",Isa!W66+G65,G65)</f>
        <v>19</v>
      </c>
      <c r="H66" s="2">
        <f>IF('Tabela de Jogos'!C66&lt;&gt;"",Trops!W66+H65,H65)</f>
        <v>16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22</v>
      </c>
      <c r="C67" s="2">
        <f>IF('Tabela de Jogos'!C67&lt;&gt;"",Arthur!W67+C66,C66)</f>
        <v>33</v>
      </c>
      <c r="D67" s="2">
        <f>IF('Tabela de Jogos'!C67&lt;&gt;"",Dudu!W67+D66,D66)</f>
        <v>11</v>
      </c>
      <c r="E67" s="2">
        <f>IF('Tabela de Jogos'!C67&lt;&gt;"",Carol!W67+E66,E66)</f>
        <v>22</v>
      </c>
      <c r="F67" s="2">
        <f>IF('Tabela de Jogos'!C67&lt;&gt;"",Ana!W67+F66,F66)</f>
        <v>30</v>
      </c>
      <c r="G67" s="2">
        <f>IF('Tabela de Jogos'!C67&lt;&gt;"",Isa!W67+G66,G66)</f>
        <v>19</v>
      </c>
      <c r="H67" s="2">
        <f>IF('Tabela de Jogos'!C67&lt;&gt;"",Trops!W67+H66,H66)</f>
        <v>16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22</v>
      </c>
      <c r="C68" s="2">
        <f>IF('Tabela de Jogos'!C68&lt;&gt;"",Arthur!W68+C67,C67)</f>
        <v>33</v>
      </c>
      <c r="D68" s="2">
        <f>IF('Tabela de Jogos'!C68&lt;&gt;"",Dudu!W68+D67,D67)</f>
        <v>11</v>
      </c>
      <c r="E68" s="2">
        <f>IF('Tabela de Jogos'!C68&lt;&gt;"",Carol!W68+E67,E67)</f>
        <v>22</v>
      </c>
      <c r="F68" s="2">
        <f>IF('Tabela de Jogos'!C68&lt;&gt;"",Ana!W68+F67,F67)</f>
        <v>30</v>
      </c>
      <c r="G68" s="2">
        <f>IF('Tabela de Jogos'!C68&lt;&gt;"",Isa!W68+G67,G67)</f>
        <v>19</v>
      </c>
      <c r="H68" s="2">
        <f>IF('Tabela de Jogos'!C68&lt;&gt;"",Trops!W68+H67,H67)</f>
        <v>16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22</v>
      </c>
      <c r="C69" s="2">
        <f>IF('Tabela de Jogos'!C69&lt;&gt;"",Arthur!W69+C68,C68)</f>
        <v>33</v>
      </c>
      <c r="D69" s="2">
        <f>IF('Tabela de Jogos'!C69&lt;&gt;"",Dudu!W69+D68,D68)</f>
        <v>11</v>
      </c>
      <c r="E69" s="2">
        <f>IF('Tabela de Jogos'!C69&lt;&gt;"",Carol!W69+E68,E68)</f>
        <v>22</v>
      </c>
      <c r="F69" s="2">
        <f>IF('Tabela de Jogos'!C69&lt;&gt;"",Ana!W69+F68,F68)</f>
        <v>30</v>
      </c>
      <c r="G69" s="2">
        <f>IF('Tabela de Jogos'!C69&lt;&gt;"",Isa!W69+G68,G68)</f>
        <v>19</v>
      </c>
      <c r="H69" s="2">
        <f>IF('Tabela de Jogos'!C69&lt;&gt;"",Trops!W69+H68,H68)</f>
        <v>16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22</v>
      </c>
      <c r="C70" s="2">
        <f>IF('Tabela de Jogos'!C70&lt;&gt;"",Arthur!W70+C69,C69)</f>
        <v>33</v>
      </c>
      <c r="D70" s="2">
        <f>IF('Tabela de Jogos'!C70&lt;&gt;"",Dudu!W70+D69,D69)</f>
        <v>11</v>
      </c>
      <c r="E70" s="2">
        <f>IF('Tabela de Jogos'!C70&lt;&gt;"",Carol!W70+E69,E69)</f>
        <v>22</v>
      </c>
      <c r="F70" s="2">
        <f>IF('Tabela de Jogos'!C70&lt;&gt;"",Ana!W70+F69,F69)</f>
        <v>30</v>
      </c>
      <c r="G70" s="2">
        <f>IF('Tabela de Jogos'!C70&lt;&gt;"",Isa!W70+G69,G69)</f>
        <v>19</v>
      </c>
      <c r="H70" s="2">
        <f>IF('Tabela de Jogos'!C70&lt;&gt;"",Trops!W70+H69,H69)</f>
        <v>16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22</v>
      </c>
      <c r="C71" s="2">
        <f>IF('Tabela de Jogos'!C71&lt;&gt;"",Arthur!W71+C70,C70)</f>
        <v>33</v>
      </c>
      <c r="D71" s="2">
        <f>IF('Tabela de Jogos'!C71&lt;&gt;"",Dudu!W71+D70,D70)</f>
        <v>11</v>
      </c>
      <c r="E71" s="2">
        <f>IF('Tabela de Jogos'!C71&lt;&gt;"",Carol!W71+E70,E70)</f>
        <v>22</v>
      </c>
      <c r="F71" s="2">
        <f>IF('Tabela de Jogos'!C71&lt;&gt;"",Ana!W71+F70,F70)</f>
        <v>30</v>
      </c>
      <c r="G71" s="2">
        <f>IF('Tabela de Jogos'!C71&lt;&gt;"",Isa!W71+G70,G70)</f>
        <v>19</v>
      </c>
      <c r="H71" s="2">
        <f>IF('Tabela de Jogos'!C71&lt;&gt;"",Trops!W71+H70,H70)</f>
        <v>16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22</v>
      </c>
      <c r="C72" s="2">
        <f>IF('Tabela de Jogos'!C72&lt;&gt;"",Arthur!W72+C71,C71)</f>
        <v>33</v>
      </c>
      <c r="D72" s="2">
        <f>IF('Tabela de Jogos'!C72&lt;&gt;"",Dudu!W72+D71,D71)</f>
        <v>11</v>
      </c>
      <c r="E72" s="2">
        <f>IF('Tabela de Jogos'!C72&lt;&gt;"",Carol!W72+E71,E71)</f>
        <v>22</v>
      </c>
      <c r="F72" s="2">
        <f>IF('Tabela de Jogos'!C72&lt;&gt;"",Ana!W72+F71,F71)</f>
        <v>30</v>
      </c>
      <c r="G72" s="2">
        <f>IF('Tabela de Jogos'!C72&lt;&gt;"",Isa!W72+G71,G71)</f>
        <v>19</v>
      </c>
      <c r="H72" s="2">
        <f>IF('Tabela de Jogos'!C72&lt;&gt;"",Trops!W72+H71,H71)</f>
        <v>16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22</v>
      </c>
      <c r="C73" s="2">
        <f>IF('Tabela de Jogos'!C73&lt;&gt;"",Arthur!W73+C72,C72)</f>
        <v>33</v>
      </c>
      <c r="D73" s="2">
        <f>IF('Tabela de Jogos'!C73&lt;&gt;"",Dudu!W73+D72,D72)</f>
        <v>11</v>
      </c>
      <c r="E73" s="2">
        <f>IF('Tabela de Jogos'!C73&lt;&gt;"",Carol!W73+E72,E72)</f>
        <v>22</v>
      </c>
      <c r="F73" s="2">
        <f>IF('Tabela de Jogos'!C73&lt;&gt;"",Ana!W73+F72,F72)</f>
        <v>30</v>
      </c>
      <c r="G73" s="2">
        <f>IF('Tabela de Jogos'!C73&lt;&gt;"",Isa!W73+G72,G72)</f>
        <v>19</v>
      </c>
      <c r="H73" s="2">
        <f>IF('Tabela de Jogos'!C73&lt;&gt;"",Trops!W73+H72,H72)</f>
        <v>16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22</v>
      </c>
      <c r="C74" s="2">
        <f>IF('Tabela de Jogos'!C74&lt;&gt;"",Arthur!W74+C73,C73)</f>
        <v>33</v>
      </c>
      <c r="D74" s="2">
        <f>IF('Tabela de Jogos'!C74&lt;&gt;"",Dudu!W74+D73,D73)</f>
        <v>11</v>
      </c>
      <c r="E74" s="2">
        <f>IF('Tabela de Jogos'!C74&lt;&gt;"",Carol!W74+E73,E73)</f>
        <v>22</v>
      </c>
      <c r="F74" s="2">
        <f>IF('Tabela de Jogos'!C74&lt;&gt;"",Ana!W74+F73,F73)</f>
        <v>30</v>
      </c>
      <c r="G74" s="2">
        <f>IF('Tabela de Jogos'!C74&lt;&gt;"",Isa!W74+G73,G73)</f>
        <v>19</v>
      </c>
      <c r="H74" s="2">
        <f>IF('Tabela de Jogos'!C74&lt;&gt;"",Trops!W74+H73,H73)</f>
        <v>16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22</v>
      </c>
      <c r="C75" s="2">
        <f>IF('Tabela de Jogos'!C75&lt;&gt;"",Arthur!W75+C74,C74)</f>
        <v>33</v>
      </c>
      <c r="D75" s="2">
        <f>IF('Tabela de Jogos'!C75&lt;&gt;"",Dudu!W75+D74,D74)</f>
        <v>11</v>
      </c>
      <c r="E75" s="2">
        <f>IF('Tabela de Jogos'!C75&lt;&gt;"",Carol!W75+E74,E74)</f>
        <v>22</v>
      </c>
      <c r="F75" s="2">
        <f>IF('Tabela de Jogos'!C75&lt;&gt;"",Ana!W75+F74,F74)</f>
        <v>30</v>
      </c>
      <c r="G75" s="2">
        <f>IF('Tabela de Jogos'!C75&lt;&gt;"",Isa!W75+G74,G74)</f>
        <v>19</v>
      </c>
      <c r="H75" s="2">
        <f>IF('Tabela de Jogos'!C75&lt;&gt;"",Trops!W75+H74,H74)</f>
        <v>16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22</v>
      </c>
      <c r="C76" s="2">
        <f>IF('Tabela de Jogos'!C76&lt;&gt;"",Arthur!W76+C75,C75)</f>
        <v>33</v>
      </c>
      <c r="D76" s="2">
        <f>IF('Tabela de Jogos'!C76&lt;&gt;"",Dudu!W76+D75,D75)</f>
        <v>11</v>
      </c>
      <c r="E76" s="2">
        <f>IF('Tabela de Jogos'!C76&lt;&gt;"",Carol!W76+E75,E75)</f>
        <v>22</v>
      </c>
      <c r="F76" s="2">
        <f>IF('Tabela de Jogos'!C76&lt;&gt;"",Ana!W76+F75,F75)</f>
        <v>30</v>
      </c>
      <c r="G76" s="2">
        <f>IF('Tabela de Jogos'!C76&lt;&gt;"",Isa!W76+G75,G75)</f>
        <v>19</v>
      </c>
      <c r="H76" s="2">
        <f>IF('Tabela de Jogos'!C76&lt;&gt;"",Trops!W76+H75,H75)</f>
        <v>16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22</v>
      </c>
      <c r="C77" s="2">
        <f>IF('Tabela de Jogos'!C77&lt;&gt;"",Arthur!W77+C76,C76)</f>
        <v>33</v>
      </c>
      <c r="D77" s="2">
        <f>IF('Tabela de Jogos'!C77&lt;&gt;"",Dudu!W77+D76,D76)</f>
        <v>11</v>
      </c>
      <c r="E77" s="2">
        <f>IF('Tabela de Jogos'!C77&lt;&gt;"",Carol!W77+E76,E76)</f>
        <v>22</v>
      </c>
      <c r="F77" s="2">
        <f>IF('Tabela de Jogos'!C77&lt;&gt;"",Ana!W77+F76,F76)</f>
        <v>30</v>
      </c>
      <c r="G77" s="2">
        <f>IF('Tabela de Jogos'!C77&lt;&gt;"",Isa!W77+G76,G76)</f>
        <v>19</v>
      </c>
      <c r="H77" s="2">
        <f>IF('Tabela de Jogos'!C77&lt;&gt;"",Trops!W77+H76,H76)</f>
        <v>16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22</v>
      </c>
      <c r="C78" s="2">
        <f>IF('Tabela de Jogos'!C78&lt;&gt;"",Arthur!W78+C77,C77)</f>
        <v>33</v>
      </c>
      <c r="D78" s="2">
        <f>IF('Tabela de Jogos'!C78&lt;&gt;"",Dudu!W78+D77,D77)</f>
        <v>11</v>
      </c>
      <c r="E78" s="2">
        <f>IF('Tabela de Jogos'!C78&lt;&gt;"",Carol!W78+E77,E77)</f>
        <v>22</v>
      </c>
      <c r="F78" s="2">
        <f>IF('Tabela de Jogos'!C78&lt;&gt;"",Ana!W78+F77,F77)</f>
        <v>30</v>
      </c>
      <c r="G78" s="2">
        <f>IF('Tabela de Jogos'!C78&lt;&gt;"",Isa!W78+G77,G77)</f>
        <v>19</v>
      </c>
      <c r="H78" s="2">
        <f>IF('Tabela de Jogos'!C78&lt;&gt;"",Trops!W78+H77,H77)</f>
        <v>16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22</v>
      </c>
      <c r="C79" s="2">
        <f>IF('Tabela de Jogos'!C79&lt;&gt;"",Arthur!W79+C78,C78)</f>
        <v>33</v>
      </c>
      <c r="D79" s="2">
        <f>IF('Tabela de Jogos'!C79&lt;&gt;"",Dudu!W79+D78,D78)</f>
        <v>11</v>
      </c>
      <c r="E79" s="2">
        <f>IF('Tabela de Jogos'!C79&lt;&gt;"",Carol!W79+E78,E78)</f>
        <v>22</v>
      </c>
      <c r="F79" s="2">
        <f>IF('Tabela de Jogos'!C79&lt;&gt;"",Ana!W79+F78,F78)</f>
        <v>30</v>
      </c>
      <c r="G79" s="2">
        <f>IF('Tabela de Jogos'!C79&lt;&gt;"",Isa!W79+G78,G78)</f>
        <v>19</v>
      </c>
      <c r="H79" s="2">
        <f>IF('Tabela de Jogos'!C79&lt;&gt;"",Trops!W79+H78,H78)</f>
        <v>16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22</v>
      </c>
      <c r="C80" s="2">
        <f>IF('Tabela de Jogos'!C80&lt;&gt;"",Arthur!W80+C79,C79)</f>
        <v>33</v>
      </c>
      <c r="D80" s="2">
        <f>IF('Tabela de Jogos'!C80&lt;&gt;"",Dudu!W80+D79,D79)</f>
        <v>11</v>
      </c>
      <c r="E80" s="2">
        <f>IF('Tabela de Jogos'!C80&lt;&gt;"",Carol!W80+E79,E79)</f>
        <v>22</v>
      </c>
      <c r="F80" s="2">
        <f>IF('Tabela de Jogos'!C80&lt;&gt;"",Ana!W80+F79,F79)</f>
        <v>30</v>
      </c>
      <c r="G80" s="2">
        <f>IF('Tabela de Jogos'!C80&lt;&gt;"",Isa!W80+G79,G79)</f>
        <v>19</v>
      </c>
      <c r="H80" s="2">
        <f>IF('Tabela de Jogos'!C80&lt;&gt;"",Trops!W80+H79,H79)</f>
        <v>16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22</v>
      </c>
      <c r="C81" s="2">
        <f>IF('Tabela de Jogos'!C81&lt;&gt;"",Arthur!W81+C80,C80)</f>
        <v>33</v>
      </c>
      <c r="D81" s="2">
        <f>IF('Tabela de Jogos'!C81&lt;&gt;"",Dudu!W81+D80,D80)</f>
        <v>11</v>
      </c>
      <c r="E81" s="2">
        <f>IF('Tabela de Jogos'!C81&lt;&gt;"",Carol!W81+E80,E80)</f>
        <v>22</v>
      </c>
      <c r="F81" s="2">
        <f>IF('Tabela de Jogos'!C81&lt;&gt;"",Ana!W81+F80,F80)</f>
        <v>30</v>
      </c>
      <c r="G81" s="2">
        <f>IF('Tabela de Jogos'!C81&lt;&gt;"",Isa!W81+G80,G80)</f>
        <v>19</v>
      </c>
      <c r="H81" s="2">
        <f>IF('Tabela de Jogos'!C81&lt;&gt;"",Trops!W81+H80,H80)</f>
        <v>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22</v>
      </c>
      <c r="C82" s="2">
        <f>IF('Tabela de Jogos'!C82&lt;&gt;"",Arthur!W82+C81,C81)</f>
        <v>33</v>
      </c>
      <c r="D82" s="2">
        <f>IF('Tabela de Jogos'!C82&lt;&gt;"",Dudu!W82+D81,D81)</f>
        <v>11</v>
      </c>
      <c r="E82" s="2">
        <f>IF('Tabela de Jogos'!C82&lt;&gt;"",Carol!W82+E81,E81)</f>
        <v>22</v>
      </c>
      <c r="F82" s="2">
        <f>IF('Tabela de Jogos'!C82&lt;&gt;"",Ana!W82+F81,F81)</f>
        <v>30</v>
      </c>
      <c r="G82" s="2">
        <f>IF('Tabela de Jogos'!C82&lt;&gt;"",Isa!W82+G81,G81)</f>
        <v>19</v>
      </c>
      <c r="H82" s="2">
        <f>IF('Tabela de Jogos'!C82&lt;&gt;"",Trops!W82+H81,H81)</f>
        <v>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22</v>
      </c>
      <c r="C83" s="2">
        <f>IF('Tabela de Jogos'!C83&lt;&gt;"",Arthur!W83+C82,C82)</f>
        <v>33</v>
      </c>
      <c r="D83" s="2">
        <f>IF('Tabela de Jogos'!C83&lt;&gt;"",Dudu!W83+D82,D82)</f>
        <v>11</v>
      </c>
      <c r="E83" s="2">
        <f>IF('Tabela de Jogos'!C83&lt;&gt;"",Carol!W83+E82,E82)</f>
        <v>22</v>
      </c>
      <c r="F83" s="2">
        <f>IF('Tabela de Jogos'!C83&lt;&gt;"",Ana!W83+F82,F82)</f>
        <v>30</v>
      </c>
      <c r="G83" s="2">
        <f>IF('Tabela de Jogos'!C83&lt;&gt;"",Isa!W83+G82,G82)</f>
        <v>19</v>
      </c>
      <c r="H83" s="2">
        <f>IF('Tabela de Jogos'!C83&lt;&gt;"",Trops!W83+H82,H82)</f>
        <v>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22</v>
      </c>
      <c r="C84" s="2">
        <f>IF('Tabela de Jogos'!C84&lt;&gt;"",Arthur!W84+C83,C83)</f>
        <v>33</v>
      </c>
      <c r="D84" s="2">
        <f>IF('Tabela de Jogos'!C84&lt;&gt;"",Dudu!W84+D83,D83)</f>
        <v>11</v>
      </c>
      <c r="E84" s="2">
        <f>IF('Tabela de Jogos'!C84&lt;&gt;"",Carol!W84+E83,E83)</f>
        <v>22</v>
      </c>
      <c r="F84" s="2">
        <f>IF('Tabela de Jogos'!C84&lt;&gt;"",Ana!W84+F83,F83)</f>
        <v>30</v>
      </c>
      <c r="G84" s="2">
        <f>IF('Tabela de Jogos'!C84&lt;&gt;"",Isa!W84+G83,G83)</f>
        <v>19</v>
      </c>
      <c r="H84" s="2">
        <f>IF('Tabela de Jogos'!C84&lt;&gt;"",Trops!W84+H83,H83)</f>
        <v>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22</v>
      </c>
      <c r="C85" s="2">
        <f>IF('Tabela de Jogos'!C85&lt;&gt;"",Arthur!W85+C84,C84)</f>
        <v>33</v>
      </c>
      <c r="D85" s="2">
        <f>IF('Tabela de Jogos'!C85&lt;&gt;"",Dudu!W85+D84,D84)</f>
        <v>11</v>
      </c>
      <c r="E85" s="2">
        <f>IF('Tabela de Jogos'!C85&lt;&gt;"",Carol!W85+E84,E84)</f>
        <v>22</v>
      </c>
      <c r="F85" s="2">
        <f>IF('Tabela de Jogos'!C85&lt;&gt;"",Ana!W85+F84,F84)</f>
        <v>30</v>
      </c>
      <c r="G85" s="2">
        <f>IF('Tabela de Jogos'!C85&lt;&gt;"",Isa!W85+G84,G84)</f>
        <v>19</v>
      </c>
      <c r="H85" s="2">
        <f>IF('Tabela de Jogos'!C85&lt;&gt;"",Trops!W85+H84,H84)</f>
        <v>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22</v>
      </c>
      <c r="C86" s="2">
        <f>IF('Tabela de Jogos'!C86&lt;&gt;"",Arthur!W86+C85,C85)</f>
        <v>33</v>
      </c>
      <c r="D86" s="2">
        <f>IF('Tabela de Jogos'!C86&lt;&gt;"",Dudu!W86+D85,D85)</f>
        <v>11</v>
      </c>
      <c r="E86" s="2">
        <f>IF('Tabela de Jogos'!C86&lt;&gt;"",Carol!W86+E85,E85)</f>
        <v>22</v>
      </c>
      <c r="F86" s="2">
        <f>IF('Tabela de Jogos'!C86&lt;&gt;"",Ana!W86+F85,F85)</f>
        <v>30</v>
      </c>
      <c r="G86" s="2">
        <f>IF('Tabela de Jogos'!C86&lt;&gt;"",Isa!W86+G85,G85)</f>
        <v>19</v>
      </c>
      <c r="H86" s="2">
        <f>IF('Tabela de Jogos'!C86&lt;&gt;"",Trops!W86+H85,H85)</f>
        <v>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22</v>
      </c>
      <c r="C87" s="2">
        <f>IF('Tabela de Jogos'!C87&lt;&gt;"",Arthur!W87+C86,C86)</f>
        <v>33</v>
      </c>
      <c r="D87" s="2">
        <f>IF('Tabela de Jogos'!C87&lt;&gt;"",Dudu!W87+D86,D86)</f>
        <v>11</v>
      </c>
      <c r="E87" s="2">
        <f>IF('Tabela de Jogos'!C87&lt;&gt;"",Carol!W87+E86,E86)</f>
        <v>22</v>
      </c>
      <c r="F87" s="2">
        <f>IF('Tabela de Jogos'!C87&lt;&gt;"",Ana!W87+F86,F86)</f>
        <v>30</v>
      </c>
      <c r="G87" s="2">
        <f>IF('Tabela de Jogos'!C87&lt;&gt;"",Isa!W87+G86,G86)</f>
        <v>19</v>
      </c>
      <c r="H87" s="2">
        <f>IF('Tabela de Jogos'!C87&lt;&gt;"",Trops!W87+H86,H86)</f>
        <v>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22</v>
      </c>
      <c r="C88" s="2">
        <f>IF('Tabela de Jogos'!C88&lt;&gt;"",Arthur!W88+C87,C87)</f>
        <v>33</v>
      </c>
      <c r="D88" s="2">
        <f>IF('Tabela de Jogos'!C88&lt;&gt;"",Dudu!W88+D87,D87)</f>
        <v>11</v>
      </c>
      <c r="E88" s="2">
        <f>IF('Tabela de Jogos'!C88&lt;&gt;"",Carol!W88+E87,E87)</f>
        <v>22</v>
      </c>
      <c r="F88" s="2">
        <f>IF('Tabela de Jogos'!C88&lt;&gt;"",Ana!W88+F87,F87)</f>
        <v>30</v>
      </c>
      <c r="G88" s="2">
        <f>IF('Tabela de Jogos'!C88&lt;&gt;"",Isa!W88+G87,G87)</f>
        <v>19</v>
      </c>
      <c r="H88" s="2">
        <f>IF('Tabela de Jogos'!C88&lt;&gt;"",Trops!W88+H87,H87)</f>
        <v>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22</v>
      </c>
      <c r="C89" s="2">
        <f>IF('Tabela de Jogos'!C89&lt;&gt;"",Arthur!W89+C88,C88)</f>
        <v>33</v>
      </c>
      <c r="D89" s="2">
        <f>IF('Tabela de Jogos'!C89&lt;&gt;"",Dudu!W89+D88,D88)</f>
        <v>11</v>
      </c>
      <c r="E89" s="2">
        <f>IF('Tabela de Jogos'!C89&lt;&gt;"",Carol!W89+E88,E88)</f>
        <v>22</v>
      </c>
      <c r="F89" s="2">
        <f>IF('Tabela de Jogos'!C89&lt;&gt;"",Ana!W89+F88,F88)</f>
        <v>30</v>
      </c>
      <c r="G89" s="2">
        <f>IF('Tabela de Jogos'!C89&lt;&gt;"",Isa!W89+G88,G88)</f>
        <v>19</v>
      </c>
      <c r="H89" s="2">
        <f>IF('Tabela de Jogos'!C89&lt;&gt;"",Trops!W89+H88,H88)</f>
        <v>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22</v>
      </c>
      <c r="C90" s="2">
        <f>IF('Tabela de Jogos'!C90&lt;&gt;"",Arthur!W90+C89,C89)</f>
        <v>33</v>
      </c>
      <c r="D90" s="2">
        <f>IF('Tabela de Jogos'!C90&lt;&gt;"",Dudu!W90+D89,D89)</f>
        <v>11</v>
      </c>
      <c r="E90" s="2">
        <f>IF('Tabela de Jogos'!C90&lt;&gt;"",Carol!W90+E89,E89)</f>
        <v>22</v>
      </c>
      <c r="F90" s="2">
        <f>IF('Tabela de Jogos'!C90&lt;&gt;"",Ana!W90+F89,F89)</f>
        <v>30</v>
      </c>
      <c r="G90" s="2">
        <f>IF('Tabela de Jogos'!C90&lt;&gt;"",Isa!W90+G89,G89)</f>
        <v>19</v>
      </c>
      <c r="H90" s="2">
        <f>IF('Tabela de Jogos'!C90&lt;&gt;"",Trops!W90+H89,H89)</f>
        <v>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22</v>
      </c>
      <c r="C91" s="2">
        <f>IF('Tabela de Jogos'!C91&lt;&gt;"",Arthur!W91+C90,C90)</f>
        <v>33</v>
      </c>
      <c r="D91" s="2">
        <f>IF('Tabela de Jogos'!C91&lt;&gt;"",Dudu!W91+D90,D90)</f>
        <v>11</v>
      </c>
      <c r="E91" s="2">
        <f>IF('Tabela de Jogos'!C91&lt;&gt;"",Carol!W91+E90,E90)</f>
        <v>22</v>
      </c>
      <c r="F91" s="2">
        <f>IF('Tabela de Jogos'!C91&lt;&gt;"",Ana!W91+F90,F90)</f>
        <v>30</v>
      </c>
      <c r="G91" s="2">
        <f>IF('Tabela de Jogos'!C91&lt;&gt;"",Isa!W91+G90,G90)</f>
        <v>19</v>
      </c>
      <c r="H91" s="2">
        <f>IF('Tabela de Jogos'!C91&lt;&gt;"",Trops!W91+H90,H90)</f>
        <v>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22</v>
      </c>
      <c r="C92" s="2">
        <f>IF('Tabela de Jogos'!C92&lt;&gt;"",Arthur!W92+C91,C91)</f>
        <v>33</v>
      </c>
      <c r="D92" s="2">
        <f>IF('Tabela de Jogos'!C92&lt;&gt;"",Dudu!W92+D91,D91)</f>
        <v>11</v>
      </c>
      <c r="E92" s="2">
        <f>IF('Tabela de Jogos'!C92&lt;&gt;"",Carol!W92+E91,E91)</f>
        <v>22</v>
      </c>
      <c r="F92" s="2">
        <f>IF('Tabela de Jogos'!C92&lt;&gt;"",Ana!W92+F91,F91)</f>
        <v>30</v>
      </c>
      <c r="G92" s="2">
        <f>IF('Tabela de Jogos'!C92&lt;&gt;"",Isa!W92+G91,G91)</f>
        <v>19</v>
      </c>
      <c r="H92" s="2">
        <f>IF('Tabela de Jogos'!C92&lt;&gt;"",Trops!W92+H91,H91)</f>
        <v>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22</v>
      </c>
      <c r="C93" s="2">
        <f>IF('Tabela de Jogos'!C93&lt;&gt;"",Arthur!W93+C92,C92)</f>
        <v>33</v>
      </c>
      <c r="D93" s="2">
        <f>IF('Tabela de Jogos'!C93&lt;&gt;"",Dudu!W93+D92,D92)</f>
        <v>11</v>
      </c>
      <c r="E93" s="2">
        <f>IF('Tabela de Jogos'!C93&lt;&gt;"",Carol!W93+E92,E92)</f>
        <v>22</v>
      </c>
      <c r="F93" s="2">
        <f>IF('Tabela de Jogos'!C93&lt;&gt;"",Ana!W93+F92,F92)</f>
        <v>30</v>
      </c>
      <c r="G93" s="2">
        <f>IF('Tabela de Jogos'!C93&lt;&gt;"",Isa!W93+G92,G92)</f>
        <v>19</v>
      </c>
      <c r="H93" s="2">
        <f>IF('Tabela de Jogos'!C93&lt;&gt;"",Trops!W93+H92,H92)</f>
        <v>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22</v>
      </c>
      <c r="C94" s="2">
        <f>IF('Tabela de Jogos'!C94&lt;&gt;"",Arthur!W94+C93,C93)</f>
        <v>33</v>
      </c>
      <c r="D94" s="2">
        <f>IF('Tabela de Jogos'!C94&lt;&gt;"",Dudu!W94+D93,D93)</f>
        <v>11</v>
      </c>
      <c r="E94" s="2">
        <f>IF('Tabela de Jogos'!C94&lt;&gt;"",Carol!W94+E93,E93)</f>
        <v>22</v>
      </c>
      <c r="F94" s="2">
        <f>IF('Tabela de Jogos'!C94&lt;&gt;"",Ana!W94+F93,F93)</f>
        <v>30</v>
      </c>
      <c r="G94" s="2">
        <f>IF('Tabela de Jogos'!C94&lt;&gt;"",Isa!W94+G93,G93)</f>
        <v>19</v>
      </c>
      <c r="H94" s="2">
        <f>IF('Tabela de Jogos'!C94&lt;&gt;"",Trops!W94+H93,H93)</f>
        <v>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22</v>
      </c>
      <c r="C95" s="2">
        <f>IF('Tabela de Jogos'!C95&lt;&gt;"",Arthur!W95+C94,C94)</f>
        <v>33</v>
      </c>
      <c r="D95" s="2">
        <f>IF('Tabela de Jogos'!C95&lt;&gt;"",Dudu!W95+D94,D94)</f>
        <v>11</v>
      </c>
      <c r="E95" s="2">
        <f>IF('Tabela de Jogos'!C95&lt;&gt;"",Carol!W95+E94,E94)</f>
        <v>22</v>
      </c>
      <c r="F95" s="2">
        <f>IF('Tabela de Jogos'!C95&lt;&gt;"",Ana!W95+F94,F94)</f>
        <v>30</v>
      </c>
      <c r="G95" s="2">
        <f>IF('Tabela de Jogos'!C95&lt;&gt;"",Isa!W95+G94,G94)</f>
        <v>19</v>
      </c>
      <c r="H95" s="2">
        <f>IF('Tabela de Jogos'!C95&lt;&gt;"",Trops!W95+H94,H94)</f>
        <v>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22</v>
      </c>
      <c r="C96" s="2">
        <f>IF('Tabela de Jogos'!C96&lt;&gt;"",Arthur!W96+C95,C95)</f>
        <v>33</v>
      </c>
      <c r="D96" s="2">
        <f>IF('Tabela de Jogos'!C96&lt;&gt;"",Dudu!W96+D95,D95)</f>
        <v>11</v>
      </c>
      <c r="E96" s="2">
        <f>IF('Tabela de Jogos'!C96&lt;&gt;"",Carol!W96+E95,E95)</f>
        <v>22</v>
      </c>
      <c r="F96" s="2">
        <f>IF('Tabela de Jogos'!C96&lt;&gt;"",Ana!W96+F95,F95)</f>
        <v>30</v>
      </c>
      <c r="G96" s="2">
        <f>IF('Tabela de Jogos'!C96&lt;&gt;"",Isa!W96+G95,G95)</f>
        <v>19</v>
      </c>
      <c r="H96" s="2">
        <f>IF('Tabela de Jogos'!C96&lt;&gt;"",Trops!W96+H95,H95)</f>
        <v>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22</v>
      </c>
      <c r="C97" s="2">
        <f>IF('Tabela de Jogos'!C97&lt;&gt;"",Arthur!W97+C96,C96)</f>
        <v>33</v>
      </c>
      <c r="D97" s="2">
        <f>IF('Tabela de Jogos'!C97&lt;&gt;"",Dudu!W97+D96,D96)</f>
        <v>11</v>
      </c>
      <c r="E97" s="2">
        <f>IF('Tabela de Jogos'!C97&lt;&gt;"",Carol!W97+E96,E96)</f>
        <v>22</v>
      </c>
      <c r="F97" s="2">
        <f>IF('Tabela de Jogos'!C97&lt;&gt;"",Ana!W97+F96,F96)</f>
        <v>30</v>
      </c>
      <c r="G97" s="2">
        <f>IF('Tabela de Jogos'!C97&lt;&gt;"",Isa!W97+G96,G96)</f>
        <v>19</v>
      </c>
      <c r="H97" s="2">
        <f>IF('Tabela de Jogos'!C97&lt;&gt;"",Trops!W97+H96,H96)</f>
        <v>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22</v>
      </c>
      <c r="C98" s="2">
        <f>IF('Tabela de Jogos'!C98&lt;&gt;"",Arthur!W98+C97,C97)</f>
        <v>33</v>
      </c>
      <c r="D98" s="2">
        <f>IF('Tabela de Jogos'!C98&lt;&gt;"",Dudu!W98+D97,D97)</f>
        <v>11</v>
      </c>
      <c r="E98" s="2">
        <f>IF('Tabela de Jogos'!C98&lt;&gt;"",Carol!W98+E97,E97)</f>
        <v>22</v>
      </c>
      <c r="F98" s="2">
        <f>IF('Tabela de Jogos'!C98&lt;&gt;"",Ana!W98+F97,F97)</f>
        <v>30</v>
      </c>
      <c r="G98" s="2">
        <f>IF('Tabela de Jogos'!C98&lt;&gt;"",Isa!W98+G97,G97)</f>
        <v>19</v>
      </c>
      <c r="H98" s="2">
        <f>IF('Tabela de Jogos'!C98&lt;&gt;"",Trops!W98+H97,H97)</f>
        <v>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22</v>
      </c>
      <c r="C99" s="2">
        <f>IF('Tabela de Jogos'!C99&lt;&gt;"",Arthur!W99+C98,C98)</f>
        <v>33</v>
      </c>
      <c r="D99" s="2">
        <f>IF('Tabela de Jogos'!C99&lt;&gt;"",Dudu!W99+D98,D98)</f>
        <v>11</v>
      </c>
      <c r="E99" s="2">
        <f>IF('Tabela de Jogos'!C99&lt;&gt;"",Carol!W99+E98,E98)</f>
        <v>22</v>
      </c>
      <c r="F99" s="2">
        <f>IF('Tabela de Jogos'!C99&lt;&gt;"",Ana!W99+F98,F98)</f>
        <v>30</v>
      </c>
      <c r="G99" s="2">
        <f>IF('Tabela de Jogos'!C99&lt;&gt;"",Isa!W99+G98,G98)</f>
        <v>19</v>
      </c>
      <c r="H99" s="2">
        <f>IF('Tabela de Jogos'!C99&lt;&gt;"",Trops!W99+H98,H98)</f>
        <v>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22</v>
      </c>
      <c r="C100" s="2">
        <f>IF('Tabela de Jogos'!C100&lt;&gt;"",Arthur!W100+C99,C99)</f>
        <v>33</v>
      </c>
      <c r="D100" s="2">
        <f>IF('Tabela de Jogos'!C100&lt;&gt;"",Dudu!W100+D99,D99)</f>
        <v>11</v>
      </c>
      <c r="E100" s="2">
        <f>IF('Tabela de Jogos'!C100&lt;&gt;"",Carol!W100+E99,E99)</f>
        <v>22</v>
      </c>
      <c r="F100" s="2">
        <f>IF('Tabela de Jogos'!C100&lt;&gt;"",Ana!W100+F99,F99)</f>
        <v>30</v>
      </c>
      <c r="G100" s="2">
        <f>IF('Tabela de Jogos'!C100&lt;&gt;"",Isa!W100+G99,G99)</f>
        <v>19</v>
      </c>
      <c r="H100" s="2">
        <f>IF('Tabela de Jogos'!C100&lt;&gt;"",Trops!W100+H99,H99)</f>
        <v>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22</v>
      </c>
      <c r="C101" s="2">
        <f>IF('Tabela de Jogos'!C101&lt;&gt;"",Arthur!W101+C100,C100)</f>
        <v>33</v>
      </c>
      <c r="D101" s="2">
        <f>IF('Tabela de Jogos'!C101&lt;&gt;"",Dudu!W101+D100,D100)</f>
        <v>11</v>
      </c>
      <c r="E101" s="2">
        <f>IF('Tabela de Jogos'!C101&lt;&gt;"",Carol!W101+E100,E100)</f>
        <v>22</v>
      </c>
      <c r="F101" s="2">
        <f>IF('Tabela de Jogos'!C101&lt;&gt;"",Ana!W101+F100,F100)</f>
        <v>30</v>
      </c>
      <c r="G101" s="2">
        <f>IF('Tabela de Jogos'!C101&lt;&gt;"",Isa!W101+G100,G100)</f>
        <v>19</v>
      </c>
      <c r="H101" s="2">
        <f>IF('Tabela de Jogos'!C101&lt;&gt;"",Trops!W101+H100,H100)</f>
        <v>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22</v>
      </c>
      <c r="C102" s="2">
        <f>IF('Tabela de Jogos'!C102&lt;&gt;"",Arthur!W102+C101,C101)</f>
        <v>33</v>
      </c>
      <c r="D102" s="2">
        <f>IF('Tabela de Jogos'!C102&lt;&gt;"",Dudu!W102+D101,D101)</f>
        <v>11</v>
      </c>
      <c r="E102" s="2">
        <f>IF('Tabela de Jogos'!C102&lt;&gt;"",Carol!W102+E101,E101)</f>
        <v>22</v>
      </c>
      <c r="F102" s="2">
        <f>IF('Tabela de Jogos'!C102&lt;&gt;"",Ana!W102+F101,F101)</f>
        <v>30</v>
      </c>
      <c r="G102" s="2">
        <f>IF('Tabela de Jogos'!C102&lt;&gt;"",Isa!W102+G101,G101)</f>
        <v>19</v>
      </c>
      <c r="H102" s="2">
        <f>IF('Tabela de Jogos'!C102&lt;&gt;"",Trops!W102+H101,H101)</f>
        <v>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22</v>
      </c>
      <c r="C103" s="2">
        <f>IF('Tabela de Jogos'!C103&lt;&gt;"",Arthur!W103+C102,C102)</f>
        <v>33</v>
      </c>
      <c r="D103" s="2">
        <f>IF('Tabela de Jogos'!C103&lt;&gt;"",Dudu!W103+D102,D102)</f>
        <v>11</v>
      </c>
      <c r="E103" s="2">
        <f>IF('Tabela de Jogos'!C103&lt;&gt;"",Carol!W103+E102,E102)</f>
        <v>22</v>
      </c>
      <c r="F103" s="2">
        <f>IF('Tabela de Jogos'!C103&lt;&gt;"",Ana!W103+F102,F102)</f>
        <v>30</v>
      </c>
      <c r="G103" s="2">
        <f>IF('Tabela de Jogos'!C103&lt;&gt;"",Isa!W103+G102,G102)</f>
        <v>19</v>
      </c>
      <c r="H103" s="2">
        <f>IF('Tabela de Jogos'!C103&lt;&gt;"",Trops!W103+H102,H102)</f>
        <v>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22</v>
      </c>
      <c r="C104" s="2">
        <f>IF('Tabela de Jogos'!C104&lt;&gt;"",Arthur!W104+C103,C103)</f>
        <v>33</v>
      </c>
      <c r="D104" s="2">
        <f>IF('Tabela de Jogos'!C104&lt;&gt;"",Dudu!W104+D103,D103)</f>
        <v>11</v>
      </c>
      <c r="E104" s="2">
        <f>IF('Tabela de Jogos'!C104&lt;&gt;"",Carol!W104+E103,E103)</f>
        <v>22</v>
      </c>
      <c r="F104" s="2">
        <f>IF('Tabela de Jogos'!C104&lt;&gt;"",Ana!W104+F103,F103)</f>
        <v>30</v>
      </c>
      <c r="G104" s="2">
        <f>IF('Tabela de Jogos'!C104&lt;&gt;"",Isa!W104+G103,G103)</f>
        <v>19</v>
      </c>
      <c r="H104" s="2">
        <f>IF('Tabela de Jogos'!C104&lt;&gt;"",Trops!W104+H103,H103)</f>
        <v>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22</v>
      </c>
      <c r="C105" s="2">
        <f>IF('Tabela de Jogos'!C105&lt;&gt;"",Arthur!W105+C104,C104)</f>
        <v>33</v>
      </c>
      <c r="D105" s="2">
        <f>IF('Tabela de Jogos'!C105&lt;&gt;"",Dudu!W105+D104,D104)</f>
        <v>11</v>
      </c>
      <c r="E105" s="2">
        <f>IF('Tabela de Jogos'!C105&lt;&gt;"",Carol!W105+E104,E104)</f>
        <v>22</v>
      </c>
      <c r="F105" s="2">
        <f>IF('Tabela de Jogos'!C105&lt;&gt;"",Ana!W105+F104,F104)</f>
        <v>30</v>
      </c>
      <c r="G105" s="2">
        <f>IF('Tabela de Jogos'!C105&lt;&gt;"",Isa!W105+G104,G104)</f>
        <v>19</v>
      </c>
      <c r="H105" s="2">
        <f>IF('Tabela de Jogos'!C105&lt;&gt;"",Trops!W105+H104,H104)</f>
        <v>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22</v>
      </c>
      <c r="C106" s="2">
        <f>IF('Tabela de Jogos'!C106&lt;&gt;"",Arthur!W106+C105,C105)</f>
        <v>33</v>
      </c>
      <c r="D106" s="2">
        <f>IF('Tabela de Jogos'!C106&lt;&gt;"",Dudu!W106+D105,D105)</f>
        <v>11</v>
      </c>
      <c r="E106" s="2">
        <f>IF('Tabela de Jogos'!C106&lt;&gt;"",Carol!W106+E105,E105)</f>
        <v>22</v>
      </c>
      <c r="F106" s="2">
        <f>IF('Tabela de Jogos'!C106&lt;&gt;"",Ana!W106+F105,F105)</f>
        <v>30</v>
      </c>
      <c r="G106" s="2">
        <f>IF('Tabela de Jogos'!C106&lt;&gt;"",Isa!W106+G105,G105)</f>
        <v>19</v>
      </c>
      <c r="H106" s="2">
        <f>IF('Tabela de Jogos'!C106&lt;&gt;"",Trops!W106+H105,H105)</f>
        <v>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2026-06-17T15:33:24Z</dcterms:modified>
  <cp:category/>
  <cp:contentStatus/>
</cp:coreProperties>
</file>