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7C0A48AB-17FF-4DA2-A8F0-F10957138C25}" xr6:coauthVersionLast="47" xr6:coauthVersionMax="47" xr10:uidLastSave="{00000000-0000-0000-0000-000000000000}"/>
  <bookViews>
    <workbookView xWindow="-96" yWindow="0" windowWidth="11424" windowHeight="12336" firstSheet="8" activeTab="9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31" i="5" l="1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32" i="3"/>
  <c r="K33" i="3"/>
  <c r="K34" i="3"/>
  <c r="K35" i="3"/>
  <c r="L35" i="3"/>
  <c r="N35" i="3"/>
  <c r="O35" i="3"/>
  <c r="P35" i="3"/>
  <c r="K36" i="3"/>
  <c r="L36" i="3"/>
  <c r="N36" i="3"/>
  <c r="O36" i="3"/>
  <c r="P36" i="3"/>
  <c r="K37" i="3"/>
  <c r="L37" i="3"/>
  <c r="N37" i="3"/>
  <c r="O37" i="3"/>
  <c r="P37" i="3"/>
  <c r="K38" i="3"/>
  <c r="L38" i="3"/>
  <c r="N38" i="3"/>
  <c r="O38" i="3"/>
  <c r="P38" i="3"/>
  <c r="K39" i="3"/>
  <c r="L39" i="3"/>
  <c r="N39" i="3"/>
  <c r="O39" i="3"/>
  <c r="P39" i="3"/>
  <c r="K40" i="3"/>
  <c r="L40" i="3"/>
  <c r="N40" i="3"/>
  <c r="O40" i="3"/>
  <c r="P40" i="3"/>
  <c r="K41" i="3"/>
  <c r="L41" i="3"/>
  <c r="N41" i="3"/>
  <c r="O41" i="3"/>
  <c r="P41" i="3"/>
  <c r="K42" i="3"/>
  <c r="L42" i="3"/>
  <c r="N42" i="3"/>
  <c r="O42" i="3"/>
  <c r="P42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J35" i="7"/>
  <c r="I35" i="7"/>
  <c r="G35" i="7"/>
  <c r="N34" i="7"/>
  <c r="J34" i="7"/>
  <c r="I34" i="7"/>
  <c r="G34" i="7"/>
  <c r="N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J34" i="4"/>
  <c r="I34" i="4"/>
  <c r="G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1" i="6"/>
  <c r="R31" i="6"/>
  <c r="Q31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35" i="10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22" i="4"/>
  <c r="R22" i="4"/>
  <c r="Q22" i="4"/>
  <c r="S10" i="4"/>
  <c r="R10" i="4"/>
  <c r="Q10" i="4"/>
  <c r="T39" i="10"/>
  <c r="S38" i="10"/>
  <c r="S37" i="10"/>
  <c r="Q37" i="10"/>
  <c r="R36" i="10"/>
  <c r="T35" i="10"/>
  <c r="S34" i="10"/>
  <c r="R32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42" i="10"/>
  <c r="U39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84" i="4"/>
  <c r="T77" i="4"/>
  <c r="T93" i="9"/>
  <c r="T60" i="4"/>
  <c r="T59" i="4"/>
  <c r="T58" i="4"/>
  <c r="T57" i="4"/>
  <c r="T35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3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31" i="8"/>
  <c r="T29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39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39" i="5"/>
  <c r="T35" i="5"/>
  <c r="T8" i="5"/>
  <c r="T6" i="5"/>
  <c r="T5" i="5"/>
  <c r="T71" i="4"/>
  <c r="T53" i="4"/>
  <c r="T42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41" i="6"/>
  <c r="T86" i="5"/>
  <c r="T63" i="5"/>
  <c r="T61" i="5"/>
  <c r="T58" i="5"/>
  <c r="T54" i="5"/>
  <c r="T10" i="6"/>
  <c r="T93" i="5"/>
  <c r="T37" i="5"/>
  <c r="T33" i="5"/>
  <c r="T32" i="5"/>
  <c r="T4" i="5"/>
  <c r="T78" i="4"/>
  <c r="T70" i="4"/>
  <c r="T68" i="4"/>
  <c r="T103" i="9"/>
  <c r="T61" i="4"/>
  <c r="T52" i="4"/>
  <c r="T41" i="4"/>
  <c r="T40" i="4"/>
  <c r="T38" i="4"/>
  <c r="T37" i="4"/>
  <c r="T36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42" i="5"/>
  <c r="U31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10" i="4"/>
  <c r="W10" i="4" a="1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T34" i="9" l="1"/>
  <c r="U34" i="9"/>
  <c r="W34" i="9" a="1"/>
  <c r="O34" i="3" s="1"/>
  <c r="T33" i="9"/>
  <c r="T32" i="9"/>
  <c r="U32" i="9"/>
  <c r="T31" i="9"/>
  <c r="O31" i="5"/>
  <c r="R31" i="5" s="1"/>
  <c r="S31" i="5"/>
  <c r="Q31" i="5"/>
  <c r="S34" i="6"/>
  <c r="R34" i="6"/>
  <c r="Q34" i="6"/>
  <c r="W33" i="6" a="1"/>
  <c r="L33" i="3" s="1"/>
  <c r="S32" i="6"/>
  <c r="R32" i="6"/>
  <c r="Q32" i="6"/>
  <c r="T31" i="6"/>
  <c r="U31" i="6" s="1"/>
  <c r="T34" i="8"/>
  <c r="U34" i="8" s="1"/>
  <c r="U33" i="8"/>
  <c r="S32" i="8"/>
  <c r="R32" i="8"/>
  <c r="Q32" i="8"/>
  <c r="W31" i="8" a="1"/>
  <c r="N31" i="3" s="1"/>
  <c r="U34" i="10"/>
  <c r="S33" i="10"/>
  <c r="Q33" i="10"/>
  <c r="R33" i="10"/>
  <c r="T33" i="10"/>
  <c r="Q32" i="10"/>
  <c r="S32" i="10"/>
  <c r="T32" i="10"/>
  <c r="U32" i="10" s="1"/>
  <c r="S31" i="10"/>
  <c r="R31" i="10"/>
  <c r="Q31" i="10"/>
  <c r="L31" i="7"/>
  <c r="L32" i="7"/>
  <c r="L33" i="7"/>
  <c r="L34" i="7"/>
  <c r="L34" i="4"/>
  <c r="L33" i="4"/>
  <c r="L32" i="4"/>
  <c r="L31" i="4"/>
  <c r="L35" i="7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35" i="4" a="1"/>
  <c r="J35" i="3" s="1"/>
  <c r="W36" i="4" a="1"/>
  <c r="J36" i="3" s="1"/>
  <c r="W37" i="4" a="1"/>
  <c r="J37" i="3" s="1"/>
  <c r="W38" i="4" a="1"/>
  <c r="J38" i="3" s="1"/>
  <c r="W40" i="4" a="1"/>
  <c r="J40" i="3" s="1"/>
  <c r="W41" i="4" a="1"/>
  <c r="J41" i="3" s="1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1" i="7"/>
  <c r="R31" i="7"/>
  <c r="Q31" i="7"/>
  <c r="S30" i="7"/>
  <c r="R30" i="7"/>
  <c r="Q30" i="7"/>
  <c r="S29" i="7"/>
  <c r="R29" i="7"/>
  <c r="Q29" i="7"/>
  <c r="R34" i="7"/>
  <c r="S33" i="7"/>
  <c r="R33" i="7"/>
  <c r="Q33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U39" i="4"/>
  <c r="T29" i="7"/>
  <c r="R20" i="7"/>
  <c r="R18" i="7"/>
  <c r="S21" i="7"/>
  <c r="S19" i="7"/>
  <c r="Q19" i="7"/>
  <c r="R19" i="7"/>
  <c r="S15" i="7"/>
  <c r="Q12" i="7"/>
  <c r="S12" i="7"/>
  <c r="T87" i="4"/>
  <c r="U87" i="4" s="1"/>
  <c r="Q34" i="7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4" i="7"/>
  <c r="S32" i="7"/>
  <c r="Q3" i="7"/>
  <c r="Q22" i="7"/>
  <c r="S16" i="7"/>
  <c r="R10" i="7"/>
  <c r="S9" i="7"/>
  <c r="S8" i="7"/>
  <c r="Q7" i="7"/>
  <c r="S6" i="7"/>
  <c r="S5" i="7"/>
  <c r="S4" i="7"/>
  <c r="U99" i="7"/>
  <c r="U42" i="4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U33" i="9" l="1"/>
  <c r="W33" i="9" a="1"/>
  <c r="O33" i="3" s="1"/>
  <c r="W32" i="9" a="1"/>
  <c r="O32" i="3" s="1"/>
  <c r="U31" i="9"/>
  <c r="T31" i="5"/>
  <c r="U31" i="5" s="1"/>
  <c r="T34" i="6"/>
  <c r="U34" i="6" s="1"/>
  <c r="W34" i="6" a="1"/>
  <c r="L34" i="3" s="1"/>
  <c r="T32" i="6"/>
  <c r="U32" i="6" s="1"/>
  <c r="W31" i="6" a="1"/>
  <c r="L31" i="3" s="1"/>
  <c r="W34" i="8" a="1"/>
  <c r="N34" i="3" s="1"/>
  <c r="W33" i="8" a="1"/>
  <c r="N33" i="3" s="1"/>
  <c r="T32" i="8"/>
  <c r="W34" i="10" a="1"/>
  <c r="P34" i="3" s="1"/>
  <c r="U33" i="10"/>
  <c r="W32" i="10" a="1"/>
  <c r="P32" i="3" s="1"/>
  <c r="T31" i="10"/>
  <c r="T33" i="7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T34" i="7"/>
  <c r="U31" i="7"/>
  <c r="W31" i="7" s="1" a="1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W39" i="4" a="1"/>
  <c r="J39" i="3" s="1"/>
  <c r="W42" i="4" a="1"/>
  <c r="J42" i="3" s="1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W31" i="9" l="1" a="1"/>
  <c r="O31" i="3" s="1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33" i="7"/>
  <c r="W33" i="7" s="1" a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U34" i="7"/>
  <c r="W34" i="7" s="1" a="1"/>
  <c r="M34" i="3" s="1"/>
  <c r="M17" i="3"/>
  <c r="M11" i="3"/>
  <c r="M3" i="3"/>
  <c r="E3" i="3"/>
  <c r="M31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M33" i="3" l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J4" i="3" l="1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7" i="2"/>
  <c r="E8" i="2" l="1"/>
  <c r="E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<sst xmlns="http://schemas.openxmlformats.org/spreadsheetml/2006/main" count="355" uniqueCount="77">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</sst>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48</c:v>
                </c:pt>
                <c:pt idx="30">
                  <c:v>48</c:v>
                </c:pt>
                <c:pt idx="31">
                  <c:v>48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48</c:v>
                </c:pt>
                <c:pt idx="37">
                  <c:v>48</c:v>
                </c:pt>
                <c:pt idx="38">
                  <c:v>48</c:v>
                </c:pt>
                <c:pt idx="39">
                  <c:v>48</c:v>
                </c:pt>
                <c:pt idx="40">
                  <c:v>48</c:v>
                </c:pt>
                <c:pt idx="41">
                  <c:v>48</c:v>
                </c:pt>
                <c:pt idx="42">
                  <c:v>48</c:v>
                </c:pt>
                <c:pt idx="43">
                  <c:v>48</c:v>
                </c:pt>
                <c:pt idx="44">
                  <c:v>48</c:v>
                </c:pt>
                <c:pt idx="45">
                  <c:v>48</c:v>
                </c:pt>
                <c:pt idx="46">
                  <c:v>48</c:v>
                </c:pt>
                <c:pt idx="47">
                  <c:v>48</c:v>
                </c:pt>
                <c:pt idx="48">
                  <c:v>48</c:v>
                </c:pt>
                <c:pt idx="49">
                  <c:v>48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48</c:v>
                </c:pt>
                <c:pt idx="55">
                  <c:v>48</c:v>
                </c:pt>
                <c:pt idx="56">
                  <c:v>48</c:v>
                </c:pt>
                <c:pt idx="57">
                  <c:v>48</c:v>
                </c:pt>
                <c:pt idx="58">
                  <c:v>48</c:v>
                </c:pt>
                <c:pt idx="59">
                  <c:v>48</c:v>
                </c:pt>
                <c:pt idx="60">
                  <c:v>48</c:v>
                </c:pt>
                <c:pt idx="61">
                  <c:v>48</c:v>
                </c:pt>
                <c:pt idx="62">
                  <c:v>48</c:v>
                </c:pt>
                <c:pt idx="63">
                  <c:v>48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48</c:v>
                </c:pt>
                <c:pt idx="84">
                  <c:v>48</c:v>
                </c:pt>
                <c:pt idx="85">
                  <c:v>48</c:v>
                </c:pt>
                <c:pt idx="86">
                  <c:v>48</c:v>
                </c:pt>
                <c:pt idx="87">
                  <c:v>48</c:v>
                </c:pt>
                <c:pt idx="88">
                  <c:v>48</c:v>
                </c:pt>
                <c:pt idx="89">
                  <c:v>48</c:v>
                </c:pt>
                <c:pt idx="90">
                  <c:v>48</c:v>
                </c:pt>
                <c:pt idx="91">
                  <c:v>48</c:v>
                </c:pt>
                <c:pt idx="92">
                  <c:v>48</c:v>
                </c:pt>
                <c:pt idx="93">
                  <c:v>48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48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48</c:v>
                </c:pt>
                <c:pt idx="103">
                  <c:v>48</c:v>
                </c:pt>
                <c:pt idx="104">
                  <c:v>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48</c:v>
                </c:pt>
                <c:pt idx="30">
                  <c:v>48</c:v>
                </c:pt>
                <c:pt idx="31">
                  <c:v>48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48</c:v>
                </c:pt>
                <c:pt idx="37">
                  <c:v>48</c:v>
                </c:pt>
                <c:pt idx="38">
                  <c:v>48</c:v>
                </c:pt>
                <c:pt idx="39">
                  <c:v>48</c:v>
                </c:pt>
                <c:pt idx="40">
                  <c:v>48</c:v>
                </c:pt>
                <c:pt idx="41">
                  <c:v>48</c:v>
                </c:pt>
                <c:pt idx="42">
                  <c:v>48</c:v>
                </c:pt>
                <c:pt idx="43">
                  <c:v>48</c:v>
                </c:pt>
                <c:pt idx="44">
                  <c:v>48</c:v>
                </c:pt>
                <c:pt idx="45">
                  <c:v>48</c:v>
                </c:pt>
                <c:pt idx="46">
                  <c:v>48</c:v>
                </c:pt>
                <c:pt idx="47">
                  <c:v>48</c:v>
                </c:pt>
                <c:pt idx="48">
                  <c:v>48</c:v>
                </c:pt>
                <c:pt idx="49">
                  <c:v>48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48</c:v>
                </c:pt>
                <c:pt idx="55">
                  <c:v>48</c:v>
                </c:pt>
                <c:pt idx="56">
                  <c:v>48</c:v>
                </c:pt>
                <c:pt idx="57">
                  <c:v>48</c:v>
                </c:pt>
                <c:pt idx="58">
                  <c:v>48</c:v>
                </c:pt>
                <c:pt idx="59">
                  <c:v>48</c:v>
                </c:pt>
                <c:pt idx="60">
                  <c:v>48</c:v>
                </c:pt>
                <c:pt idx="61">
                  <c:v>48</c:v>
                </c:pt>
                <c:pt idx="62">
                  <c:v>48</c:v>
                </c:pt>
                <c:pt idx="63">
                  <c:v>48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48</c:v>
                </c:pt>
                <c:pt idx="84">
                  <c:v>48</c:v>
                </c:pt>
                <c:pt idx="85">
                  <c:v>48</c:v>
                </c:pt>
                <c:pt idx="86">
                  <c:v>48</c:v>
                </c:pt>
                <c:pt idx="87">
                  <c:v>48</c:v>
                </c:pt>
                <c:pt idx="88">
                  <c:v>48</c:v>
                </c:pt>
                <c:pt idx="89">
                  <c:v>48</c:v>
                </c:pt>
                <c:pt idx="90">
                  <c:v>48</c:v>
                </c:pt>
                <c:pt idx="91">
                  <c:v>48</c:v>
                </c:pt>
                <c:pt idx="92">
                  <c:v>48</c:v>
                </c:pt>
                <c:pt idx="93">
                  <c:v>48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48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48</c:v>
                </c:pt>
                <c:pt idx="103">
                  <c:v>48</c:v>
                </c:pt>
                <c:pt idx="104">
                  <c:v>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31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31</c:v>
                </c:pt>
                <c:pt idx="93">
                  <c:v>31</c:v>
                </c:pt>
                <c:pt idx="94">
                  <c:v>31</c:v>
                </c:pt>
                <c:pt idx="95">
                  <c:v>31</c:v>
                </c:pt>
                <c:pt idx="96">
                  <c:v>31</c:v>
                </c:pt>
                <c:pt idx="97">
                  <c:v>31</c:v>
                </c:pt>
                <c:pt idx="98">
                  <c:v>31</c:v>
                </c:pt>
                <c:pt idx="99">
                  <c:v>31</c:v>
                </c:pt>
                <c:pt idx="100">
                  <c:v>31</c:v>
                </c:pt>
                <c:pt idx="101">
                  <c:v>31</c:v>
                </c:pt>
                <c:pt idx="102">
                  <c:v>31</c:v>
                </c:pt>
                <c:pt idx="103">
                  <c:v>31</c:v>
                </c:pt>
                <c:pt idx="10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7" workbookViewId="0">
      <selection activeCell="C31" sqref="C3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33</v>
      </c>
      <c r="C3" s="1">
        <f>Rodrigo!Y3</f>
        <v>1</v>
      </c>
      <c r="E3" s="1">
        <v>1</v>
      </c>
      <c r="F3" s="1" t="str" cm="1">
        <f t="array" ref="F3:H9">_xlfn.SORTBY(A3:C9,B3:B9,-1,C3:C9,-1,A3:A9,1)</f>
        <v>Ana</v>
      </c>
      <c r="G3" s="1">
        <v>48</v>
      </c>
      <c r="H3" s="1">
        <v>3</v>
      </c>
    </row>
    <row r="4" spans="1:8" x14ac:dyDescent="0.45">
      <c r="A4" s="1" t="s">
        <v>62</v>
      </c>
      <c r="B4" s="1">
        <f>Arthur!X3</f>
        <v>48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48</v>
      </c>
      <c r="H4" s="1">
        <v>2</v>
      </c>
    </row>
    <row r="5" spans="1:8" x14ac:dyDescent="0.45">
      <c r="A5" s="1" t="s">
        <v>63</v>
      </c>
      <c r="B5" s="1">
        <f>Dudu!X3</f>
        <v>23</v>
      </c>
      <c r="C5" s="1">
        <f>Dudu!Y3</f>
        <v>1</v>
      </c>
      <c r="E5" s="1">
        <f>IF(AND(G5=G4,H5=H4),E4,3)</f>
        <v>3</v>
      </c>
      <c r="F5" s="1" t="str">
        <v>Carol</v>
      </c>
      <c r="G5" s="1">
        <v>33</v>
      </c>
      <c r="H5" s="1">
        <v>1</v>
      </c>
    </row>
    <row r="6" spans="1:8" x14ac:dyDescent="0.45">
      <c r="A6" s="1" t="s">
        <v>64</v>
      </c>
      <c r="B6" s="1">
        <f>Carol!X3</f>
        <v>33</v>
      </c>
      <c r="C6" s="1">
        <f>Carol!Y3</f>
        <v>1</v>
      </c>
      <c r="E6" s="1">
        <f>IF(AND(G6=G5,H6=H5),E5,4)</f>
        <v>3</v>
      </c>
      <c r="F6" s="1" t="str">
        <v>Rodrigo</v>
      </c>
      <c r="G6" s="1">
        <v>33</v>
      </c>
      <c r="H6" s="1">
        <v>1</v>
      </c>
    </row>
    <row r="7" spans="1:8" x14ac:dyDescent="0.45">
      <c r="A7" s="1" t="s">
        <v>65</v>
      </c>
      <c r="B7" s="1">
        <f>Ana!X3</f>
        <v>48</v>
      </c>
      <c r="C7" s="1">
        <f>Ana!Y3</f>
        <v>3</v>
      </c>
      <c r="E7" s="1">
        <f>IF(AND(G7=G6,H7=H6),E6,5)</f>
        <v>5</v>
      </c>
      <c r="F7" s="1" t="str">
        <v>Isa</v>
      </c>
      <c r="G7" s="1">
        <v>32</v>
      </c>
      <c r="H7" s="1">
        <v>0</v>
      </c>
    </row>
    <row r="8" spans="1:8" x14ac:dyDescent="0.45">
      <c r="A8" s="1" t="s">
        <v>66</v>
      </c>
      <c r="B8" s="1">
        <f>Isa!X3</f>
        <v>32</v>
      </c>
      <c r="C8" s="1">
        <f>Isa!Y3</f>
        <v>0</v>
      </c>
      <c r="E8" s="1">
        <f>IF(AND(G8=G7,H8=H7),E7,6)</f>
        <v>6</v>
      </c>
      <c r="F8" s="1" t="str">
        <v>Trops</v>
      </c>
      <c r="G8" s="1">
        <v>31</v>
      </c>
      <c r="H8" s="1">
        <v>0</v>
      </c>
    </row>
    <row r="9" spans="1:8" x14ac:dyDescent="0.45">
      <c r="A9" s="1" t="s">
        <v>67</v>
      </c>
      <c r="B9" s="1">
        <f>Trops!X3</f>
        <v>31</v>
      </c>
      <c r="C9" s="1">
        <f>Trops!Y3</f>
        <v>0</v>
      </c>
      <c r="E9" s="1">
        <f>IF(AND(G9=G8,H9=H8),E8,7)</f>
        <v>7</v>
      </c>
      <c r="F9" s="1" t="str">
        <v>Dudu</v>
      </c>
      <c r="G9" s="1">
        <v>23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L35" sqref="L3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>A2</f>
        <v>Jogo</v>
      </c>
      <c r="J2" s="3" t="str">
        <f>B2</f>
        <v>Seleção A</v>
      </c>
      <c r="K2" s="3" t="str">
        <f>C2</f>
        <v>Gols A</v>
      </c>
      <c r="L2" s="3" t="str">
        <f>D2</f>
        <v>x</v>
      </c>
      <c r="M2" s="3" t="str">
        <f>E2</f>
        <v>Gols B</v>
      </c>
      <c r="N2" s="3" t="str">
        <f>F2</f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>D3</f>
        <v>x</v>
      </c>
      <c r="M3" s="3">
        <v>1</v>
      </c>
      <c r="N3" s="3" t="str">
        <f>F3</f>
        <v>África do Sul</v>
      </c>
      <c r="O3" s="3" t="str">
        <f>IF(K3&gt;M3,J3,IF(M3&gt;K3,N3,IF(ISBLANK(K3),"-","Empate")))</f>
        <v>México</v>
      </c>
      <c r="P3" s="3"/>
      <c r="Q3" s="3" t="b">
        <f>IF(AND(O3=G3,K3=C3,M3=E3,ISBLANK(K3)&lt;&gt;TRUE),TRUE,FALSE)</f>
        <v>0</v>
      </c>
      <c r="R3" s="3" t="b">
        <f>IF(OR(AND(O3=G3,K3=C3,K3&gt;M3,M3&lt;&gt;E3,ISBLANK(K3)&lt;&gt;TRUE),AND(O3=G3,M3&gt;K3,K3&lt;&gt;C3,M3=E3,ISBLANK(K3)&lt;&gt;TRUE)),TRUE,FALSE)</f>
        <v>1</v>
      </c>
      <c r="S3" s="3" t="b">
        <f>IF(AND(O3=G3,ABS(K3-M3)=ABS(C3-E3),OR(K3&lt;&gt;C3,M3&lt;&gt;E3),ISBLANK(K3)&lt;&gt;TRUE),TRUE,FALSE)</f>
        <v>0</v>
      </c>
      <c r="T3" s="3" t="b">
        <f>IF(OR(AND(O3=G3,Q3=FALSE,R3=FALSE,S3=FALSE,G3&lt;&gt;"-"),AND(O3="Empate",S3=TRUE)),TRUE,FALSE)</f>
        <v>0</v>
      </c>
      <c r="U3" s="3" t="b">
        <f t="shared" ref="U3:U106" si="0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">A4</f>
        <v>2</v>
      </c>
      <c r="J4" s="3" t="str">
        <f t="shared" si="1"/>
        <v>Coreia do Sul</v>
      </c>
      <c r="K4" s="3">
        <v>1</v>
      </c>
      <c r="L4" s="3" t="str">
        <f>D4</f>
        <v>x</v>
      </c>
      <c r="M4" s="3">
        <v>2</v>
      </c>
      <c r="N4" s="3" t="str">
        <f>F4</f>
        <v>Tchéquia</v>
      </c>
      <c r="O4" s="3" t="str">
        <f>IF(K4&gt;M4,J4,IF(M4&gt;K4,N4,IF(ISBLANK(K4),"-","Empate")))</f>
        <v>Tchéquia</v>
      </c>
      <c r="P4" s="3"/>
      <c r="Q4" s="3" t="b">
        <f>IF(AND(O4=G4,K4=C4,M4=E4,ISBLANK(K4)&lt;&gt;TRUE),TRUE,FALSE)</f>
        <v>0</v>
      </c>
      <c r="R4" s="3" t="b">
        <f>IF(OR(AND(O4=G4,K4=C4,K4&gt;M4,M4&lt;&gt;E4,ISBLANK(K4)&lt;&gt;TRUE),AND(O4=G4,M4&gt;K4,K4&lt;&gt;C4,M4=E4,ISBLANK(K4)&lt;&gt;TRUE)),TRUE,FALSE)</f>
        <v>0</v>
      </c>
      <c r="S4" s="3" t="b">
        <f>IF(AND(O4=G4,ABS(K4-M4)=ABS(C4-E4),OR(K4&lt;&gt;C4,M4&lt;&gt;E4),ISBLANK(K4)&lt;&gt;TRUE),TRUE,FALSE)</f>
        <v>0</v>
      </c>
      <c r="T4" s="3" t="b">
        <f>IF(OR(AND(O4=G4,Q4=FALSE,R4=FALSE,S4=FALSE,G4&lt;&gt;"-"),AND(O4="Empate",S4=TRUE)),TRUE,FALSE)</f>
        <v>0</v>
      </c>
      <c r="U4" s="3" t="b">
        <f t="shared" si="0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2">A5</f>
        <v>3</v>
      </c>
      <c r="J5" s="3" t="str">
        <f t="shared" si="2"/>
        <v>Canadá</v>
      </c>
      <c r="K5" s="3">
        <v>2</v>
      </c>
      <c r="L5" s="3" t="str">
        <f>D5</f>
        <v>x</v>
      </c>
      <c r="M5" s="3">
        <v>0</v>
      </c>
      <c r="N5" s="3" t="str">
        <f>F5</f>
        <v>Bósnia</v>
      </c>
      <c r="O5" s="3" t="str">
        <f>IF(K5&gt;M5,J5,IF(M5&gt;K5,N5,IF(ISBLANK(K5),"-","Empate")))</f>
        <v>Canadá</v>
      </c>
      <c r="P5" s="3"/>
      <c r="Q5" s="3" t="b">
        <f>IF(AND(O5=G5,K5=C5,M5=E5,ISBLANK(K5)&lt;&gt;TRUE),TRUE,FALSE)</f>
        <v>0</v>
      </c>
      <c r="R5" s="3" t="b">
        <f>IF(OR(AND(O5=G5,K5=C5,K5&gt;M5,M5&lt;&gt;E5,ISBLANK(K5)&lt;&gt;TRUE),AND(O5=G5,M5&gt;K5,K5&lt;&gt;C5,M5=E5,ISBLANK(K5)&lt;&gt;TRUE)),TRUE,FALSE)</f>
        <v>0</v>
      </c>
      <c r="S5" s="3" t="b">
        <f>IF(AND(O5=G5,ABS(K5-M5)=ABS(C5-E5),OR(K5&lt;&gt;C5,M5&lt;&gt;E5),ISBLANK(K5)&lt;&gt;TRUE),TRUE,FALSE)</f>
        <v>0</v>
      </c>
      <c r="T5" s="3" t="b">
        <f>IF(OR(AND(O5=G5,Q5=FALSE,R5=FALSE,S5=FALSE,G5&lt;&gt;"-"),AND(O5="Empate",S5=TRUE)),TRUE,FALSE)</f>
        <v>0</v>
      </c>
      <c r="U5" s="3" t="b">
        <f t="shared" si="0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3">A6</f>
        <v>4</v>
      </c>
      <c r="J6" s="3" t="str">
        <f t="shared" si="3"/>
        <v>EUA</v>
      </c>
      <c r="K6" s="3">
        <v>1</v>
      </c>
      <c r="L6" s="3" t="str">
        <f>D6</f>
        <v>x</v>
      </c>
      <c r="M6" s="3">
        <v>0</v>
      </c>
      <c r="N6" s="3" t="str">
        <f>F6</f>
        <v>Paraguai</v>
      </c>
      <c r="O6" s="3" t="str">
        <f>IF(K6&gt;M6,J6,IF(M6&gt;K6,N6,IF(ISBLANK(K6),"-","Empate")))</f>
        <v>EUA</v>
      </c>
      <c r="P6" s="3"/>
      <c r="Q6" s="3" t="b">
        <f>IF(AND(O6=G6,K6=C6,M6=E6,ISBLANK(K6)&lt;&gt;TRUE),TRUE,FALSE)</f>
        <v>0</v>
      </c>
      <c r="R6" s="3" t="b">
        <f>IF(OR(AND(O6=G6,K6=C6,K6&gt;M6,M6&lt;&gt;E6,ISBLANK(K6)&lt;&gt;TRUE),AND(O6=G6,M6&gt;K6,K6&lt;&gt;C6,M6=E6,ISBLANK(K6)&lt;&gt;TRUE)),TRUE,FALSE)</f>
        <v>0</v>
      </c>
      <c r="S6" s="3" t="b">
        <f>IF(AND(O6=G6,ABS(K6-M6)=ABS(C6-E6),OR(K6&lt;&gt;C6,M6&lt;&gt;E6),ISBLANK(K6)&lt;&gt;TRUE),TRUE,FALSE)</f>
        <v>0</v>
      </c>
      <c r="T6" s="3" t="b">
        <f>IF(OR(AND(O6=G6,Q6=FALSE,R6=FALSE,S6=FALSE,G6&lt;&gt;"-"),AND(O6="Empate",S6=TRUE)),TRUE,FALSE)</f>
        <v>1</v>
      </c>
      <c r="U6" s="3" t="b">
        <f t="shared" si="0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4">A7</f>
        <v>5</v>
      </c>
      <c r="J7" s="3" t="str">
        <f t="shared" si="4"/>
        <v>Catar</v>
      </c>
      <c r="K7" s="3">
        <v>0</v>
      </c>
      <c r="L7" s="3" t="str">
        <f>D7</f>
        <v>x</v>
      </c>
      <c r="M7" s="3">
        <v>3</v>
      </c>
      <c r="N7" s="3" t="str">
        <f>F7</f>
        <v>Suíça</v>
      </c>
      <c r="O7" s="3" t="str">
        <f>IF(K7&gt;M7,J7,IF(M7&gt;K7,N7,IF(ISBLANK(K7),"-","Empate")))</f>
        <v>Suíça</v>
      </c>
      <c r="P7" s="3"/>
      <c r="Q7" s="3" t="b">
        <f>IF(AND(O7=G7,K7=C7,M7=E7,ISBLANK(K7)&lt;&gt;TRUE),TRUE,FALSE)</f>
        <v>0</v>
      </c>
      <c r="R7" s="3" t="b">
        <f>IF(OR(AND(O7=G7,K7=C7,K7&gt;M7,M7&lt;&gt;E7,ISBLANK(K7)&lt;&gt;TRUE),AND(O7=G7,M7&gt;K7,K7&lt;&gt;C7,M7=E7,ISBLANK(K7)&lt;&gt;TRUE)),TRUE,FALSE)</f>
        <v>0</v>
      </c>
      <c r="S7" s="3" t="b">
        <f>IF(AND(O7=G7,ABS(K7-M7)=ABS(C7-E7),OR(K7&lt;&gt;C7,M7&lt;&gt;E7),ISBLANK(K7)&lt;&gt;TRUE),TRUE,FALSE)</f>
        <v>0</v>
      </c>
      <c r="T7" s="3" t="b">
        <f>IF(OR(AND(O7=G7,Q7=FALSE,R7=FALSE,S7=FALSE,G7&lt;&gt;"-"),AND(O7="Empate",S7=TRUE)),TRUE,FALSE)</f>
        <v>0</v>
      </c>
      <c r="U7" s="3" t="b">
        <f t="shared" si="0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5">A8</f>
        <v>6</v>
      </c>
      <c r="J8" s="3" t="str">
        <f t="shared" si="5"/>
        <v>Brasil</v>
      </c>
      <c r="K8" s="3">
        <v>2</v>
      </c>
      <c r="L8" s="3" t="str">
        <f>D8</f>
        <v>x</v>
      </c>
      <c r="M8" s="3">
        <v>1</v>
      </c>
      <c r="N8" s="3" t="str">
        <f>F8</f>
        <v>Marrocos</v>
      </c>
      <c r="O8" s="3" t="str">
        <f>IF(K8&gt;M8,J8,IF(M8&gt;K8,N8,IF(ISBLANK(K8),"-","Empate")))</f>
        <v>Brasil</v>
      </c>
      <c r="P8" s="3"/>
      <c r="Q8" s="3" t="b">
        <f>IF(AND(O8=G8,K8=C8,M8=E8,ISBLANK(K8)&lt;&gt;TRUE),TRUE,FALSE)</f>
        <v>0</v>
      </c>
      <c r="R8" s="3" t="b">
        <f>IF(OR(AND(O8=G8,K8=C8,K8&gt;M8,M8&lt;&gt;E8,ISBLANK(K8)&lt;&gt;TRUE),AND(O8=G8,M8&gt;K8,K8&lt;&gt;C8,M8=E8,ISBLANK(K8)&lt;&gt;TRUE)),TRUE,FALSE)</f>
        <v>0</v>
      </c>
      <c r="S8" s="3" t="b">
        <f>IF(AND(O8=G8,ABS(K8-M8)=ABS(C8-E8),OR(K8&lt;&gt;C8,M8&lt;&gt;E8),ISBLANK(K8)&lt;&gt;TRUE),TRUE,FALSE)</f>
        <v>0</v>
      </c>
      <c r="T8" s="3" t="b">
        <f>IF(OR(AND(O8=G8,Q8=FALSE,R8=FALSE,S8=FALSE,G8&lt;&gt;"-"),AND(O8="Empate",S8=TRUE)),TRUE,FALSE)</f>
        <v>0</v>
      </c>
      <c r="U8" s="3" t="b">
        <f t="shared" si="0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6">A9</f>
        <v>7</v>
      </c>
      <c r="J9" s="3" t="str">
        <f t="shared" si="6"/>
        <v>Haiti</v>
      </c>
      <c r="K9" s="3">
        <v>0</v>
      </c>
      <c r="L9" s="3" t="str">
        <f>D9</f>
        <v>x</v>
      </c>
      <c r="M9" s="3">
        <v>2</v>
      </c>
      <c r="N9" s="3" t="str">
        <f>F9</f>
        <v>Escócia</v>
      </c>
      <c r="O9" s="3" t="str">
        <f>IF(K9&gt;M9,J9,IF(M9&gt;K9,N9,IF(ISBLANK(K9),"-","Empate")))</f>
        <v>Escócia</v>
      </c>
      <c r="P9" s="3"/>
      <c r="Q9" s="3" t="b">
        <f>IF(AND(O9=G9,K9=C9,M9=E9,ISBLANK(K9)&lt;&gt;TRUE),TRUE,FALSE)</f>
        <v>0</v>
      </c>
      <c r="R9" s="3" t="b">
        <f>IF(OR(AND(O9=G9,K9=C9,K9&gt;M9,M9&lt;&gt;E9,ISBLANK(K9)&lt;&gt;TRUE),AND(O9=G9,M9&gt;K9,K9&lt;&gt;C9,M9=E9,ISBLANK(K9)&lt;&gt;TRUE)),TRUE,FALSE)</f>
        <v>0</v>
      </c>
      <c r="S9" s="3" t="b">
        <f>IF(AND(O9=G9,ABS(K9-M9)=ABS(C9-E9),OR(K9&lt;&gt;C9,M9&lt;&gt;E9),ISBLANK(K9)&lt;&gt;TRUE),TRUE,FALSE)</f>
        <v>0</v>
      </c>
      <c r="T9" s="3" t="b">
        <f>IF(OR(AND(O9=G9,Q9=FALSE,R9=FALSE,S9=FALSE,G9&lt;&gt;"-"),AND(O9="Empate",S9=TRUE)),TRUE,FALSE)</f>
        <v>1</v>
      </c>
      <c r="U9" s="3" t="b">
        <f t="shared" si="0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7">A10</f>
        <v>8</v>
      </c>
      <c r="J10" s="3" t="str">
        <f t="shared" si="7"/>
        <v>Austrália</v>
      </c>
      <c r="K10" s="3">
        <v>1</v>
      </c>
      <c r="L10" s="3" t="str">
        <f>D10</f>
        <v>x</v>
      </c>
      <c r="M10" s="3">
        <v>1</v>
      </c>
      <c r="N10" s="3" t="str">
        <f>F10</f>
        <v>Turquia</v>
      </c>
      <c r="O10" s="3" t="str">
        <f>IF(K10&gt;M10,J10,IF(M10&gt;K10,N10,IF(ISBLANK(K10),"-","Empate")))</f>
        <v>Empate</v>
      </c>
      <c r="P10" s="3"/>
      <c r="Q10" s="3" t="b">
        <f>IF(AND(O10=G10,K10=C10,M10=E10,ISBLANK(K10)&lt;&gt;TRUE),TRUE,FALSE)</f>
        <v>0</v>
      </c>
      <c r="R10" s="3" t="b">
        <f>IF(OR(AND(O10=G10,K10=C10,K10&gt;M10,M10&lt;&gt;E10,ISBLANK(K10)&lt;&gt;TRUE),AND(O10=G10,M10&gt;K10,K10&lt;&gt;C10,M10=E10,ISBLANK(K10)&lt;&gt;TRUE)),TRUE,FALSE)</f>
        <v>0</v>
      </c>
      <c r="S10" s="3" t="b">
        <f>IF(AND(O10=G10,ABS(K10-M10)=ABS(C10-E10),OR(K10&lt;&gt;C10,M10&lt;&gt;E10),ISBLANK(K10)&lt;&gt;TRUE),TRUE,FALSE)</f>
        <v>0</v>
      </c>
      <c r="T10" s="3" t="b">
        <f>IF(OR(AND(O10=G10,Q10=FALSE,R10=FALSE,S10=FALSE,G10&lt;&gt;"-"),AND(O10="Empate",S10=TRUE)),TRUE,FALSE)</f>
        <v>0</v>
      </c>
      <c r="U10" s="3" t="b">
        <f t="shared" si="0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8">A11</f>
        <v>9</v>
      </c>
      <c r="J11" s="3" t="str">
        <f t="shared" si="8"/>
        <v>Alemanha</v>
      </c>
      <c r="K11" s="3">
        <v>5</v>
      </c>
      <c r="L11" s="3" t="str">
        <f>D11</f>
        <v>x</v>
      </c>
      <c r="M11" s="3">
        <v>0</v>
      </c>
      <c r="N11" s="3" t="str">
        <f>F11</f>
        <v>Curaçao</v>
      </c>
      <c r="O11" s="3" t="str">
        <f>IF(K11&gt;M11,J11,IF(M11&gt;K11,N11,IF(ISBLANK(K11),"-","Empate")))</f>
        <v>Alemanha</v>
      </c>
      <c r="P11" s="3"/>
      <c r="Q11" s="3" t="b">
        <f>IF(AND(O11=G11,K11=C11,M11=E11,ISBLANK(K11)&lt;&gt;TRUE),TRUE,FALSE)</f>
        <v>0</v>
      </c>
      <c r="R11" s="3" t="b">
        <f>IF(OR(AND(O11=G11,K11=C11,K11&gt;M11,M11&lt;&gt;E11,ISBLANK(K11)&lt;&gt;TRUE),AND(O11=G11,M11&gt;K11,K11&lt;&gt;C11,M11=E11,ISBLANK(K11)&lt;&gt;TRUE)),TRUE,FALSE)</f>
        <v>0</v>
      </c>
      <c r="S11" s="3" t="b">
        <f>IF(AND(O11=G11,ABS(K11-M11)=ABS(C11-E11),OR(K11&lt;&gt;C11,M11&lt;&gt;E11),ISBLANK(K11)&lt;&gt;TRUE),TRUE,FALSE)</f>
        <v>0</v>
      </c>
      <c r="T11" s="3" t="b">
        <f>IF(OR(AND(O11=G11,Q11=FALSE,R11=FALSE,S11=FALSE,G11&lt;&gt;"-"),AND(O11="Empate",S11=TRUE)),TRUE,FALSE)</f>
        <v>1</v>
      </c>
      <c r="U11" s="3" t="b">
        <f t="shared" si="0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9">A12</f>
        <v>10</v>
      </c>
      <c r="J12" s="3" t="str">
        <f t="shared" si="9"/>
        <v>Holanda</v>
      </c>
      <c r="K12" s="3">
        <v>1</v>
      </c>
      <c r="L12" s="3" t="str">
        <f>D12</f>
        <v>x</v>
      </c>
      <c r="M12" s="3">
        <v>2</v>
      </c>
      <c r="N12" s="3" t="str">
        <f>F12</f>
        <v>Japão</v>
      </c>
      <c r="O12" s="3" t="str">
        <f>IF(K12&gt;M12,J12,IF(M12&gt;K12,N12,IF(ISBLANK(K12),"-","Empate")))</f>
        <v>Japão</v>
      </c>
      <c r="P12" s="3"/>
      <c r="Q12" s="3" t="b">
        <f>IF(AND(O12=G12,K12=C12,M12=E12,ISBLANK(K12)&lt;&gt;TRUE),TRUE,FALSE)</f>
        <v>0</v>
      </c>
      <c r="R12" s="3" t="b">
        <f>IF(OR(AND(O12=G12,K12=C12,K12&gt;M12,M12&lt;&gt;E12,ISBLANK(K12)&lt;&gt;TRUE),AND(O12=G12,M12&gt;K12,K12&lt;&gt;C12,M12=E12,ISBLANK(K12)&lt;&gt;TRUE)),TRUE,FALSE)</f>
        <v>0</v>
      </c>
      <c r="S12" s="3" t="b">
        <f>IF(AND(O12=G12,ABS(K12-M12)=ABS(C12-E12),OR(K12&lt;&gt;C12,M12&lt;&gt;E12),ISBLANK(K12)&lt;&gt;TRUE),TRUE,FALSE)</f>
        <v>0</v>
      </c>
      <c r="T12" s="3" t="b">
        <f>IF(OR(AND(O12=G12,Q12=FALSE,R12=FALSE,S12=FALSE,G12&lt;&gt;"-"),AND(O12="Empate",S12=TRUE)),TRUE,FALSE)</f>
        <v>0</v>
      </c>
      <c r="U12" s="3" t="b">
        <f t="shared" si="0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0">A13</f>
        <v>11</v>
      </c>
      <c r="J13" s="3" t="str">
        <f t="shared" si="10"/>
        <v>Costa do Marfim</v>
      </c>
      <c r="K13" s="3">
        <v>1</v>
      </c>
      <c r="L13" s="3" t="str">
        <f>D13</f>
        <v>x</v>
      </c>
      <c r="M13" s="3">
        <v>1</v>
      </c>
      <c r="N13" s="3" t="str">
        <f>F13</f>
        <v>Equador</v>
      </c>
      <c r="O13" s="3" t="str">
        <f>IF(K13&gt;M13,J13,IF(M13&gt;K13,N13,IF(ISBLANK(K13),"-","Empate")))</f>
        <v>Empate</v>
      </c>
      <c r="P13" s="3"/>
      <c r="Q13" s="3" t="b">
        <f>IF(AND(O13=G13,K13=C13,M13=E13,ISBLANK(K13)&lt;&gt;TRUE),TRUE,FALSE)</f>
        <v>0</v>
      </c>
      <c r="R13" s="3" t="b">
        <f>IF(OR(AND(O13=G13,K13=C13,K13&gt;M13,M13&lt;&gt;E13,ISBLANK(K13)&lt;&gt;TRUE),AND(O13=G13,M13&gt;K13,K13&lt;&gt;C13,M13=E13,ISBLANK(K13)&lt;&gt;TRUE)),TRUE,FALSE)</f>
        <v>0</v>
      </c>
      <c r="S13" s="3" t="b">
        <f>IF(AND(O13=G13,ABS(K13-M13)=ABS(C13-E13),OR(K13&lt;&gt;C13,M13&lt;&gt;E13),ISBLANK(K13)&lt;&gt;TRUE),TRUE,FALSE)</f>
        <v>0</v>
      </c>
      <c r="T13" s="3" t="b">
        <f>IF(OR(AND(O13=G13,Q13=FALSE,R13=FALSE,S13=FALSE,G13&lt;&gt;"-"),AND(O13="Empate",S13=TRUE)),TRUE,FALSE)</f>
        <v>0</v>
      </c>
      <c r="U13" s="3" t="b">
        <f t="shared" si="0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1">A14</f>
        <v>12</v>
      </c>
      <c r="J14" s="3" t="str">
        <f t="shared" si="11"/>
        <v>Suécia</v>
      </c>
      <c r="K14" s="3">
        <v>1</v>
      </c>
      <c r="L14" s="3" t="str">
        <f>D14</f>
        <v>x</v>
      </c>
      <c r="M14" s="3">
        <v>0</v>
      </c>
      <c r="N14" s="3" t="str">
        <f>F14</f>
        <v>Tunísia</v>
      </c>
      <c r="O14" s="3" t="str">
        <f>IF(K14&gt;M14,J14,IF(M14&gt;K14,N14,IF(ISBLANK(K14),"-","Empate")))</f>
        <v>Suécia</v>
      </c>
      <c r="P14" s="3"/>
      <c r="Q14" s="3" t="b">
        <f>IF(AND(O14=G14,K14=C14,M14=E14,ISBLANK(K14)&lt;&gt;TRUE),TRUE,FALSE)</f>
        <v>0</v>
      </c>
      <c r="R14" s="3" t="b">
        <f>IF(OR(AND(O14=G14,K14=C14,K14&gt;M14,M14&lt;&gt;E14,ISBLANK(K14)&lt;&gt;TRUE),AND(O14=G14,M14&gt;K14,K14&lt;&gt;C14,M14=E14,ISBLANK(K14)&lt;&gt;TRUE)),TRUE,FALSE)</f>
        <v>0</v>
      </c>
      <c r="S14" s="3" t="b">
        <f>IF(AND(O14=G14,ABS(K14-M14)=ABS(C14-E14),OR(K14&lt;&gt;C14,M14&lt;&gt;E14),ISBLANK(K14)&lt;&gt;TRUE),TRUE,FALSE)</f>
        <v>0</v>
      </c>
      <c r="T14" s="3" t="b">
        <f>IF(OR(AND(O14=G14,Q14=FALSE,R14=FALSE,S14=FALSE,G14&lt;&gt;"-"),AND(O14="Empate",S14=TRUE)),TRUE,FALSE)</f>
        <v>1</v>
      </c>
      <c r="U14" s="3" t="b">
        <f t="shared" si="0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12">A15</f>
        <v>13</v>
      </c>
      <c r="J15" s="3" t="str">
        <f t="shared" si="12"/>
        <v>Espanha</v>
      </c>
      <c r="K15" s="3">
        <v>6</v>
      </c>
      <c r="L15" s="3" t="str">
        <f>D15</f>
        <v>x</v>
      </c>
      <c r="M15" s="3">
        <v>0</v>
      </c>
      <c r="N15" s="3" t="str">
        <f>F15</f>
        <v>Cabo Verde</v>
      </c>
      <c r="O15" s="3" t="str">
        <f>IF(K15&gt;M15,J15,IF(M15&gt;K15,N15,IF(ISBLANK(K15),"-","Empate")))</f>
        <v>Espanha</v>
      </c>
      <c r="P15" s="3"/>
      <c r="Q15" s="3" t="b">
        <f>IF(AND(O15=G15,K15=C15,M15=E15,ISBLANK(K15)&lt;&gt;TRUE),TRUE,FALSE)</f>
        <v>0</v>
      </c>
      <c r="R15" s="3" t="b">
        <f>IF(OR(AND(O15=G15,K15=C15,K15&gt;M15,M15&lt;&gt;E15,ISBLANK(K15)&lt;&gt;TRUE),AND(O15=G15,M15&gt;K15,K15&lt;&gt;C15,M15=E15,ISBLANK(K15)&lt;&gt;TRUE)),TRUE,FALSE)</f>
        <v>0</v>
      </c>
      <c r="S15" s="3" t="b">
        <f>IF(AND(O15=G15,ABS(K15-M15)=ABS(C15-E15),OR(K15&lt;&gt;C15,M15&lt;&gt;E15),ISBLANK(K15)&lt;&gt;TRUE),TRUE,FALSE)</f>
        <v>0</v>
      </c>
      <c r="T15" s="3" t="b">
        <f>IF(OR(AND(O15=G15,Q15=FALSE,R15=FALSE,S15=FALSE,G15&lt;&gt;"-"),AND(O15="Empate",S15=TRUE)),TRUE,FALSE)</f>
        <v>0</v>
      </c>
      <c r="U15" s="3" t="b">
        <f t="shared" si="0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13">A16</f>
        <v>14</v>
      </c>
      <c r="J16" s="3" t="str">
        <f t="shared" si="13"/>
        <v>Bélgica</v>
      </c>
      <c r="K16" s="3">
        <v>2</v>
      </c>
      <c r="L16" s="3" t="str">
        <f>D16</f>
        <v>x</v>
      </c>
      <c r="M16" s="3">
        <v>1</v>
      </c>
      <c r="N16" s="3" t="str">
        <f>F16</f>
        <v>Egito</v>
      </c>
      <c r="O16" s="3" t="str">
        <f>IF(K16&gt;M16,J16,IF(M16&gt;K16,N16,IF(ISBLANK(K16),"-","Empate")))</f>
        <v>Bélgica</v>
      </c>
      <c r="P16" s="3"/>
      <c r="Q16" s="3" t="b">
        <f>IF(AND(O16=G16,K16=C16,M16=E16,ISBLANK(K16)&lt;&gt;TRUE),TRUE,FALSE)</f>
        <v>0</v>
      </c>
      <c r="R16" s="3" t="b">
        <f>IF(OR(AND(O16=G16,K16=C16,K16&gt;M16,M16&lt;&gt;E16,ISBLANK(K16)&lt;&gt;TRUE),AND(O16=G16,M16&gt;K16,K16&lt;&gt;C16,M16=E16,ISBLANK(K16)&lt;&gt;TRUE)),TRUE,FALSE)</f>
        <v>0</v>
      </c>
      <c r="S16" s="3" t="b">
        <f>IF(AND(O16=G16,ABS(K16-M16)=ABS(C16-E16),OR(K16&lt;&gt;C16,M16&lt;&gt;E16),ISBLANK(K16)&lt;&gt;TRUE),TRUE,FALSE)</f>
        <v>0</v>
      </c>
      <c r="T16" s="3" t="b">
        <f>IF(OR(AND(O16=G16,Q16=FALSE,R16=FALSE,S16=FALSE,G16&lt;&gt;"-"),AND(O16="Empate",S16=TRUE)),TRUE,FALSE)</f>
        <v>0</v>
      </c>
      <c r="U16" s="3" t="b">
        <f t="shared" si="0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14">A17</f>
        <v>15</v>
      </c>
      <c r="J17" s="3" t="str">
        <f t="shared" si="14"/>
        <v>Arábia Saudita</v>
      </c>
      <c r="K17" s="3">
        <v>0</v>
      </c>
      <c r="L17" s="3" t="str">
        <f>D17</f>
        <v>x</v>
      </c>
      <c r="M17" s="3">
        <v>2</v>
      </c>
      <c r="N17" s="3" t="str">
        <f>F17</f>
        <v>Uruguai</v>
      </c>
      <c r="O17" s="3" t="str">
        <f>IF(K17&gt;M17,J17,IF(M17&gt;K17,N17,IF(ISBLANK(K17),"-","Empate")))</f>
        <v>Uruguai</v>
      </c>
      <c r="P17" s="3"/>
      <c r="Q17" s="3" t="b">
        <f>IF(AND(O17=G17,K17=C17,M17=E17,ISBLANK(K17)&lt;&gt;TRUE),TRUE,FALSE)</f>
        <v>0</v>
      </c>
      <c r="R17" s="3" t="b">
        <f>IF(OR(AND(O17=G17,K17=C17,K17&gt;M17,M17&lt;&gt;E17,ISBLANK(K17)&lt;&gt;TRUE),AND(O17=G17,M17&gt;K17,K17&lt;&gt;C17,M17=E17,ISBLANK(K17)&lt;&gt;TRUE)),TRUE,FALSE)</f>
        <v>0</v>
      </c>
      <c r="S17" s="3" t="b">
        <f>IF(AND(O17=G17,ABS(K17-M17)=ABS(C17-E17),OR(K17&lt;&gt;C17,M17&lt;&gt;E17),ISBLANK(K17)&lt;&gt;TRUE),TRUE,FALSE)</f>
        <v>0</v>
      </c>
      <c r="T17" s="3" t="b">
        <f>IF(OR(AND(O17=G17,Q17=FALSE,R17=FALSE,S17=FALSE,G17&lt;&gt;"-"),AND(O17="Empate",S17=TRUE)),TRUE,FALSE)</f>
        <v>0</v>
      </c>
      <c r="U17" s="3" t="b">
        <f t="shared" si="0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15">A18</f>
        <v>16</v>
      </c>
      <c r="J18" s="3" t="str">
        <f t="shared" si="15"/>
        <v>Irã</v>
      </c>
      <c r="K18" s="3">
        <v>1</v>
      </c>
      <c r="L18" s="3" t="str">
        <f>D18</f>
        <v>x</v>
      </c>
      <c r="M18" s="3">
        <v>0</v>
      </c>
      <c r="N18" s="3" t="str">
        <f>F18</f>
        <v>Nova Zelândia</v>
      </c>
      <c r="O18" s="3" t="str">
        <f>IF(K18&gt;M18,J18,IF(M18&gt;K18,N18,IF(ISBLANK(K18),"-","Empate")))</f>
        <v>Irã</v>
      </c>
      <c r="P18" s="3"/>
      <c r="Q18" s="3" t="b">
        <f>IF(AND(O18=G18,K18=C18,M18=E18,ISBLANK(K18)&lt;&gt;TRUE),TRUE,FALSE)</f>
        <v>0</v>
      </c>
      <c r="R18" s="3" t="b">
        <f>IF(OR(AND(O18=G18,K18=C18,K18&gt;M18,M18&lt;&gt;E18,ISBLANK(K18)&lt;&gt;TRUE),AND(O18=G18,M18&gt;K18,K18&lt;&gt;C18,M18=E18,ISBLANK(K18)&lt;&gt;TRUE)),TRUE,FALSE)</f>
        <v>0</v>
      </c>
      <c r="S18" s="3" t="b">
        <f>IF(AND(O18=G18,ABS(K18-M18)=ABS(C18-E18),OR(K18&lt;&gt;C18,M18&lt;&gt;E18),ISBLANK(K18)&lt;&gt;TRUE),TRUE,FALSE)</f>
        <v>0</v>
      </c>
      <c r="T18" s="3" t="b">
        <f>IF(OR(AND(O18=G18,Q18=FALSE,R18=FALSE,S18=FALSE,G18&lt;&gt;"-"),AND(O18="Empate",S18=TRUE)),TRUE,FALSE)</f>
        <v>0</v>
      </c>
      <c r="U18" s="3" t="b">
        <f t="shared" si="0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16">A19</f>
        <v>17</v>
      </c>
      <c r="J19" s="3" t="str">
        <f t="shared" si="16"/>
        <v>França</v>
      </c>
      <c r="K19" s="3">
        <v>3</v>
      </c>
      <c r="L19" s="3" t="str">
        <f>D19</f>
        <v>x</v>
      </c>
      <c r="M19" s="3">
        <v>1</v>
      </c>
      <c r="N19" s="3" t="str">
        <f>F19</f>
        <v>Senegal</v>
      </c>
      <c r="O19" s="3" t="str">
        <f>IF(K19&gt;M19,J19,IF(M19&gt;K19,N19,IF(ISBLANK(K19),"-","Empate")))</f>
        <v>França</v>
      </c>
      <c r="P19" s="3"/>
      <c r="Q19" s="3" t="b">
        <f>IF(AND(O19=G19,K19=C19,M19=E19,ISBLANK(K19)&lt;&gt;TRUE),TRUE,FALSE)</f>
        <v>1</v>
      </c>
      <c r="R19" s="3" t="b">
        <f>IF(OR(AND(O19=G19,K19=C19,K19&gt;M19,M19&lt;&gt;E19,ISBLANK(K19)&lt;&gt;TRUE),AND(O19=G19,M19&gt;K19,K19&lt;&gt;C19,M19=E19,ISBLANK(K19)&lt;&gt;TRUE)),TRUE,FALSE)</f>
        <v>0</v>
      </c>
      <c r="S19" s="3" t="b">
        <f>IF(AND(O19=G19,ABS(K19-M19)=ABS(C19-E19),OR(K19&lt;&gt;C19,M19&lt;&gt;E19),ISBLANK(K19)&lt;&gt;TRUE),TRUE,FALSE)</f>
        <v>0</v>
      </c>
      <c r="T19" s="3" t="b">
        <f>IF(OR(AND(O19=G19,Q19=FALSE,R19=FALSE,S19=FALSE,G19&lt;&gt;"-"),AND(O19="Empate",S19=TRUE)),TRUE,FALSE)</f>
        <v>0</v>
      </c>
      <c r="U19" s="3" t="b">
        <f t="shared" si="0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17">A20</f>
        <v>18</v>
      </c>
      <c r="J20" s="3" t="str">
        <f t="shared" si="17"/>
        <v>Iraque</v>
      </c>
      <c r="K20" s="3">
        <v>0</v>
      </c>
      <c r="L20" s="3" t="str">
        <f>D20</f>
        <v>x</v>
      </c>
      <c r="M20" s="3">
        <v>2</v>
      </c>
      <c r="N20" s="3" t="str">
        <f>F20</f>
        <v>Noruega</v>
      </c>
      <c r="O20" s="3" t="str">
        <f>IF(K20&gt;M20,J20,IF(M20&gt;K20,N20,IF(ISBLANK(K20),"-","Empate")))</f>
        <v>Noruega</v>
      </c>
      <c r="P20" s="3"/>
      <c r="Q20" s="3" t="b">
        <f>IF(AND(O20=G20,K20=C20,M20=E20,ISBLANK(K20)&lt;&gt;TRUE),TRUE,FALSE)</f>
        <v>0</v>
      </c>
      <c r="R20" s="3" t="b">
        <f>IF(OR(AND(O20=G20,K20=C20,K20&gt;M20,M20&lt;&gt;E20,ISBLANK(K20)&lt;&gt;TRUE),AND(O20=G20,M20&gt;K20,K20&lt;&gt;C20,M20=E20,ISBLANK(K20)&lt;&gt;TRUE)),TRUE,FALSE)</f>
        <v>0</v>
      </c>
      <c r="S20" s="3" t="b">
        <f>IF(AND(O20=G20,ABS(K20-M20)=ABS(C20-E20),OR(K20&lt;&gt;C20,M20&lt;&gt;E20),ISBLANK(K20)&lt;&gt;TRUE),TRUE,FALSE)</f>
        <v>0</v>
      </c>
      <c r="T20" s="3" t="b">
        <f>IF(OR(AND(O20=G20,Q20=FALSE,R20=FALSE,S20=FALSE,G20&lt;&gt;"-"),AND(O20="Empate",S20=TRUE)),TRUE,FALSE)</f>
        <v>1</v>
      </c>
      <c r="U20" s="3" t="b">
        <f t="shared" si="0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18">A21</f>
        <v>19</v>
      </c>
      <c r="J21" s="3" t="str">
        <f t="shared" si="18"/>
        <v>Argentina</v>
      </c>
      <c r="K21" s="3">
        <v>1</v>
      </c>
      <c r="L21" s="3" t="str">
        <f>D21</f>
        <v>x</v>
      </c>
      <c r="M21" s="3">
        <v>0</v>
      </c>
      <c r="N21" s="3" t="str">
        <f>F21</f>
        <v>Argélia</v>
      </c>
      <c r="O21" s="3" t="str">
        <f>IF(K21&gt;M21,J21,IF(M21&gt;K21,N21,IF(ISBLANK(K21),"-","Empate")))</f>
        <v>Argentina</v>
      </c>
      <c r="P21" s="3"/>
      <c r="Q21" s="3" t="b">
        <f>IF(AND(O21=G21,K21=C21,M21=E21,ISBLANK(K21)&lt;&gt;TRUE),TRUE,FALSE)</f>
        <v>0</v>
      </c>
      <c r="R21" s="3" t="b">
        <f>IF(OR(AND(O21=G21,K21=C21,K21&gt;M21,M21&lt;&gt;E21,ISBLANK(K21)&lt;&gt;TRUE),AND(O21=G21,M21&gt;K21,K21&lt;&gt;C21,M21=E21,ISBLANK(K21)&lt;&gt;TRUE)),TRUE,FALSE)</f>
        <v>0</v>
      </c>
      <c r="S21" s="3" t="b">
        <f>IF(AND(O21=G21,ABS(K21-M21)=ABS(C21-E21),OR(K21&lt;&gt;C21,M21&lt;&gt;E21),ISBLANK(K21)&lt;&gt;TRUE),TRUE,FALSE)</f>
        <v>0</v>
      </c>
      <c r="T21" s="3" t="b">
        <f>IF(OR(AND(O21=G21,Q21=FALSE,R21=FALSE,S21=FALSE,G21&lt;&gt;"-"),AND(O21="Empate",S21=TRUE)),TRUE,FALSE)</f>
        <v>1</v>
      </c>
      <c r="U21" s="3" t="b">
        <f t="shared" si="0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19">A22</f>
        <v>20</v>
      </c>
      <c r="J22" s="3" t="str">
        <f t="shared" si="19"/>
        <v>Áustria</v>
      </c>
      <c r="K22" s="3">
        <v>1</v>
      </c>
      <c r="L22" s="3" t="str">
        <f>D22</f>
        <v>x</v>
      </c>
      <c r="M22" s="3">
        <v>1</v>
      </c>
      <c r="N22" s="3" t="str">
        <f>F22</f>
        <v>Jordânia</v>
      </c>
      <c r="O22" s="3" t="str">
        <f>IF(K22&gt;M22,J22,IF(M22&gt;K22,N22,IF(ISBLANK(K22),"-","Empate")))</f>
        <v>Empate</v>
      </c>
      <c r="P22" s="3"/>
      <c r="Q22" s="3" t="b">
        <f>IF(AND(O22=G22,K22=C22,M22=E22,ISBLANK(K22)&lt;&gt;TRUE),TRUE,FALSE)</f>
        <v>0</v>
      </c>
      <c r="R22" s="3" t="b">
        <f>IF(OR(AND(O22=G22,K22=C22,K22&gt;M22,M22&lt;&gt;E22,ISBLANK(K22)&lt;&gt;TRUE),AND(O22=G22,M22&gt;K22,K22&lt;&gt;C22,M22=E22,ISBLANK(K22)&lt;&gt;TRUE)),TRUE,FALSE)</f>
        <v>0</v>
      </c>
      <c r="S22" s="3" t="b">
        <f>IF(AND(O22=G22,ABS(K22-M22)=ABS(C22-E22),OR(K22&lt;&gt;C22,M22&lt;&gt;E22),ISBLANK(K22)&lt;&gt;TRUE),TRUE,FALSE)</f>
        <v>0</v>
      </c>
      <c r="T22" s="3" t="b">
        <f>IF(OR(AND(O22=G22,Q22=FALSE,R22=FALSE,S22=FALSE,G22&lt;&gt;"-"),AND(O22="Empate",S22=TRUE)),TRUE,FALSE)</f>
        <v>0</v>
      </c>
      <c r="U22" s="3" t="b">
        <f t="shared" si="0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0">A23</f>
        <v>21</v>
      </c>
      <c r="J23" s="3" t="str">
        <f t="shared" si="20"/>
        <v>Portugal</v>
      </c>
      <c r="K23" s="3">
        <v>4</v>
      </c>
      <c r="L23" s="3" t="str">
        <f>D23</f>
        <v>x</v>
      </c>
      <c r="M23" s="3">
        <v>0</v>
      </c>
      <c r="N23" s="3" t="str">
        <f>F23</f>
        <v>RD Congo</v>
      </c>
      <c r="O23" s="3" t="str">
        <f>IF(K23&gt;M23,J23,IF(M23&gt;K23,N23,IF(ISBLANK(K23),"-","Empate")))</f>
        <v>Portugal</v>
      </c>
      <c r="P23" s="3"/>
      <c r="Q23" s="3" t="b">
        <f>IF(AND(O23=G23,K23=C23,M23=E23,ISBLANK(K23)&lt;&gt;TRUE),TRUE,FALSE)</f>
        <v>0</v>
      </c>
      <c r="R23" s="3" t="b">
        <f>IF(OR(AND(O23=G23,K23=C23,K23&gt;M23,M23&lt;&gt;E23,ISBLANK(K23)&lt;&gt;TRUE),AND(O23=G23,M23&gt;K23,K23&lt;&gt;C23,M23=E23,ISBLANK(K23)&lt;&gt;TRUE)),TRUE,FALSE)</f>
        <v>0</v>
      </c>
      <c r="S23" s="3" t="b">
        <f>IF(AND(O23=G23,ABS(K23-M23)=ABS(C23-E23),OR(K23&lt;&gt;C23,M23&lt;&gt;E23),ISBLANK(K23)&lt;&gt;TRUE),TRUE,FALSE)</f>
        <v>0</v>
      </c>
      <c r="T23" s="3" t="b">
        <f>IF(OR(AND(O23=G23,Q23=FALSE,R23=FALSE,S23=FALSE,G23&lt;&gt;"-"),AND(O23="Empate",S23=TRUE)),TRUE,FALSE)</f>
        <v>0</v>
      </c>
      <c r="U23" s="3" t="b">
        <f t="shared" si="0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1">A24</f>
        <v>22</v>
      </c>
      <c r="J24" s="3" t="str">
        <f t="shared" si="21"/>
        <v>Inglaterra</v>
      </c>
      <c r="K24" s="3">
        <v>2</v>
      </c>
      <c r="L24" s="3" t="str">
        <f>D24</f>
        <v>x</v>
      </c>
      <c r="M24" s="3">
        <v>1</v>
      </c>
      <c r="N24" s="3" t="str">
        <f>F24</f>
        <v>Croácia</v>
      </c>
      <c r="O24" s="3" t="str">
        <f>IF(K24&gt;M24,J24,IF(M24&gt;K24,N24,IF(ISBLANK(K24),"-","Empate")))</f>
        <v>Inglaterra</v>
      </c>
      <c r="P24" s="3"/>
      <c r="Q24" s="3" t="b">
        <f>IF(AND(O24=G24,K24=C24,M24=E24,ISBLANK(K24)&lt;&gt;TRUE),TRUE,FALSE)</f>
        <v>0</v>
      </c>
      <c r="R24" s="3" t="b">
        <f>IF(OR(AND(O24=G24,K24=C24,K24&gt;M24,M24&lt;&gt;E24,ISBLANK(K24)&lt;&gt;TRUE),AND(O24=G24,M24&gt;K24,K24&lt;&gt;C24,M24=E24,ISBLANK(K24)&lt;&gt;TRUE)),TRUE,FALSE)</f>
        <v>0</v>
      </c>
      <c r="S24" s="3" t="b">
        <f>IF(AND(O24=G24,ABS(K24-M24)=ABS(C24-E24),OR(K24&lt;&gt;C24,M24&lt;&gt;E24),ISBLANK(K24)&lt;&gt;TRUE),TRUE,FALSE)</f>
        <v>0</v>
      </c>
      <c r="T24" s="3" t="b">
        <f>IF(OR(AND(O24=G24,Q24=FALSE,R24=FALSE,S24=FALSE,G24&lt;&gt;"-"),AND(O24="Empate",S24=TRUE)),TRUE,FALSE)</f>
        <v>1</v>
      </c>
      <c r="U24" s="3" t="b">
        <f t="shared" si="0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22">A25</f>
        <v>23</v>
      </c>
      <c r="J25" s="3" t="str">
        <f t="shared" si="22"/>
        <v>Gana</v>
      </c>
      <c r="K25" s="3">
        <v>3</v>
      </c>
      <c r="L25" s="3" t="str">
        <f>D25</f>
        <v>x</v>
      </c>
      <c r="M25" s="3">
        <v>1</v>
      </c>
      <c r="N25" s="3" t="str">
        <f>F25</f>
        <v>Panamá</v>
      </c>
      <c r="O25" s="3" t="str">
        <f>IF(K25&gt;M25,J25,IF(M25&gt;K25,N25,IF(ISBLANK(K25),"-","Empate")))</f>
        <v>Gana</v>
      </c>
      <c r="P25" s="3"/>
      <c r="Q25" s="3" t="b">
        <f>IF(AND(O25=G25,K25=C25,M25=E25,ISBLANK(K25)&lt;&gt;TRUE),TRUE,FALSE)</f>
        <v>0</v>
      </c>
      <c r="R25" s="3" t="b">
        <f>IF(OR(AND(O25=G25,K25=C25,K25&gt;M25,M25&lt;&gt;E25,ISBLANK(K25)&lt;&gt;TRUE),AND(O25=G25,M25&gt;K25,K25&lt;&gt;C25,M25=E25,ISBLANK(K25)&lt;&gt;TRUE)),TRUE,FALSE)</f>
        <v>0</v>
      </c>
      <c r="S25" s="3" t="b">
        <f>IF(AND(O25=G25,ABS(K25-M25)=ABS(C25-E25),OR(K25&lt;&gt;C25,M25&lt;&gt;E25),ISBLANK(K25)&lt;&gt;TRUE),TRUE,FALSE)</f>
        <v>0</v>
      </c>
      <c r="T25" s="3" t="b">
        <f>IF(OR(AND(O25=G25,Q25=FALSE,R25=FALSE,S25=FALSE,G25&lt;&gt;"-"),AND(O25="Empate",S25=TRUE)),TRUE,FALSE)</f>
        <v>1</v>
      </c>
      <c r="U25" s="3" t="b">
        <f t="shared" si="0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23">A26</f>
        <v>24</v>
      </c>
      <c r="J26" s="3" t="str">
        <f t="shared" si="23"/>
        <v>Uzbequistão</v>
      </c>
      <c r="K26" s="3">
        <v>0</v>
      </c>
      <c r="L26" s="3" t="str">
        <f>D26</f>
        <v>x</v>
      </c>
      <c r="M26" s="3">
        <v>2</v>
      </c>
      <c r="N26" s="3" t="str">
        <f>F26</f>
        <v>Colômbia</v>
      </c>
      <c r="O26" s="3" t="str">
        <f>IF(K26&gt;M26,J26,IF(M26&gt;K26,N26,IF(ISBLANK(K26),"-","Empate")))</f>
        <v>Colômbia</v>
      </c>
      <c r="P26" s="3"/>
      <c r="Q26" s="3" t="b">
        <f>IF(AND(O26=G26,K26=C26,M26=E26,ISBLANK(K26)&lt;&gt;TRUE),TRUE,FALSE)</f>
        <v>0</v>
      </c>
      <c r="R26" s="3" t="b">
        <f>IF(OR(AND(O26=G26,K26=C26,K26&gt;M26,M26&lt;&gt;E26,ISBLANK(K26)&lt;&gt;TRUE),AND(O26=G26,M26&gt;K26,K26&lt;&gt;C26,M26=E26,ISBLANK(K26)&lt;&gt;TRUE)),TRUE,FALSE)</f>
        <v>0</v>
      </c>
      <c r="S26" s="3" t="b">
        <f>IF(AND(O26=G26,ABS(K26-M26)=ABS(C26-E26),OR(K26&lt;&gt;C26,M26&lt;&gt;E26),ISBLANK(K26)&lt;&gt;TRUE),TRUE,FALSE)</f>
        <v>1</v>
      </c>
      <c r="T26" s="3" t="b">
        <f>IF(OR(AND(O26=G26,Q26=FALSE,R26=FALSE,S26=FALSE,G26&lt;&gt;"-"),AND(O26="Empate",S26=TRUE)),TRUE,FALSE)</f>
        <v>0</v>
      </c>
      <c r="U26" s="3" t="b">
        <f t="shared" si="0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24">A27</f>
        <v>25</v>
      </c>
      <c r="J27" s="3" t="str">
        <f t="shared" si="24"/>
        <v>Tchéquia</v>
      </c>
      <c r="K27" s="3">
        <v>2</v>
      </c>
      <c r="L27" s="3" t="str">
        <f>D27</f>
        <v>x</v>
      </c>
      <c r="M27" s="3">
        <v>1</v>
      </c>
      <c r="N27" s="3" t="str">
        <f>F27</f>
        <v>África do Sul</v>
      </c>
      <c r="O27" s="3" t="str">
        <f>IF(K27&gt;M27,J27,IF(M27&gt;K27,N27,IF(ISBLANK(K27),"-","Empate")))</f>
        <v>Tchéquia</v>
      </c>
      <c r="P27" s="3"/>
      <c r="Q27" s="3" t="b">
        <f>IF(AND(O27=G27,K27=C27,M27=E27,ISBLANK(K27)&lt;&gt;TRUE),TRUE,FALSE)</f>
        <v>0</v>
      </c>
      <c r="R27" s="3" t="b">
        <f>IF(OR(AND(O27=G27,K27=C27,K27&gt;M27,M27&lt;&gt;E27,ISBLANK(K27)&lt;&gt;TRUE),AND(O27=G27,M27&gt;K27,K27&lt;&gt;C27,M27=E27,ISBLANK(K27)&lt;&gt;TRUE)),TRUE,FALSE)</f>
        <v>0</v>
      </c>
      <c r="S27" s="3" t="b">
        <f>IF(AND(O27=G27,ABS(K27-M27)=ABS(C27-E27),OR(K27&lt;&gt;C27,M27&lt;&gt;E27),ISBLANK(K27)&lt;&gt;TRUE),TRUE,FALSE)</f>
        <v>0</v>
      </c>
      <c r="T27" s="3" t="b">
        <f>IF(OR(AND(O27=G27,Q27=FALSE,R27=FALSE,S27=FALSE,G27&lt;&gt;"-"),AND(O27="Empate",S27=TRUE)),TRUE,FALSE)</f>
        <v>0</v>
      </c>
      <c r="U27" s="3" t="b">
        <f t="shared" si="0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25">A28</f>
        <v>26</v>
      </c>
      <c r="J28" s="3" t="str">
        <f t="shared" si="25"/>
        <v>Suíça</v>
      </c>
      <c r="K28" s="3">
        <v>1</v>
      </c>
      <c r="L28" s="3" t="str">
        <f>D28</f>
        <v>x</v>
      </c>
      <c r="M28" s="3">
        <v>1</v>
      </c>
      <c r="N28" s="3" t="str">
        <f>F28</f>
        <v>Bósnia</v>
      </c>
      <c r="O28" s="3" t="str">
        <f>IF(K28&gt;M28,J28,IF(M28&gt;K28,N28,IF(ISBLANK(K28),"-","Empate")))</f>
        <v>Empate</v>
      </c>
      <c r="P28" s="3"/>
      <c r="Q28" s="3" t="b">
        <f>IF(AND(O28=G28,K28=C28,M28=E28,ISBLANK(K28)&lt;&gt;TRUE),TRUE,FALSE)</f>
        <v>0</v>
      </c>
      <c r="R28" s="3" t="b">
        <f>IF(OR(AND(O28=G28,K28=C28,K28&gt;M28,M28&lt;&gt;E28,ISBLANK(K28)&lt;&gt;TRUE),AND(O28=G28,M28&gt;K28,K28&lt;&gt;C28,M28=E28,ISBLANK(K28)&lt;&gt;TRUE)),TRUE,FALSE)</f>
        <v>0</v>
      </c>
      <c r="S28" s="3" t="b">
        <f>IF(AND(O28=G28,ABS(K28-M28)=ABS(C28-E28),OR(K28&lt;&gt;C28,M28&lt;&gt;E28),ISBLANK(K28)&lt;&gt;TRUE),TRUE,FALSE)</f>
        <v>0</v>
      </c>
      <c r="T28" s="3" t="b">
        <f>IF(OR(AND(O28=G28,Q28=FALSE,R28=FALSE,S28=FALSE,G28&lt;&gt;"-"),AND(O28="Empate",S28=TRUE)),TRUE,FALSE)</f>
        <v>0</v>
      </c>
      <c r="U28" s="3" t="b">
        <f t="shared" si="0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26">A29</f>
        <v>27</v>
      </c>
      <c r="J29" s="3" t="str">
        <f t="shared" si="26"/>
        <v>Canadá</v>
      </c>
      <c r="K29" s="3">
        <v>2</v>
      </c>
      <c r="L29" s="3" t="str">
        <f>D29</f>
        <v>x</v>
      </c>
      <c r="M29" s="3">
        <v>1</v>
      </c>
      <c r="N29" s="3" t="str">
        <f>F29</f>
        <v>Catar</v>
      </c>
      <c r="O29" s="3" t="str">
        <f>IF(K29&gt;M29,J29,IF(M29&gt;K29,N29,IF(ISBLANK(K29),"-","Empate")))</f>
        <v>Canadá</v>
      </c>
      <c r="P29" s="3"/>
      <c r="Q29" s="3" t="b">
        <f>IF(AND(O29=G29,K29=C29,M29=E29,ISBLANK(K29)&lt;&gt;TRUE),TRUE,FALSE)</f>
        <v>0</v>
      </c>
      <c r="R29" s="3" t="b">
        <f>IF(OR(AND(O29=G29,K29=C29,K29&gt;M29,M29&lt;&gt;E29,ISBLANK(K29)&lt;&gt;TRUE),AND(O29=G29,M29&gt;K29,K29&lt;&gt;C29,M29=E29,ISBLANK(K29)&lt;&gt;TRUE)),TRUE,FALSE)</f>
        <v>0</v>
      </c>
      <c r="S29" s="3" t="b">
        <f>IF(AND(O29=G29,ABS(K29-M29)=ABS(C29-E29),OR(K29&lt;&gt;C29,M29&lt;&gt;E29),ISBLANK(K29)&lt;&gt;TRUE),TRUE,FALSE)</f>
        <v>0</v>
      </c>
      <c r="T29" s="3" t="b">
        <f>IF(OR(AND(O29=G29,Q29=FALSE,R29=FALSE,S29=FALSE,G29&lt;&gt;"-"),AND(O29="Empate",S29=TRUE)),TRUE,FALSE)</f>
        <v>1</v>
      </c>
      <c r="U29" s="3" t="b">
        <f t="shared" si="0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27">A30</f>
        <v>28</v>
      </c>
      <c r="J30" s="3" t="str">
        <f t="shared" si="27"/>
        <v>México</v>
      </c>
      <c r="K30" s="3">
        <v>2</v>
      </c>
      <c r="L30" s="3" t="str">
        <f>D30</f>
        <v>x</v>
      </c>
      <c r="M30" s="3">
        <v>0</v>
      </c>
      <c r="N30" s="3" t="str">
        <f>F30</f>
        <v>Coreia do Sul</v>
      </c>
      <c r="O30" s="3" t="str">
        <f>IF(K30&gt;M30,J30,IF(M30&gt;K30,N30,IF(ISBLANK(K30),"-","Empate")))</f>
        <v>México</v>
      </c>
      <c r="P30" s="3"/>
      <c r="Q30" s="3" t="b">
        <f>IF(AND(O30=G30,K30=C30,M30=E30,ISBLANK(K30)&lt;&gt;TRUE),TRUE,FALSE)</f>
        <v>0</v>
      </c>
      <c r="R30" s="3" t="b">
        <f>IF(OR(AND(O30=G30,K30=C30,K30&gt;M30,M30&lt;&gt;E30,ISBLANK(K30)&lt;&gt;TRUE),AND(O30=G30,M30&gt;K30,K30&lt;&gt;C30,M30=E30,ISBLANK(K30)&lt;&gt;TRUE)),TRUE,FALSE)</f>
        <v>0</v>
      </c>
      <c r="S30" s="3" t="b">
        <f>IF(AND(O30=G30,ABS(K30-M30)=ABS(C30-E30),OR(K30&lt;&gt;C30,M30&lt;&gt;E30),ISBLANK(K30)&lt;&gt;TRUE),TRUE,FALSE)</f>
        <v>0</v>
      </c>
      <c r="T30" s="3" t="b">
        <f>IF(OR(AND(O30=G30,Q30=FALSE,R30=FALSE,S30=FALSE,G30&lt;&gt;"-"),AND(O30="Empate",S30=TRUE)),TRUE,FALSE)</f>
        <v>1</v>
      </c>
      <c r="U30" s="3" t="b">
        <f t="shared" si="0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28">A31</f>
        <v>29</v>
      </c>
      <c r="J31" s="3" t="str">
        <f t="shared" si="28"/>
        <v>EUA</v>
      </c>
      <c r="K31" s="3">
        <v>3</v>
      </c>
      <c r="L31" s="3" t="str">
        <f>D31</f>
        <v>x</v>
      </c>
      <c r="M31" s="3">
        <v>1</v>
      </c>
      <c r="N31" s="3" t="str">
        <f>F31</f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>IF(OR(AND(O31=G31,Q31=FALSE,R31=FALSE,S31=FALSE,G31&lt;&gt;"-"),AND(O31="Empate",S31=TRUE)),TRUE,FALSE)</f>
        <v>0</v>
      </c>
      <c r="U31" s="3" t="b">
        <f t="shared" si="0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29">A32</f>
        <v>30</v>
      </c>
      <c r="J32" s="3" t="str">
        <f t="shared" si="29"/>
        <v>Escócia</v>
      </c>
      <c r="K32" s="3">
        <v>0</v>
      </c>
      <c r="L32" s="3" t="str">
        <f>D32</f>
        <v>x</v>
      </c>
      <c r="M32" s="3">
        <v>3</v>
      </c>
      <c r="N32" s="3" t="str">
        <f>F32</f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0</v>
      </c>
      <c r="T32" s="3" t="b">
        <f>IF(OR(AND(O32=G32,Q32=FALSE,R32=FALSE,S32=FALSE,G32&lt;&gt;"-"),AND(O32="Empate",S32=TRUE)),TRUE,FALSE)</f>
        <v>0</v>
      </c>
      <c r="U32" s="3" t="b">
        <f t="shared" si="0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0">A33</f>
        <v>31</v>
      </c>
      <c r="J33" s="3" t="str">
        <f t="shared" si="30"/>
        <v>Brasil</v>
      </c>
      <c r="K33" s="3">
        <v>4</v>
      </c>
      <c r="L33" s="3" t="str">
        <f>D33</f>
        <v>x</v>
      </c>
      <c r="M33" s="3">
        <v>1</v>
      </c>
      <c r="N33" s="3" t="str">
        <f>F33</f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0</v>
      </c>
      <c r="T33" s="3" t="b">
        <f>IF(OR(AND(O33=G33,Q33=FALSE,R33=FALSE,S33=FALSE,G33&lt;&gt;"-"),AND(O33="Empate",S33=TRUE)),TRUE,FALSE)</f>
        <v>0</v>
      </c>
      <c r="U33" s="3" t="b">
        <f t="shared" si="0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31">A34</f>
        <v>32</v>
      </c>
      <c r="J34" s="3" t="str">
        <f t="shared" si="31"/>
        <v>Turquia</v>
      </c>
      <c r="K34" s="3">
        <v>2</v>
      </c>
      <c r="L34" s="3" t="str">
        <f>D34</f>
        <v>x</v>
      </c>
      <c r="M34" s="3">
        <v>1</v>
      </c>
      <c r="N34" s="3" t="str">
        <f>F34</f>
        <v>Paraguai</v>
      </c>
      <c r="O34" s="3" t="str">
        <f>IF(K34&gt;M34,J34,IF(M34&gt;K34,N34,IF(ISBLANK(K34),"-","Empate")))</f>
        <v>Turquia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0</v>
      </c>
      <c r="T34" s="3" t="b">
        <f>IF(OR(AND(O34=G34,Q34=FALSE,R34=FALSE,S34=FALSE,G34&lt;&gt;"-"),AND(O34="Empate",S34=TRUE)),TRUE,FALSE)</f>
        <v>0</v>
      </c>
      <c r="U34" s="3" t="b">
        <f t="shared" si="0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32">A35</f>
        <v>33</v>
      </c>
      <c r="J35" s="3" t="str">
        <f t="shared" si="32"/>
        <v>Holanda</v>
      </c>
      <c r="K35" s="3"/>
      <c r="L35" s="3" t="str">
        <f>D35</f>
        <v>x</v>
      </c>
      <c r="M35" s="3"/>
      <c r="N35" s="3" t="str">
        <f>F35</f>
        <v>Suécia</v>
      </c>
      <c r="O35" s="3" t="str">
        <f>IF(K35&gt;M35,J35,IF(M35&gt;K35,N35,IF(ISBLANK(K35),"-","Empate")))</f>
        <v>-</v>
      </c>
      <c r="P35" s="3"/>
      <c r="Q35" s="3" t="b">
        <f>IF(AND(O35=G35,K35=C35,M35=E35,ISBLANK(K35)&lt;&gt;TRUE),TRUE,FALSE)</f>
        <v>0</v>
      </c>
      <c r="R35" s="3" t="b">
        <f>IF(OR(AND(O35=G35,K35=C35,K35&gt;M35,M35&lt;&gt;E35,ISBLANK(K35)&lt;&gt;TRUE),AND(O35=G35,M35&gt;K35,K35&lt;&gt;C35,M35=E35,ISBLANK(K35)&lt;&gt;TRUE)),TRUE,FALSE)</f>
        <v>0</v>
      </c>
      <c r="S35" s="3" t="b">
        <f>IF(AND(O35=G35,ABS(K35-M35)=ABS(C35-E35),OR(K35&lt;&gt;C35,M35&lt;&gt;E35),ISBLANK(K35)&lt;&gt;TRUE),TRUE,FALSE)</f>
        <v>0</v>
      </c>
      <c r="T35" s="3" t="b">
        <f>IF(OR(AND(O35=G35,Q35=FALSE,R35=FALSE,S35=FALSE,G35&lt;&gt;"-"),AND(O35="Empate",S35=TRUE)),TRUE,FALSE)</f>
        <v>0</v>
      </c>
      <c r="U35" s="3" t="b">
        <f t="shared" si="0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33">A36</f>
        <v>34</v>
      </c>
      <c r="J36" s="3" t="str">
        <f t="shared" si="33"/>
        <v>Alemanha</v>
      </c>
      <c r="K36" s="3"/>
      <c r="L36" s="3" t="str">
        <f>D36</f>
        <v>x</v>
      </c>
      <c r="M36" s="3"/>
      <c r="N36" s="3" t="str">
        <f>F36</f>
        <v>Costa do Marfim</v>
      </c>
      <c r="O36" s="3" t="str">
        <f>IF(K36&gt;M36,J36,IF(M36&gt;K36,N36,IF(ISBLANK(K36),"-","Empate")))</f>
        <v>-</v>
      </c>
      <c r="P36" s="3"/>
      <c r="Q36" s="3" t="b">
        <f>IF(AND(O36=G36,K36=C36,M36=E36,ISBLANK(K36)&lt;&gt;TRUE),TRUE,FALSE)</f>
        <v>0</v>
      </c>
      <c r="R36" s="3" t="b">
        <f>IF(OR(AND(O36=G36,K36=C36,K36&gt;M36,M36&lt;&gt;E36,ISBLANK(K36)&lt;&gt;TRUE),AND(O36=G36,M36&gt;K36,K36&lt;&gt;C36,M36=E36,ISBLANK(K36)&lt;&gt;TRUE)),TRUE,FALSE)</f>
        <v>0</v>
      </c>
      <c r="S36" s="3" t="b">
        <f>IF(AND(O36=G36,ABS(K36-M36)=ABS(C36-E36),OR(K36&lt;&gt;C36,M36&lt;&gt;E36),ISBLANK(K36)&lt;&gt;TRUE),TRUE,FALSE)</f>
        <v>0</v>
      </c>
      <c r="T36" s="3" t="b">
        <f>IF(OR(AND(O36=G36,Q36=FALSE,R36=FALSE,S36=FALSE,G36&lt;&gt;"-"),AND(O36="Empate",S36=TRUE)),TRUE,FALSE)</f>
        <v>0</v>
      </c>
      <c r="U36" s="3" t="b">
        <f t="shared" si="0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34">A37</f>
        <v>35</v>
      </c>
      <c r="J37" s="3" t="str">
        <f t="shared" si="34"/>
        <v>Equador</v>
      </c>
      <c r="K37" s="3"/>
      <c r="L37" s="3" t="str">
        <f>D37</f>
        <v>x</v>
      </c>
      <c r="M37" s="3"/>
      <c r="N37" s="3" t="str">
        <f>F37</f>
        <v>Curaçao</v>
      </c>
      <c r="O37" s="3" t="str">
        <f>IF(K37&gt;M37,J37,IF(M37&gt;K37,N37,IF(ISBLANK(K37),"-","Empate")))</f>
        <v>-</v>
      </c>
      <c r="P37" s="3"/>
      <c r="Q37" s="3" t="b">
        <f>IF(AND(O37=G37,K37=C37,M37=E37,ISBLANK(K37)&lt;&gt;TRUE),TRUE,FALSE)</f>
        <v>0</v>
      </c>
      <c r="R37" s="3" t="b">
        <f>IF(OR(AND(O37=G37,K37=C37,K37&gt;M37,M37&lt;&gt;E37,ISBLANK(K37)&lt;&gt;TRUE),AND(O37=G37,M37&gt;K37,K37&lt;&gt;C37,M37=E37,ISBLANK(K37)&lt;&gt;TRUE)),TRUE,FALSE)</f>
        <v>0</v>
      </c>
      <c r="S37" s="3" t="b">
        <f>IF(AND(O37=G37,ABS(K37-M37)=ABS(C37-E37),OR(K37&lt;&gt;C37,M37&lt;&gt;E37),ISBLANK(K37)&lt;&gt;TRUE),TRUE,FALSE)</f>
        <v>0</v>
      </c>
      <c r="T37" s="3" t="b">
        <f>IF(OR(AND(O37=G37,Q37=FALSE,R37=FALSE,S37=FALSE,G37&lt;&gt;"-"),AND(O37="Empate",S37=TRUE)),TRUE,FALSE)</f>
        <v>0</v>
      </c>
      <c r="U37" s="3" t="b">
        <f t="shared" si="0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35">A38</f>
        <v>36</v>
      </c>
      <c r="J38" s="3" t="str">
        <f t="shared" si="35"/>
        <v>Tunísia</v>
      </c>
      <c r="K38" s="3"/>
      <c r="L38" s="3" t="str">
        <f>D38</f>
        <v>x</v>
      </c>
      <c r="M38" s="3"/>
      <c r="N38" s="3" t="str">
        <f>F38</f>
        <v>Japão</v>
      </c>
      <c r="O38" s="3" t="str">
        <f>IF(K38&gt;M38,J38,IF(M38&gt;K38,N38,IF(ISBLANK(K38),"-","Empate")))</f>
        <v>-</v>
      </c>
      <c r="P38" s="3"/>
      <c r="Q38" s="3" t="b">
        <f>IF(AND(O38=G38,K38=C38,M38=E38,ISBLANK(K38)&lt;&gt;TRUE),TRUE,FALSE)</f>
        <v>0</v>
      </c>
      <c r="R38" s="3" t="b">
        <f>IF(OR(AND(O38=G38,K38=C38,K38&gt;M38,M38&lt;&gt;E38,ISBLANK(K38)&lt;&gt;TRUE),AND(O38=G38,M38&gt;K38,K38&lt;&gt;C38,M38=E38,ISBLANK(K38)&lt;&gt;TRUE)),TRUE,FALSE)</f>
        <v>0</v>
      </c>
      <c r="S38" s="3" t="b">
        <f>IF(AND(O38=G38,ABS(K38-M38)=ABS(C38-E38),OR(K38&lt;&gt;C38,M38&lt;&gt;E38),ISBLANK(K38)&lt;&gt;TRUE),TRUE,FALSE)</f>
        <v>0</v>
      </c>
      <c r="T38" s="3" t="b">
        <f>IF(OR(AND(O38=G38,Q38=FALSE,R38=FALSE,S38=FALSE,G38&lt;&gt;"-"),AND(O38="Empate",S38=TRUE)),TRUE,FALSE)</f>
        <v>0</v>
      </c>
      <c r="U38" s="3" t="b">
        <f t="shared" si="0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36">A39</f>
        <v>37</v>
      </c>
      <c r="J39" s="3" t="str">
        <f t="shared" si="36"/>
        <v>Espanha</v>
      </c>
      <c r="K39" s="3"/>
      <c r="L39" s="3" t="str">
        <f>D39</f>
        <v>x</v>
      </c>
      <c r="M39" s="3"/>
      <c r="N39" s="3" t="str">
        <f>F39</f>
        <v>Arábia Saudita</v>
      </c>
      <c r="O39" s="3" t="str">
        <f>IF(K39&gt;M39,J39,IF(M39&gt;K39,N39,IF(ISBLANK(K39),"-","Empate")))</f>
        <v>-</v>
      </c>
      <c r="P39" s="3"/>
      <c r="Q39" s="3" t="b">
        <f>IF(AND(O39=G39,K39=C39,M39=E39,ISBLANK(K39)&lt;&gt;TRUE),TRUE,FALSE)</f>
        <v>0</v>
      </c>
      <c r="R39" s="3" t="b">
        <f>IF(OR(AND(O39=G39,K39=C39,K39&gt;M39,M39&lt;&gt;E39,ISBLANK(K39)&lt;&gt;TRUE),AND(O39=G39,M39&gt;K39,K39&lt;&gt;C39,M39=E39,ISBLANK(K39)&lt;&gt;TRUE)),TRUE,FALSE)</f>
        <v>0</v>
      </c>
      <c r="S39" s="3" t="b">
        <f>IF(AND(O39=G39,ABS(K39-M39)=ABS(C39-E39),OR(K39&lt;&gt;C39,M39&lt;&gt;E39),ISBLANK(K39)&lt;&gt;TRUE),TRUE,FALSE)</f>
        <v>0</v>
      </c>
      <c r="T39" s="3" t="b">
        <f>IF(OR(AND(O39=G39,Q39=FALSE,R39=FALSE,S39=FALSE,G39&lt;&gt;"-"),AND(O39="Empate",S39=TRUE)),TRUE,FALSE)</f>
        <v>0</v>
      </c>
      <c r="U39" s="3" t="b">
        <f t="shared" si="0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37">A40</f>
        <v>38</v>
      </c>
      <c r="J40" s="3" t="str">
        <f t="shared" si="37"/>
        <v>Bélgica</v>
      </c>
      <c r="K40" s="3"/>
      <c r="L40" s="3" t="str">
        <f>D40</f>
        <v>x</v>
      </c>
      <c r="M40" s="3"/>
      <c r="N40" s="3" t="str">
        <f>F40</f>
        <v>Irã</v>
      </c>
      <c r="O40" s="3" t="str">
        <f>IF(K40&gt;M40,J40,IF(M40&gt;K40,N40,IF(ISBLANK(K40),"-","Empate")))</f>
        <v>-</v>
      </c>
      <c r="P40" s="3"/>
      <c r="Q40" s="3" t="b">
        <f>IF(AND(O40=G40,K40=C40,M40=E40,ISBLANK(K40)&lt;&gt;TRUE),TRUE,FALSE)</f>
        <v>0</v>
      </c>
      <c r="R40" s="3" t="b">
        <f>IF(OR(AND(O40=G40,K40=C40,K40&gt;M40,M40&lt;&gt;E40,ISBLANK(K40)&lt;&gt;TRUE),AND(O40=G40,M40&gt;K40,K40&lt;&gt;C40,M40=E40,ISBLANK(K40)&lt;&gt;TRUE)),TRUE,FALSE)</f>
        <v>0</v>
      </c>
      <c r="S40" s="3" t="b">
        <f>IF(AND(O40=G40,ABS(K40-M40)=ABS(C40-E40),OR(K40&lt;&gt;C40,M40&lt;&gt;E40),ISBLANK(K40)&lt;&gt;TRUE),TRUE,FALSE)</f>
        <v>0</v>
      </c>
      <c r="T40" s="3" t="b">
        <f>IF(OR(AND(O40=G40,Q40=FALSE,R40=FALSE,S40=FALSE,G40&lt;&gt;"-"),AND(O40="Empate",S40=TRUE)),TRUE,FALSE)</f>
        <v>0</v>
      </c>
      <c r="U40" s="3" t="b">
        <f t="shared" si="0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38">A41</f>
        <v>39</v>
      </c>
      <c r="J41" s="3" t="str">
        <f t="shared" si="38"/>
        <v>Uruguai</v>
      </c>
      <c r="K41" s="3"/>
      <c r="L41" s="3" t="str">
        <f>D41</f>
        <v>x</v>
      </c>
      <c r="M41" s="3"/>
      <c r="N41" s="3" t="str">
        <f>F41</f>
        <v>Cabo Verde</v>
      </c>
      <c r="O41" s="3" t="str">
        <f>IF(K41&gt;M41,J41,IF(M41&gt;K41,N41,IF(ISBLANK(K41),"-","Empate")))</f>
        <v>-</v>
      </c>
      <c r="P41" s="3"/>
      <c r="Q41" s="3" t="b">
        <f>IF(AND(O41=G41,K41=C41,M41=E41,ISBLANK(K41)&lt;&gt;TRUE),TRUE,FALSE)</f>
        <v>0</v>
      </c>
      <c r="R41" s="3" t="b">
        <f>IF(OR(AND(O41=G41,K41=C41,K41&gt;M41,M41&lt;&gt;E41,ISBLANK(K41)&lt;&gt;TRUE),AND(O41=G41,M41&gt;K41,K41&lt;&gt;C41,M41=E41,ISBLANK(K41)&lt;&gt;TRUE)),TRUE,FALSE)</f>
        <v>0</v>
      </c>
      <c r="S41" s="3" t="b">
        <f>IF(AND(O41=G41,ABS(K41-M41)=ABS(C41-E41),OR(K41&lt;&gt;C41,M41&lt;&gt;E41),ISBLANK(K41)&lt;&gt;TRUE),TRUE,FALSE)</f>
        <v>0</v>
      </c>
      <c r="T41" s="3" t="b">
        <f>IF(OR(AND(O41=G41,Q41=FALSE,R41=FALSE,S41=FALSE,G41&lt;&gt;"-"),AND(O41="Empate",S41=TRUE)),TRUE,FALSE)</f>
        <v>0</v>
      </c>
      <c r="U41" s="3" t="b">
        <f t="shared" si="0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39">A42</f>
        <v>40</v>
      </c>
      <c r="J42" s="3" t="str">
        <f t="shared" si="39"/>
        <v>Nova Zelândia</v>
      </c>
      <c r="K42" s="3"/>
      <c r="L42" s="3" t="str">
        <f>D42</f>
        <v>x</v>
      </c>
      <c r="M42" s="3"/>
      <c r="N42" s="3" t="str">
        <f>F42</f>
        <v>Egito</v>
      </c>
      <c r="O42" s="3" t="str">
        <f>IF(K42&gt;M42,J42,IF(M42&gt;K42,N42,IF(ISBLANK(K42),"-","Empate")))</f>
        <v>-</v>
      </c>
      <c r="P42" s="3"/>
      <c r="Q42" s="3" t="b">
        <f>IF(AND(O42=G42,K42=C42,M42=E42,ISBLANK(K42)&lt;&gt;TRUE),TRUE,FALSE)</f>
        <v>0</v>
      </c>
      <c r="R42" s="3" t="b">
        <f>IF(OR(AND(O42=G42,K42=C42,K42&gt;M42,M42&lt;&gt;E42,ISBLANK(K42)&lt;&gt;TRUE),AND(O42=G42,M42&gt;K42,K42&lt;&gt;C42,M42=E42,ISBLANK(K42)&lt;&gt;TRUE)),TRUE,FALSE)</f>
        <v>0</v>
      </c>
      <c r="S42" s="3" t="b">
        <f>IF(AND(O42=G42,ABS(K42-M42)=ABS(C42-E42),OR(K42&lt;&gt;C42,M42&lt;&gt;E42),ISBLANK(K42)&lt;&gt;TRUE),TRUE,FALSE)</f>
        <v>0</v>
      </c>
      <c r="T42" s="3" t="b">
        <f>IF(OR(AND(O42=G42,Q42=FALSE,R42=FALSE,S42=FALSE,G42&lt;&gt;"-"),AND(O42="Empate",S42=TRUE)),TRUE,FALSE)</f>
        <v>0</v>
      </c>
      <c r="U42" s="3" t="b">
        <f t="shared" si="0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0">A43</f>
        <v>41</v>
      </c>
      <c r="J43" s="3" t="str">
        <f t="shared" si="40"/>
        <v>Argentina</v>
      </c>
      <c r="K43" s="3"/>
      <c r="L43" s="3" t="str">
        <f>D43</f>
        <v>x</v>
      </c>
      <c r="M43" s="3"/>
      <c r="N43" s="3" t="str">
        <f>F43</f>
        <v>Áustria</v>
      </c>
      <c r="O43" s="3" t="str">
        <f>IF(K43&gt;M43,J43,IF(M43&gt;K43,N43,IF(ISBLANK(K43),"-","Empate")))</f>
        <v>-</v>
      </c>
      <c r="P43" s="3"/>
      <c r="Q43" s="3" t="b">
        <f>IF(AND(O43=G43,K43=C43,M43=E43,ISBLANK(K43)&lt;&gt;TRUE),TRUE,FALSE)</f>
        <v>0</v>
      </c>
      <c r="R43" s="3" t="b">
        <f>IF(OR(AND(O43=G43,K43=C43,K43&gt;M43,M43&lt;&gt;E43,ISBLANK(K43)&lt;&gt;TRUE),AND(O43=G43,M43&gt;K43,K43&lt;&gt;C43,M43=E43,ISBLANK(K43)&lt;&gt;TRUE)),TRUE,FALSE)</f>
        <v>0</v>
      </c>
      <c r="S43" s="3" t="b">
        <f>IF(AND(O43=G43,ABS(K43-M43)=ABS(C43-E43),OR(K43&lt;&gt;C43,M43&lt;&gt;E43),ISBLANK(K43)&lt;&gt;TRUE),TRUE,FALSE)</f>
        <v>0</v>
      </c>
      <c r="T43" s="3" t="b">
        <f>IF(OR(AND(O43=G43,Q43=FALSE,R43=FALSE,S43=FALSE,G43&lt;&gt;"-"),AND(O43="Empate",S43=TRUE)),TRUE,FALSE)</f>
        <v>0</v>
      </c>
      <c r="U43" s="3" t="b">
        <f t="shared" si="0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41">A44</f>
        <v>42</v>
      </c>
      <c r="J44" s="3" t="str">
        <f t="shared" si="41"/>
        <v>França</v>
      </c>
      <c r="K44" s="3"/>
      <c r="L44" s="3" t="str">
        <f>D44</f>
        <v>x</v>
      </c>
      <c r="M44" s="3"/>
      <c r="N44" s="3" t="str">
        <f>F44</f>
        <v>Iraque</v>
      </c>
      <c r="O44" s="3" t="str">
        <f>IF(K44&gt;M44,J44,IF(M44&gt;K44,N44,IF(ISBLANK(K44),"-","Empate")))</f>
        <v>-</v>
      </c>
      <c r="P44" s="3"/>
      <c r="Q44" s="3" t="b">
        <f>IF(AND(O44=G44,K44=C44,M44=E44,ISBLANK(K44)&lt;&gt;TRUE),TRUE,FALSE)</f>
        <v>0</v>
      </c>
      <c r="R44" s="3" t="b">
        <f>IF(OR(AND(O44=G44,K44=C44,K44&gt;M44,M44&lt;&gt;E44,ISBLANK(K44)&lt;&gt;TRUE),AND(O44=G44,M44&gt;K44,K44&lt;&gt;C44,M44=E44,ISBLANK(K44)&lt;&gt;TRUE)),TRUE,FALSE)</f>
        <v>0</v>
      </c>
      <c r="S44" s="3" t="b">
        <f>IF(AND(O44=G44,ABS(K44-M44)=ABS(C44-E44),OR(K44&lt;&gt;C44,M44&lt;&gt;E44),ISBLANK(K44)&lt;&gt;TRUE),TRUE,FALSE)</f>
        <v>0</v>
      </c>
      <c r="T44" s="3" t="b">
        <f>IF(OR(AND(O44=G44,Q44=FALSE,R44=FALSE,S44=FALSE,G44&lt;&gt;"-"),AND(O44="Empate",S44=TRUE)),TRUE,FALSE)</f>
        <v>0</v>
      </c>
      <c r="U44" s="3" t="b">
        <f t="shared" si="0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42">A45</f>
        <v>43</v>
      </c>
      <c r="J45" s="3" t="str">
        <f t="shared" si="42"/>
        <v>Noruega</v>
      </c>
      <c r="K45" s="3"/>
      <c r="L45" s="3" t="str">
        <f>D45</f>
        <v>x</v>
      </c>
      <c r="M45" s="3"/>
      <c r="N45" s="3" t="str">
        <f>F45</f>
        <v>Senegal</v>
      </c>
      <c r="O45" s="3" t="str">
        <f>IF(K45&gt;M45,J45,IF(M45&gt;K45,N45,IF(ISBLANK(K45),"-","Empate")))</f>
        <v>-</v>
      </c>
      <c r="P45" s="3"/>
      <c r="Q45" s="3" t="b">
        <f>IF(AND(O45=G45,K45=C45,M45=E45,ISBLANK(K45)&lt;&gt;TRUE),TRUE,FALSE)</f>
        <v>0</v>
      </c>
      <c r="R45" s="3" t="b">
        <f>IF(OR(AND(O45=G45,K45=C45,K45&gt;M45,M45&lt;&gt;E45,ISBLANK(K45)&lt;&gt;TRUE),AND(O45=G45,M45&gt;K45,K45&lt;&gt;C45,M45=E45,ISBLANK(K45)&lt;&gt;TRUE)),TRUE,FALSE)</f>
        <v>0</v>
      </c>
      <c r="S45" s="3" t="b">
        <f>IF(AND(O45=G45,ABS(K45-M45)=ABS(C45-E45),OR(K45&lt;&gt;C45,M45&lt;&gt;E45),ISBLANK(K45)&lt;&gt;TRUE),TRUE,FALSE)</f>
        <v>0</v>
      </c>
      <c r="T45" s="3" t="b">
        <f>IF(OR(AND(O45=G45,Q45=FALSE,R45=FALSE,S45=FALSE,G45&lt;&gt;"-"),AND(O45="Empate",S45=TRUE)),TRUE,FALSE)</f>
        <v>0</v>
      </c>
      <c r="U45" s="3" t="b">
        <f t="shared" si="0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43">A46</f>
        <v>44</v>
      </c>
      <c r="J46" s="3" t="str">
        <f t="shared" si="43"/>
        <v>Jordânia</v>
      </c>
      <c r="K46" s="3"/>
      <c r="L46" s="3" t="str">
        <f>D46</f>
        <v>x</v>
      </c>
      <c r="M46" s="3"/>
      <c r="N46" s="3" t="str">
        <f>F46</f>
        <v>Argélia</v>
      </c>
      <c r="O46" s="3" t="str">
        <f>IF(K46&gt;M46,J46,IF(M46&gt;K46,N46,IF(ISBLANK(K46),"-","Empate")))</f>
        <v>-</v>
      </c>
      <c r="P46" s="3"/>
      <c r="Q46" s="3" t="b">
        <f>IF(AND(O46=G46,K46=C46,M46=E46,ISBLANK(K46)&lt;&gt;TRUE),TRUE,FALSE)</f>
        <v>0</v>
      </c>
      <c r="R46" s="3" t="b">
        <f>IF(OR(AND(O46=G46,K46=C46,K46&gt;M46,M46&lt;&gt;E46,ISBLANK(K46)&lt;&gt;TRUE),AND(O46=G46,M46&gt;K46,K46&lt;&gt;C46,M46=E46,ISBLANK(K46)&lt;&gt;TRUE)),TRUE,FALSE)</f>
        <v>0</v>
      </c>
      <c r="S46" s="3" t="b">
        <f>IF(AND(O46=G46,ABS(K46-M46)=ABS(C46-E46),OR(K46&lt;&gt;C46,M46&lt;&gt;E46),ISBLANK(K46)&lt;&gt;TRUE),TRUE,FALSE)</f>
        <v>0</v>
      </c>
      <c r="T46" s="3" t="b">
        <f>IF(OR(AND(O46=G46,Q46=FALSE,R46=FALSE,S46=FALSE,G46&lt;&gt;"-"),AND(O46="Empate",S46=TRUE)),TRUE,FALSE)</f>
        <v>0</v>
      </c>
      <c r="U46" s="3" t="b">
        <f t="shared" si="0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44">A47</f>
        <v>45</v>
      </c>
      <c r="J47" s="3" t="str">
        <f t="shared" si="44"/>
        <v>Portugal</v>
      </c>
      <c r="K47" s="3"/>
      <c r="L47" s="3" t="str">
        <f>D47</f>
        <v>x</v>
      </c>
      <c r="M47" s="3"/>
      <c r="N47" s="3" t="str">
        <f>F47</f>
        <v>Uzbequistão</v>
      </c>
      <c r="O47" s="3" t="str">
        <f>IF(K47&gt;M47,J47,IF(M47&gt;K47,N47,IF(ISBLANK(K47),"-","Empate")))</f>
        <v>-</v>
      </c>
      <c r="P47" s="3"/>
      <c r="Q47" s="3" t="b">
        <f>IF(AND(O47=G47,K47=C47,M47=E47,ISBLANK(K47)&lt;&gt;TRUE),TRUE,FALSE)</f>
        <v>0</v>
      </c>
      <c r="R47" s="3" t="b">
        <f>IF(OR(AND(O47=G47,K47=C47,K47&gt;M47,M47&lt;&gt;E47,ISBLANK(K47)&lt;&gt;TRUE),AND(O47=G47,M47&gt;K47,K47&lt;&gt;C47,M47=E47,ISBLANK(K47)&lt;&gt;TRUE)),TRUE,FALSE)</f>
        <v>0</v>
      </c>
      <c r="S47" s="3" t="b">
        <f>IF(AND(O47=G47,ABS(K47-M47)=ABS(C47-E47),OR(K47&lt;&gt;C47,M47&lt;&gt;E47),ISBLANK(K47)&lt;&gt;TRUE),TRUE,FALSE)</f>
        <v>0</v>
      </c>
      <c r="T47" s="3" t="b">
        <f>IF(OR(AND(O47=G47,Q47=FALSE,R47=FALSE,S47=FALSE,G47&lt;&gt;"-"),AND(O47="Empate",S47=TRUE)),TRUE,FALSE)</f>
        <v>0</v>
      </c>
      <c r="U47" s="3" t="b">
        <f t="shared" si="0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45">A48</f>
        <v>46</v>
      </c>
      <c r="J48" s="3" t="str">
        <f t="shared" si="45"/>
        <v>Inglaterra</v>
      </c>
      <c r="K48" s="3"/>
      <c r="L48" s="3" t="str">
        <f>D48</f>
        <v>x</v>
      </c>
      <c r="M48" s="3"/>
      <c r="N48" s="3" t="str">
        <f>F48</f>
        <v>Gana</v>
      </c>
      <c r="O48" s="3" t="str">
        <f>IF(K48&gt;M48,J48,IF(M48&gt;K48,N48,IF(ISBLANK(K48),"-","Empate")))</f>
        <v>-</v>
      </c>
      <c r="P48" s="3"/>
      <c r="Q48" s="3" t="b">
        <f>IF(AND(O48=G48,K48=C48,M48=E48,ISBLANK(K48)&lt;&gt;TRUE),TRUE,FALSE)</f>
        <v>0</v>
      </c>
      <c r="R48" s="3" t="b">
        <f>IF(OR(AND(O48=G48,K48=C48,K48&gt;M48,M48&lt;&gt;E48,ISBLANK(K48)&lt;&gt;TRUE),AND(O48=G48,M48&gt;K48,K48&lt;&gt;C48,M48=E48,ISBLANK(K48)&lt;&gt;TRUE)),TRUE,FALSE)</f>
        <v>0</v>
      </c>
      <c r="S48" s="3" t="b">
        <f>IF(AND(O48=G48,ABS(K48-M48)=ABS(C48-E48),OR(K48&lt;&gt;C48,M48&lt;&gt;E48),ISBLANK(K48)&lt;&gt;TRUE),TRUE,FALSE)</f>
        <v>0</v>
      </c>
      <c r="T48" s="3" t="b">
        <f>IF(OR(AND(O48=G48,Q48=FALSE,R48=FALSE,S48=FALSE,G48&lt;&gt;"-"),AND(O48="Empate",S48=TRUE)),TRUE,FALSE)</f>
        <v>0</v>
      </c>
      <c r="U48" s="3" t="b">
        <f t="shared" si="0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46">A49</f>
        <v>47</v>
      </c>
      <c r="J49" s="3" t="str">
        <f t="shared" si="46"/>
        <v>Panamá</v>
      </c>
      <c r="K49" s="3"/>
      <c r="L49" s="3" t="str">
        <f>D49</f>
        <v>x</v>
      </c>
      <c r="M49" s="3"/>
      <c r="N49" s="3" t="str">
        <f>F49</f>
        <v>Croácia</v>
      </c>
      <c r="O49" s="3" t="str">
        <f>IF(K49&gt;M49,J49,IF(M49&gt;K49,N49,IF(ISBLANK(K49),"-","Empate")))</f>
        <v>-</v>
      </c>
      <c r="P49" s="3"/>
      <c r="Q49" s="3" t="b">
        <f>IF(AND(O49=G49,K49=C49,M49=E49,ISBLANK(K49)&lt;&gt;TRUE),TRUE,FALSE)</f>
        <v>0</v>
      </c>
      <c r="R49" s="3" t="b">
        <f>IF(OR(AND(O49=G49,K49=C49,K49&gt;M49,M49&lt;&gt;E49,ISBLANK(K49)&lt;&gt;TRUE),AND(O49=G49,M49&gt;K49,K49&lt;&gt;C49,M49=E49,ISBLANK(K49)&lt;&gt;TRUE)),TRUE,FALSE)</f>
        <v>0</v>
      </c>
      <c r="S49" s="3" t="b">
        <f>IF(AND(O49=G49,ABS(K49-M49)=ABS(C49-E49),OR(K49&lt;&gt;C49,M49&lt;&gt;E49),ISBLANK(K49)&lt;&gt;TRUE),TRUE,FALSE)</f>
        <v>0</v>
      </c>
      <c r="T49" s="3" t="b">
        <f>IF(OR(AND(O49=G49,Q49=FALSE,R49=FALSE,S49=FALSE,G49&lt;&gt;"-"),AND(O49="Empate",S49=TRUE)),TRUE,FALSE)</f>
        <v>0</v>
      </c>
      <c r="U49" s="3" t="b">
        <f t="shared" si="0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47">A50</f>
        <v>48</v>
      </c>
      <c r="J50" s="3" t="str">
        <f t="shared" si="47"/>
        <v>Colômbia</v>
      </c>
      <c r="K50" s="3"/>
      <c r="L50" s="3" t="str">
        <f>D50</f>
        <v>x</v>
      </c>
      <c r="M50" s="3"/>
      <c r="N50" s="3" t="str">
        <f>F50</f>
        <v>RD Congo</v>
      </c>
      <c r="O50" s="3" t="str">
        <f>IF(K50&gt;M50,J50,IF(M50&gt;K50,N50,IF(ISBLANK(K50),"-","Empate")))</f>
        <v>-</v>
      </c>
      <c r="P50" s="3"/>
      <c r="Q50" s="3" t="b">
        <f>IF(AND(O50=G50,K50=C50,M50=E50,ISBLANK(K50)&lt;&gt;TRUE),TRUE,FALSE)</f>
        <v>0</v>
      </c>
      <c r="R50" s="3" t="b">
        <f>IF(OR(AND(O50=G50,K50=C50,K50&gt;M50,M50&lt;&gt;E50,ISBLANK(K50)&lt;&gt;TRUE),AND(O50=G50,M50&gt;K50,K50&lt;&gt;C50,M50=E50,ISBLANK(K50)&lt;&gt;TRUE)),TRUE,FALSE)</f>
        <v>0</v>
      </c>
      <c r="S50" s="3" t="b">
        <f>IF(AND(O50=G50,ABS(K50-M50)=ABS(C50-E50),OR(K50&lt;&gt;C50,M50&lt;&gt;E50),ISBLANK(K50)&lt;&gt;TRUE),TRUE,FALSE)</f>
        <v>0</v>
      </c>
      <c r="T50" s="3" t="b">
        <f>IF(OR(AND(O50=G50,Q50=FALSE,R50=FALSE,S50=FALSE,G50&lt;&gt;"-"),AND(O50="Empate",S50=TRUE)),TRUE,FALSE)</f>
        <v>0</v>
      </c>
      <c r="U50" s="3" t="b">
        <f t="shared" si="0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48">A51</f>
        <v>49</v>
      </c>
      <c r="J51" s="3" t="str">
        <f t="shared" si="48"/>
        <v>Suíça</v>
      </c>
      <c r="K51" s="3"/>
      <c r="L51" s="3" t="str">
        <f>D51</f>
        <v>x</v>
      </c>
      <c r="M51" s="3"/>
      <c r="N51" s="3" t="str">
        <f>F51</f>
        <v>Canadá</v>
      </c>
      <c r="O51" s="3" t="str">
        <f>IF(K51&gt;M51,J51,IF(M51&gt;K51,N51,IF(ISBLANK(K51),"-","Empate")))</f>
        <v>-</v>
      </c>
      <c r="P51" s="3"/>
      <c r="Q51" s="3" t="b">
        <f>IF(AND(O51=G51,K51=C51,M51=E51,ISBLANK(K51)&lt;&gt;TRUE),TRUE,FALSE)</f>
        <v>0</v>
      </c>
      <c r="R51" s="3" t="b">
        <f>IF(OR(AND(O51=G51,K51=C51,K51&gt;M51,M51&lt;&gt;E51,ISBLANK(K51)&lt;&gt;TRUE),AND(O51=G51,M51&gt;K51,K51&lt;&gt;C51,M51=E51,ISBLANK(K51)&lt;&gt;TRUE)),TRUE,FALSE)</f>
        <v>0</v>
      </c>
      <c r="S51" s="3" t="b">
        <f>IF(AND(O51=G51,ABS(K51-M51)=ABS(C51-E51),OR(K51&lt;&gt;C51,M51&lt;&gt;E51),ISBLANK(K51)&lt;&gt;TRUE),TRUE,FALSE)</f>
        <v>0</v>
      </c>
      <c r="T51" s="3" t="b">
        <f>IF(OR(AND(O51=G51,Q51=FALSE,R51=FALSE,S51=FALSE,G51&lt;&gt;"-"),AND(O51="Empate",S51=TRUE)),TRUE,FALSE)</f>
        <v>0</v>
      </c>
      <c r="U51" s="3" t="b">
        <f t="shared" si="0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49">A52</f>
        <v>50</v>
      </c>
      <c r="J52" s="3" t="str">
        <f t="shared" si="49"/>
        <v>Bósnia</v>
      </c>
      <c r="K52" s="3"/>
      <c r="L52" s="3" t="str">
        <f>D52</f>
        <v>x</v>
      </c>
      <c r="M52" s="3"/>
      <c r="N52" s="3" t="str">
        <f>F52</f>
        <v>Catar</v>
      </c>
      <c r="O52" s="3" t="str">
        <f>IF(K52&gt;M52,J52,IF(M52&gt;K52,N52,IF(ISBLANK(K52),"-","Empate")))</f>
        <v>-</v>
      </c>
      <c r="P52" s="3"/>
      <c r="Q52" s="3" t="b">
        <f>IF(AND(O52=G52,K52=C52,M52=E52,ISBLANK(K52)&lt;&gt;TRUE),TRUE,FALSE)</f>
        <v>0</v>
      </c>
      <c r="R52" s="3" t="b">
        <f>IF(OR(AND(O52=G52,K52=C52,K52&gt;M52,M52&lt;&gt;E52,ISBLANK(K52)&lt;&gt;TRUE),AND(O52=G52,M52&gt;K52,K52&lt;&gt;C52,M52=E52,ISBLANK(K52)&lt;&gt;TRUE)),TRUE,FALSE)</f>
        <v>0</v>
      </c>
      <c r="S52" s="3" t="b">
        <f>IF(AND(O52=G52,ABS(K52-M52)=ABS(C52-E52),OR(K52&lt;&gt;C52,M52&lt;&gt;E52),ISBLANK(K52)&lt;&gt;TRUE),TRUE,FALSE)</f>
        <v>0</v>
      </c>
      <c r="T52" s="3" t="b">
        <f>IF(OR(AND(O52=G52,Q52=FALSE,R52=FALSE,S52=FALSE,G52&lt;&gt;"-"),AND(O52="Empate",S52=TRUE)),TRUE,FALSE)</f>
        <v>0</v>
      </c>
      <c r="U52" s="3" t="b">
        <f t="shared" si="0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0">A53</f>
        <v>51</v>
      </c>
      <c r="J53" s="3" t="str">
        <f t="shared" si="50"/>
        <v>Marrocos</v>
      </c>
      <c r="K53" s="3"/>
      <c r="L53" s="3" t="str">
        <f>D53</f>
        <v>x</v>
      </c>
      <c r="M53" s="3"/>
      <c r="N53" s="3" t="str">
        <f>F53</f>
        <v>Haiti</v>
      </c>
      <c r="O53" s="3" t="str">
        <f>IF(K53&gt;M53,J53,IF(M53&gt;K53,N53,IF(ISBLANK(K53),"-","Empate")))</f>
        <v>-</v>
      </c>
      <c r="P53" s="3"/>
      <c r="Q53" s="3" t="b">
        <f>IF(AND(O53=G53,K53=C53,M53=E53,ISBLANK(K53)&lt;&gt;TRUE),TRUE,FALSE)</f>
        <v>0</v>
      </c>
      <c r="R53" s="3" t="b">
        <f>IF(OR(AND(O53=G53,K53=C53,K53&gt;M53,M53&lt;&gt;E53,ISBLANK(K53)&lt;&gt;TRUE),AND(O53=G53,M53&gt;K53,K53&lt;&gt;C53,M53=E53,ISBLANK(K53)&lt;&gt;TRUE)),TRUE,FALSE)</f>
        <v>0</v>
      </c>
      <c r="S53" s="3" t="b">
        <f>IF(AND(O53=G53,ABS(K53-M53)=ABS(C53-E53),OR(K53&lt;&gt;C53,M53&lt;&gt;E53),ISBLANK(K53)&lt;&gt;TRUE),TRUE,FALSE)</f>
        <v>0</v>
      </c>
      <c r="T53" s="3" t="b">
        <f>IF(OR(AND(O53=G53,Q53=FALSE,R53=FALSE,S53=FALSE,G53&lt;&gt;"-"),AND(O53="Empate",S53=TRUE)),TRUE,FALSE)</f>
        <v>0</v>
      </c>
      <c r="U53" s="3" t="b">
        <f t="shared" si="0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51">A54</f>
        <v>52</v>
      </c>
      <c r="J54" s="3" t="str">
        <f t="shared" si="51"/>
        <v>Escócia</v>
      </c>
      <c r="K54" s="3"/>
      <c r="L54" s="3" t="str">
        <f>D54</f>
        <v>x</v>
      </c>
      <c r="M54" s="3"/>
      <c r="N54" s="3" t="str">
        <f>F54</f>
        <v>Brasil</v>
      </c>
      <c r="O54" s="3" t="str">
        <f>IF(K54&gt;M54,J54,IF(M54&gt;K54,N54,IF(ISBLANK(K54),"-","Empate")))</f>
        <v>-</v>
      </c>
      <c r="P54" s="3"/>
      <c r="Q54" s="3" t="b">
        <f>IF(AND(O54=G54,K54=C54,M54=E54,ISBLANK(K54)&lt;&gt;TRUE),TRUE,FALSE)</f>
        <v>0</v>
      </c>
      <c r="R54" s="3" t="b">
        <f>IF(OR(AND(O54=G54,K54=C54,K54&gt;M54,M54&lt;&gt;E54,ISBLANK(K54)&lt;&gt;TRUE),AND(O54=G54,M54&gt;K54,K54&lt;&gt;C54,M54=E54,ISBLANK(K54)&lt;&gt;TRUE)),TRUE,FALSE)</f>
        <v>0</v>
      </c>
      <c r="S54" s="3" t="b">
        <f>IF(AND(O54=G54,ABS(K54-M54)=ABS(C54-E54),OR(K54&lt;&gt;C54,M54&lt;&gt;E54),ISBLANK(K54)&lt;&gt;TRUE),TRUE,FALSE)</f>
        <v>0</v>
      </c>
      <c r="T54" s="3" t="b">
        <f>IF(OR(AND(O54=G54,Q54=FALSE,R54=FALSE,S54=FALSE,G54&lt;&gt;"-"),AND(O54="Empate",S54=TRUE)),TRUE,FALSE)</f>
        <v>0</v>
      </c>
      <c r="U54" s="3" t="b">
        <f t="shared" si="0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52">A55</f>
        <v>53</v>
      </c>
      <c r="J55" s="3" t="str">
        <f t="shared" si="52"/>
        <v>África do Sul</v>
      </c>
      <c r="K55" s="3"/>
      <c r="L55" s="3" t="str">
        <f>D55</f>
        <v>x</v>
      </c>
      <c r="M55" s="3"/>
      <c r="N55" s="3" t="str">
        <f>F55</f>
        <v>Coreia do Sul</v>
      </c>
      <c r="O55" s="3" t="str">
        <f>IF(K55&gt;M55,J55,IF(M55&gt;K55,N55,IF(ISBLANK(K55),"-","Empate")))</f>
        <v>-</v>
      </c>
      <c r="P55" s="3"/>
      <c r="Q55" s="3" t="b">
        <f>IF(AND(O55=G55,K55=C55,M55=E55,ISBLANK(K55)&lt;&gt;TRUE),TRUE,FALSE)</f>
        <v>0</v>
      </c>
      <c r="R55" s="3" t="b">
        <f>IF(OR(AND(O55=G55,K55=C55,K55&gt;M55,M55&lt;&gt;E55,ISBLANK(K55)&lt;&gt;TRUE),AND(O55=G55,M55&gt;K55,K55&lt;&gt;C55,M55=E55,ISBLANK(K55)&lt;&gt;TRUE)),TRUE,FALSE)</f>
        <v>0</v>
      </c>
      <c r="S55" s="3" t="b">
        <f>IF(AND(O55=G55,ABS(K55-M55)=ABS(C55-E55),OR(K55&lt;&gt;C55,M55&lt;&gt;E55),ISBLANK(K55)&lt;&gt;TRUE),TRUE,FALSE)</f>
        <v>0</v>
      </c>
      <c r="T55" s="3" t="b">
        <f>IF(OR(AND(O55=G55,Q55=FALSE,R55=FALSE,S55=FALSE,G55&lt;&gt;"-"),AND(O55="Empate",S55=TRUE)),TRUE,FALSE)</f>
        <v>0</v>
      </c>
      <c r="U55" s="3" t="b">
        <f t="shared" si="0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53">A56</f>
        <v>54</v>
      </c>
      <c r="J56" s="3" t="str">
        <f t="shared" si="53"/>
        <v>Tchéquia</v>
      </c>
      <c r="K56" s="3"/>
      <c r="L56" s="3" t="str">
        <f>D56</f>
        <v>x</v>
      </c>
      <c r="M56" s="3"/>
      <c r="N56" s="3" t="str">
        <f>F56</f>
        <v>México</v>
      </c>
      <c r="O56" s="3" t="str">
        <f>IF(K56&gt;M56,J56,IF(M56&gt;K56,N56,IF(ISBLANK(K56),"-","Empate")))</f>
        <v>-</v>
      </c>
      <c r="P56" s="3"/>
      <c r="Q56" s="3" t="b">
        <f>IF(AND(O56=G56,K56=C56,M56=E56,ISBLANK(K56)&lt;&gt;TRUE),TRUE,FALSE)</f>
        <v>0</v>
      </c>
      <c r="R56" s="3" t="b">
        <f>IF(OR(AND(O56=G56,K56=C56,K56&gt;M56,M56&lt;&gt;E56,ISBLANK(K56)&lt;&gt;TRUE),AND(O56=G56,M56&gt;K56,K56&lt;&gt;C56,M56=E56,ISBLANK(K56)&lt;&gt;TRUE)),TRUE,FALSE)</f>
        <v>0</v>
      </c>
      <c r="S56" s="3" t="b">
        <f>IF(AND(O56=G56,ABS(K56-M56)=ABS(C56-E56),OR(K56&lt;&gt;C56,M56&lt;&gt;E56),ISBLANK(K56)&lt;&gt;TRUE),TRUE,FALSE)</f>
        <v>0</v>
      </c>
      <c r="T56" s="3" t="b">
        <f>IF(OR(AND(O56=G56,Q56=FALSE,R56=FALSE,S56=FALSE,G56&lt;&gt;"-"),AND(O56="Empate",S56=TRUE)),TRUE,FALSE)</f>
        <v>0</v>
      </c>
      <c r="U56" s="3" t="b">
        <f t="shared" si="0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54">A57</f>
        <v>55</v>
      </c>
      <c r="J57" s="3" t="str">
        <f t="shared" si="54"/>
        <v>Curaçao</v>
      </c>
      <c r="K57" s="3"/>
      <c r="L57" s="3" t="str">
        <f>D57</f>
        <v>x</v>
      </c>
      <c r="M57" s="3"/>
      <c r="N57" s="3" t="str">
        <f>F57</f>
        <v>Costa do Marfim</v>
      </c>
      <c r="O57" s="3" t="str">
        <f>IF(K57&gt;M57,J57,IF(M57&gt;K57,N57,IF(ISBLANK(K57),"-","Empate")))</f>
        <v>-</v>
      </c>
      <c r="P57" s="3"/>
      <c r="Q57" s="3" t="b">
        <f>IF(AND(O57=G57,K57=C57,M57=E57,ISBLANK(K57)&lt;&gt;TRUE),TRUE,FALSE)</f>
        <v>0</v>
      </c>
      <c r="R57" s="3" t="b">
        <f>IF(OR(AND(O57=G57,K57=C57,K57&gt;M57,M57&lt;&gt;E57,ISBLANK(K57)&lt;&gt;TRUE),AND(O57=G57,M57&gt;K57,K57&lt;&gt;C57,M57=E57,ISBLANK(K57)&lt;&gt;TRUE)),TRUE,FALSE)</f>
        <v>0</v>
      </c>
      <c r="S57" s="3" t="b">
        <f>IF(AND(O57=G57,ABS(K57-M57)=ABS(C57-E57),OR(K57&lt;&gt;C57,M57&lt;&gt;E57),ISBLANK(K57)&lt;&gt;TRUE),TRUE,FALSE)</f>
        <v>0</v>
      </c>
      <c r="T57" s="3" t="b">
        <f>IF(OR(AND(O57=G57,Q57=FALSE,R57=FALSE,S57=FALSE,G57&lt;&gt;"-"),AND(O57="Empate",S57=TRUE)),TRUE,FALSE)</f>
        <v>0</v>
      </c>
      <c r="U57" s="3" t="b">
        <f t="shared" si="0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55">A58</f>
        <v>56</v>
      </c>
      <c r="J58" s="3" t="str">
        <f t="shared" si="55"/>
        <v>Equador</v>
      </c>
      <c r="K58" s="3"/>
      <c r="L58" s="3" t="str">
        <f>D58</f>
        <v>x</v>
      </c>
      <c r="M58" s="3"/>
      <c r="N58" s="3" t="str">
        <f>F58</f>
        <v>Alemanha</v>
      </c>
      <c r="O58" s="3" t="str">
        <f>IF(K58&gt;M58,J58,IF(M58&gt;K58,N58,IF(ISBLANK(K58),"-","Empate")))</f>
        <v>-</v>
      </c>
      <c r="P58" s="3"/>
      <c r="Q58" s="3" t="b">
        <f>IF(AND(O58=G58,K58=C58,M58=E58,ISBLANK(K58)&lt;&gt;TRUE),TRUE,FALSE)</f>
        <v>0</v>
      </c>
      <c r="R58" s="3" t="b">
        <f>IF(OR(AND(O58=G58,K58=C58,K58&gt;M58,M58&lt;&gt;E58,ISBLANK(K58)&lt;&gt;TRUE),AND(O58=G58,M58&gt;K58,K58&lt;&gt;C58,M58=E58,ISBLANK(K58)&lt;&gt;TRUE)),TRUE,FALSE)</f>
        <v>0</v>
      </c>
      <c r="S58" s="3" t="b">
        <f>IF(AND(O58=G58,ABS(K58-M58)=ABS(C58-E58),OR(K58&lt;&gt;C58,M58&lt;&gt;E58),ISBLANK(K58)&lt;&gt;TRUE),TRUE,FALSE)</f>
        <v>0</v>
      </c>
      <c r="T58" s="3" t="b">
        <f>IF(OR(AND(O58=G58,Q58=FALSE,R58=FALSE,S58=FALSE,G58&lt;&gt;"-"),AND(O58="Empate",S58=TRUE)),TRUE,FALSE)</f>
        <v>0</v>
      </c>
      <c r="U58" s="3" t="b">
        <f t="shared" si="0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56">A59</f>
        <v>57</v>
      </c>
      <c r="J59" s="3" t="str">
        <f t="shared" si="56"/>
        <v>Tunísia</v>
      </c>
      <c r="K59" s="3"/>
      <c r="L59" s="3" t="str">
        <f>D59</f>
        <v>x</v>
      </c>
      <c r="M59" s="3"/>
      <c r="N59" s="3" t="str">
        <f>F59</f>
        <v>Holanda</v>
      </c>
      <c r="O59" s="3" t="str">
        <f>IF(K59&gt;M59,J59,IF(M59&gt;K59,N59,IF(ISBLANK(K59),"-","Empate")))</f>
        <v>-</v>
      </c>
      <c r="P59" s="3"/>
      <c r="Q59" s="3" t="b">
        <f>IF(AND(O59=G59,K59=C59,M59=E59,ISBLANK(K59)&lt;&gt;TRUE),TRUE,FALSE)</f>
        <v>0</v>
      </c>
      <c r="R59" s="3" t="b">
        <f>IF(OR(AND(O59=G59,K59=C59,K59&gt;M59,M59&lt;&gt;E59,ISBLANK(K59)&lt;&gt;TRUE),AND(O59=G59,M59&gt;K59,K59&lt;&gt;C59,M59=E59,ISBLANK(K59)&lt;&gt;TRUE)),TRUE,FALSE)</f>
        <v>0</v>
      </c>
      <c r="S59" s="3" t="b">
        <f>IF(AND(O59=G59,ABS(K59-M59)=ABS(C59-E59),OR(K59&lt;&gt;C59,M59&lt;&gt;E59),ISBLANK(K59)&lt;&gt;TRUE),TRUE,FALSE)</f>
        <v>0</v>
      </c>
      <c r="T59" s="3" t="b">
        <f>IF(OR(AND(O59=G59,Q59=FALSE,R59=FALSE,S59=FALSE,G59&lt;&gt;"-"),AND(O59="Empate",S59=TRUE)),TRUE,FALSE)</f>
        <v>0</v>
      </c>
      <c r="U59" s="3" t="b">
        <f t="shared" si="0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57">A60</f>
        <v>58</v>
      </c>
      <c r="J60" s="3" t="str">
        <f t="shared" si="57"/>
        <v>Japão</v>
      </c>
      <c r="K60" s="3"/>
      <c r="L60" s="3" t="str">
        <f>D60</f>
        <v>x</v>
      </c>
      <c r="M60" s="3"/>
      <c r="N60" s="3" t="str">
        <f>F60</f>
        <v>Suécia</v>
      </c>
      <c r="O60" s="3" t="str">
        <f>IF(K60&gt;M60,J60,IF(M60&gt;K60,N60,IF(ISBLANK(K60),"-","Empate")))</f>
        <v>-</v>
      </c>
      <c r="P60" s="3"/>
      <c r="Q60" s="3" t="b">
        <f>IF(AND(O60=G60,K60=C60,M60=E60,ISBLANK(K60)&lt;&gt;TRUE),TRUE,FALSE)</f>
        <v>0</v>
      </c>
      <c r="R60" s="3" t="b">
        <f>IF(OR(AND(O60=G60,K60=C60,K60&gt;M60,M60&lt;&gt;E60,ISBLANK(K60)&lt;&gt;TRUE),AND(O60=G60,M60&gt;K60,K60&lt;&gt;C60,M60=E60,ISBLANK(K60)&lt;&gt;TRUE)),TRUE,FALSE)</f>
        <v>0</v>
      </c>
      <c r="S60" s="3" t="b">
        <f>IF(AND(O60=G60,ABS(K60-M60)=ABS(C60-E60),OR(K60&lt;&gt;C60,M60&lt;&gt;E60),ISBLANK(K60)&lt;&gt;TRUE),TRUE,FALSE)</f>
        <v>0</v>
      </c>
      <c r="T60" s="3" t="b">
        <f>IF(OR(AND(O60=G60,Q60=FALSE,R60=FALSE,S60=FALSE,G60&lt;&gt;"-"),AND(O60="Empate",S60=TRUE)),TRUE,FALSE)</f>
        <v>0</v>
      </c>
      <c r="U60" s="3" t="b">
        <f t="shared" si="0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58">A61</f>
        <v>59</v>
      </c>
      <c r="J61" s="3" t="str">
        <f t="shared" si="58"/>
        <v>Turquia</v>
      </c>
      <c r="K61" s="3"/>
      <c r="L61" s="3" t="str">
        <f>D61</f>
        <v>x</v>
      </c>
      <c r="M61" s="3"/>
      <c r="N61" s="3" t="str">
        <f>F61</f>
        <v>EUA</v>
      </c>
      <c r="O61" s="3" t="str">
        <f>IF(K61&gt;M61,J61,IF(M61&gt;K61,N61,IF(ISBLANK(K61),"-","Empate")))</f>
        <v>-</v>
      </c>
      <c r="P61" s="3"/>
      <c r="Q61" s="3" t="b">
        <f>IF(AND(O61=G61,K61=C61,M61=E61,ISBLANK(K61)&lt;&gt;TRUE),TRUE,FALSE)</f>
        <v>0</v>
      </c>
      <c r="R61" s="3" t="b">
        <f>IF(OR(AND(O61=G61,K61=C61,K61&gt;M61,M61&lt;&gt;E61,ISBLANK(K61)&lt;&gt;TRUE),AND(O61=G61,M61&gt;K61,K61&lt;&gt;C61,M61=E61,ISBLANK(K61)&lt;&gt;TRUE)),TRUE,FALSE)</f>
        <v>0</v>
      </c>
      <c r="S61" s="3" t="b">
        <f>IF(AND(O61=G61,ABS(K61-M61)=ABS(C61-E61),OR(K61&lt;&gt;C61,M61&lt;&gt;E61),ISBLANK(K61)&lt;&gt;TRUE),TRUE,FALSE)</f>
        <v>0</v>
      </c>
      <c r="T61" s="3" t="b">
        <f>IF(OR(AND(O61=G61,Q61=FALSE,R61=FALSE,S61=FALSE,G61&lt;&gt;"-"),AND(O61="Empate",S61=TRUE)),TRUE,FALSE)</f>
        <v>0</v>
      </c>
      <c r="U61" s="3" t="b">
        <f t="shared" si="0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59">A62</f>
        <v>60</v>
      </c>
      <c r="J62" s="3" t="str">
        <f t="shared" si="59"/>
        <v>Paraguai</v>
      </c>
      <c r="K62" s="3"/>
      <c r="L62" s="3" t="str">
        <f>D62</f>
        <v>x</v>
      </c>
      <c r="M62" s="3"/>
      <c r="N62" s="3" t="str">
        <f>F62</f>
        <v>Austrália</v>
      </c>
      <c r="O62" s="3" t="str">
        <f>IF(K62&gt;M62,J62,IF(M62&gt;K62,N62,IF(ISBLANK(K62),"-","Empate")))</f>
        <v>-</v>
      </c>
      <c r="P62" s="3"/>
      <c r="Q62" s="3" t="b">
        <f>IF(AND(O62=G62,K62=C62,M62=E62,ISBLANK(K62)&lt;&gt;TRUE),TRUE,FALSE)</f>
        <v>0</v>
      </c>
      <c r="R62" s="3" t="b">
        <f>IF(OR(AND(O62=G62,K62=C62,K62&gt;M62,M62&lt;&gt;E62,ISBLANK(K62)&lt;&gt;TRUE),AND(O62=G62,M62&gt;K62,K62&lt;&gt;C62,M62=E62,ISBLANK(K62)&lt;&gt;TRUE)),TRUE,FALSE)</f>
        <v>0</v>
      </c>
      <c r="S62" s="3" t="b">
        <f>IF(AND(O62=G62,ABS(K62-M62)=ABS(C62-E62),OR(K62&lt;&gt;C62,M62&lt;&gt;E62),ISBLANK(K62)&lt;&gt;TRUE),TRUE,FALSE)</f>
        <v>0</v>
      </c>
      <c r="T62" s="3" t="b">
        <f>IF(OR(AND(O62=G62,Q62=FALSE,R62=FALSE,S62=FALSE,G62&lt;&gt;"-"),AND(O62="Empate",S62=TRUE)),TRUE,FALSE)</f>
        <v>0</v>
      </c>
      <c r="U62" s="3" t="b">
        <f t="shared" si="0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0">A63</f>
        <v>61</v>
      </c>
      <c r="J63" s="3" t="str">
        <f t="shared" si="60"/>
        <v>Noruega</v>
      </c>
      <c r="K63" s="3"/>
      <c r="L63" s="3" t="str">
        <f>D63</f>
        <v>x</v>
      </c>
      <c r="M63" s="3"/>
      <c r="N63" s="3" t="str">
        <f>F63</f>
        <v>França</v>
      </c>
      <c r="O63" s="3" t="str">
        <f>IF(K63&gt;M63,J63,IF(M63&gt;K63,N63,IF(ISBLANK(K63),"-","Empate")))</f>
        <v>-</v>
      </c>
      <c r="P63" s="3"/>
      <c r="Q63" s="3" t="b">
        <f>IF(AND(O63=G63,K63=C63,M63=E63,ISBLANK(K63)&lt;&gt;TRUE),TRUE,FALSE)</f>
        <v>0</v>
      </c>
      <c r="R63" s="3" t="b">
        <f>IF(OR(AND(O63=G63,K63=C63,K63&gt;M63,M63&lt;&gt;E63,ISBLANK(K63)&lt;&gt;TRUE),AND(O63=G63,M63&gt;K63,K63&lt;&gt;C63,M63=E63,ISBLANK(K63)&lt;&gt;TRUE)),TRUE,FALSE)</f>
        <v>0</v>
      </c>
      <c r="S63" s="3" t="b">
        <f>IF(AND(O63=G63,ABS(K63-M63)=ABS(C63-E63),OR(K63&lt;&gt;C63,M63&lt;&gt;E63),ISBLANK(K63)&lt;&gt;TRUE),TRUE,FALSE)</f>
        <v>0</v>
      </c>
      <c r="T63" s="3" t="b">
        <f>IF(OR(AND(O63=G63,Q63=FALSE,R63=FALSE,S63=FALSE,G63&lt;&gt;"-"),AND(O63="Empate",S63=TRUE)),TRUE,FALSE)</f>
        <v>0</v>
      </c>
      <c r="U63" s="3" t="b">
        <f t="shared" si="0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61">A64</f>
        <v>62</v>
      </c>
      <c r="J64" s="3" t="str">
        <f t="shared" si="61"/>
        <v>Senegal</v>
      </c>
      <c r="K64" s="3"/>
      <c r="L64" s="3" t="str">
        <f>D64</f>
        <v>x</v>
      </c>
      <c r="M64" s="3"/>
      <c r="N64" s="3" t="str">
        <f>F64</f>
        <v>Iraque</v>
      </c>
      <c r="O64" s="3" t="str">
        <f>IF(K64&gt;M64,J64,IF(M64&gt;K64,N64,IF(ISBLANK(K64),"-","Empate")))</f>
        <v>-</v>
      </c>
      <c r="P64" s="3"/>
      <c r="Q64" s="3" t="b">
        <f>IF(AND(O64=G64,K64=C64,M64=E64,ISBLANK(K64)&lt;&gt;TRUE),TRUE,FALSE)</f>
        <v>0</v>
      </c>
      <c r="R64" s="3" t="b">
        <f>IF(OR(AND(O64=G64,K64=C64,K64&gt;M64,M64&lt;&gt;E64,ISBLANK(K64)&lt;&gt;TRUE),AND(O64=G64,M64&gt;K64,K64&lt;&gt;C64,M64=E64,ISBLANK(K64)&lt;&gt;TRUE)),TRUE,FALSE)</f>
        <v>0</v>
      </c>
      <c r="S64" s="3" t="b">
        <f>IF(AND(O64=G64,ABS(K64-M64)=ABS(C64-E64),OR(K64&lt;&gt;C64,M64&lt;&gt;E64),ISBLANK(K64)&lt;&gt;TRUE),TRUE,FALSE)</f>
        <v>0</v>
      </c>
      <c r="T64" s="3" t="b">
        <f>IF(OR(AND(O64=G64,Q64=FALSE,R64=FALSE,S64=FALSE,G64&lt;&gt;"-"),AND(O64="Empate",S64=TRUE)),TRUE,FALSE)</f>
        <v>0</v>
      </c>
      <c r="U64" s="3" t="b">
        <f t="shared" si="0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62">A65</f>
        <v>63</v>
      </c>
      <c r="J65" s="3" t="str">
        <f t="shared" si="62"/>
        <v>Cabo Verde</v>
      </c>
      <c r="K65" s="3"/>
      <c r="L65" s="3" t="str">
        <f>D65</f>
        <v>x</v>
      </c>
      <c r="M65" s="3"/>
      <c r="N65" s="3" t="str">
        <f>F65</f>
        <v>Arábia Saudita</v>
      </c>
      <c r="O65" s="3" t="str">
        <f>IF(K65&gt;M65,J65,IF(M65&gt;K65,N65,IF(ISBLANK(K65),"-","Empate")))</f>
        <v>-</v>
      </c>
      <c r="P65" s="3"/>
      <c r="Q65" s="3" t="b">
        <f>IF(AND(O65=G65,K65=C65,M65=E65,ISBLANK(K65)&lt;&gt;TRUE),TRUE,FALSE)</f>
        <v>0</v>
      </c>
      <c r="R65" s="3" t="b">
        <f>IF(OR(AND(O65=G65,K65=C65,K65&gt;M65,M65&lt;&gt;E65,ISBLANK(K65)&lt;&gt;TRUE),AND(O65=G65,M65&gt;K65,K65&lt;&gt;C65,M65=E65,ISBLANK(K65)&lt;&gt;TRUE)),TRUE,FALSE)</f>
        <v>0</v>
      </c>
      <c r="S65" s="3" t="b">
        <f>IF(AND(O65=G65,ABS(K65-M65)=ABS(C65-E65),OR(K65&lt;&gt;C65,M65&lt;&gt;E65),ISBLANK(K65)&lt;&gt;TRUE),TRUE,FALSE)</f>
        <v>0</v>
      </c>
      <c r="T65" s="3" t="b">
        <f>IF(OR(AND(O65=G65,Q65=FALSE,R65=FALSE,S65=FALSE,G65&lt;&gt;"-"),AND(O65="Empate",S65=TRUE)),TRUE,FALSE)</f>
        <v>0</v>
      </c>
      <c r="U65" s="3" t="b">
        <f t="shared" si="0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63">A66</f>
        <v>64</v>
      </c>
      <c r="J66" s="3" t="str">
        <f t="shared" si="63"/>
        <v>Uruguai</v>
      </c>
      <c r="K66" s="3"/>
      <c r="L66" s="3" t="str">
        <f>D66</f>
        <v>x</v>
      </c>
      <c r="M66" s="3"/>
      <c r="N66" s="3" t="str">
        <f>F66</f>
        <v>Espanha</v>
      </c>
      <c r="O66" s="3" t="str">
        <f>IF(K66&gt;M66,J66,IF(M66&gt;K66,N66,IF(ISBLANK(K66),"-","Empate")))</f>
        <v>-</v>
      </c>
      <c r="P66" s="3"/>
      <c r="Q66" s="3" t="b">
        <f>IF(AND(O66=G66,K66=C66,M66=E66,ISBLANK(K66)&lt;&gt;TRUE),TRUE,FALSE)</f>
        <v>0</v>
      </c>
      <c r="R66" s="3" t="b">
        <f>IF(OR(AND(O66=G66,K66=C66,K66&gt;M66,M66&lt;&gt;E66,ISBLANK(K66)&lt;&gt;TRUE),AND(O66=G66,M66&gt;K66,K66&lt;&gt;C66,M66=E66,ISBLANK(K66)&lt;&gt;TRUE)),TRUE,FALSE)</f>
        <v>0</v>
      </c>
      <c r="S66" s="3" t="b">
        <f>IF(AND(O66=G66,ABS(K66-M66)=ABS(C66-E66),OR(K66&lt;&gt;C66,M66&lt;&gt;E66),ISBLANK(K66)&lt;&gt;TRUE),TRUE,FALSE)</f>
        <v>0</v>
      </c>
      <c r="T66" s="3" t="b">
        <f>IF(OR(AND(O66=G66,Q66=FALSE,R66=FALSE,S66=FALSE,G66&lt;&gt;"-"),AND(O66="Empate",S66=TRUE)),TRUE,FALSE)</f>
        <v>0</v>
      </c>
      <c r="U66" s="3" t="b">
        <f t="shared" si="0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64">A67</f>
        <v>65</v>
      </c>
      <c r="J67" s="3" t="str">
        <f t="shared" si="64"/>
        <v>Nova Zelândia</v>
      </c>
      <c r="K67" s="3"/>
      <c r="L67" s="3" t="str">
        <f>D67</f>
        <v>x</v>
      </c>
      <c r="M67" s="3"/>
      <c r="N67" s="3" t="str">
        <f>F67</f>
        <v>Bélgica</v>
      </c>
      <c r="O67" s="3" t="str">
        <f>IF(K67&gt;M67,J67,IF(M67&gt;K67,N67,IF(ISBLANK(K67),"-","Empate")))</f>
        <v>-</v>
      </c>
      <c r="P67" s="3"/>
      <c r="Q67" s="3" t="b">
        <f>IF(AND(O67=G67,K67=C67,M67=E67,ISBLANK(K67)&lt;&gt;TRUE),TRUE,FALSE)</f>
        <v>0</v>
      </c>
      <c r="R67" s="3" t="b">
        <f>IF(OR(AND(O67=G67,K67=C67,K67&gt;M67,M67&lt;&gt;E67,ISBLANK(K67)&lt;&gt;TRUE),AND(O67=G67,M67&gt;K67,K67&lt;&gt;C67,M67=E67,ISBLANK(K67)&lt;&gt;TRUE)),TRUE,FALSE)</f>
        <v>0</v>
      </c>
      <c r="S67" s="3" t="b">
        <f>IF(AND(O67=G67,ABS(K67-M67)=ABS(C67-E67),OR(K67&lt;&gt;C67,M67&lt;&gt;E67),ISBLANK(K67)&lt;&gt;TRUE),TRUE,FALSE)</f>
        <v>0</v>
      </c>
      <c r="T67" s="3" t="b">
        <f>IF(OR(AND(O67=G67,Q67=FALSE,R67=FALSE,S67=FALSE,G67&lt;&gt;"-"),AND(O67="Empate",S67=TRUE)),TRUE,FALSE)</f>
        <v>0</v>
      </c>
      <c r="U67" s="3" t="b">
        <f t="shared" si="0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65">A68</f>
        <v>66</v>
      </c>
      <c r="J68" s="3" t="str">
        <f t="shared" si="65"/>
        <v>Egito</v>
      </c>
      <c r="K68" s="3"/>
      <c r="L68" s="3" t="str">
        <f>D68</f>
        <v>x</v>
      </c>
      <c r="M68" s="3"/>
      <c r="N68" s="3" t="str">
        <f>F68</f>
        <v>Irã</v>
      </c>
      <c r="O68" s="3" t="str">
        <f>IF(K68&gt;M68,J68,IF(M68&gt;K68,N68,IF(ISBLANK(K68),"-","Empate")))</f>
        <v>-</v>
      </c>
      <c r="P68" s="3"/>
      <c r="Q68" s="3" t="b">
        <f>IF(AND(O68=G68,K68=C68,M68=E68,ISBLANK(K68)&lt;&gt;TRUE),TRUE,FALSE)</f>
        <v>0</v>
      </c>
      <c r="R68" s="3" t="b">
        <f>IF(OR(AND(O68=G68,K68=C68,K68&gt;M68,M68&lt;&gt;E68,ISBLANK(K68)&lt;&gt;TRUE),AND(O68=G68,M68&gt;K68,K68&lt;&gt;C68,M68=E68,ISBLANK(K68)&lt;&gt;TRUE)),TRUE,FALSE)</f>
        <v>0</v>
      </c>
      <c r="S68" s="3" t="b">
        <f>IF(AND(O68=G68,ABS(K68-M68)=ABS(C68-E68),OR(K68&lt;&gt;C68,M68&lt;&gt;E68),ISBLANK(K68)&lt;&gt;TRUE),TRUE,FALSE)</f>
        <v>0</v>
      </c>
      <c r="T68" s="3" t="b">
        <f>IF(OR(AND(O68=G68,Q68=FALSE,R68=FALSE,S68=FALSE,G68&lt;&gt;"-"),AND(O68="Empate",S68=TRUE)),TRUE,FALSE)</f>
        <v>0</v>
      </c>
      <c r="U68" s="3" t="b">
        <f t="shared" si="0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66">A69</f>
        <v>67</v>
      </c>
      <c r="J69" s="3" t="str">
        <f t="shared" si="66"/>
        <v>Panamá</v>
      </c>
      <c r="K69" s="3"/>
      <c r="L69" s="3" t="str">
        <f>D69</f>
        <v>x</v>
      </c>
      <c r="M69" s="3"/>
      <c r="N69" s="3" t="str">
        <f>F69</f>
        <v>Inglaterra</v>
      </c>
      <c r="O69" s="3" t="str">
        <f>IF(K69&gt;M69,J69,IF(M69&gt;K69,N69,IF(ISBLANK(K69),"-","Empate")))</f>
        <v>-</v>
      </c>
      <c r="P69" s="3"/>
      <c r="Q69" s="3" t="b">
        <f>IF(AND(O69=G69,K69=C69,M69=E69,ISBLANK(K69)&lt;&gt;TRUE),TRUE,FALSE)</f>
        <v>0</v>
      </c>
      <c r="R69" s="3" t="b">
        <f>IF(OR(AND(O69=G69,K69=C69,K69&gt;M69,M69&lt;&gt;E69,ISBLANK(K69)&lt;&gt;TRUE),AND(O69=G69,M69&gt;K69,K69&lt;&gt;C69,M69=E69,ISBLANK(K69)&lt;&gt;TRUE)),TRUE,FALSE)</f>
        <v>0</v>
      </c>
      <c r="S69" s="3" t="b">
        <f>IF(AND(O69=G69,ABS(K69-M69)=ABS(C69-E69),OR(K69&lt;&gt;C69,M69&lt;&gt;E69),ISBLANK(K69)&lt;&gt;TRUE),TRUE,FALSE)</f>
        <v>0</v>
      </c>
      <c r="T69" s="3" t="b">
        <f>IF(OR(AND(O69=G69,Q69=FALSE,R69=FALSE,S69=FALSE,G69&lt;&gt;"-"),AND(O69="Empate",S69=TRUE)),TRUE,FALSE)</f>
        <v>0</v>
      </c>
      <c r="U69" s="3" t="b">
        <f t="shared" si="0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67">A70</f>
        <v>68</v>
      </c>
      <c r="J70" s="3" t="str">
        <f t="shared" si="67"/>
        <v>Croácia</v>
      </c>
      <c r="K70" s="3"/>
      <c r="L70" s="3" t="str">
        <f>D70</f>
        <v>x</v>
      </c>
      <c r="M70" s="3"/>
      <c r="N70" s="3" t="str">
        <f>F70</f>
        <v>Gana</v>
      </c>
      <c r="O70" s="3" t="str">
        <f>IF(K70&gt;M70,J70,IF(M70&gt;K70,N70,IF(ISBLANK(K70),"-","Empate")))</f>
        <v>-</v>
      </c>
      <c r="P70" s="3"/>
      <c r="Q70" s="3" t="b">
        <f>IF(AND(O70=G70,K70=C70,M70=E70,ISBLANK(K70)&lt;&gt;TRUE),TRUE,FALSE)</f>
        <v>0</v>
      </c>
      <c r="R70" s="3" t="b">
        <f>IF(OR(AND(O70=G70,K70=C70,K70&gt;M70,M70&lt;&gt;E70,ISBLANK(K70)&lt;&gt;TRUE),AND(O70=G70,M70&gt;K70,K70&lt;&gt;C70,M70=E70,ISBLANK(K70)&lt;&gt;TRUE)),TRUE,FALSE)</f>
        <v>0</v>
      </c>
      <c r="S70" s="3" t="b">
        <f>IF(AND(O70=G70,ABS(K70-M70)=ABS(C70-E70),OR(K70&lt;&gt;C70,M70&lt;&gt;E70),ISBLANK(K70)&lt;&gt;TRUE),TRUE,FALSE)</f>
        <v>0</v>
      </c>
      <c r="T70" s="3" t="b">
        <f>IF(OR(AND(O70=G70,Q70=FALSE,R70=FALSE,S70=FALSE,G70&lt;&gt;"-"),AND(O70="Empate",S70=TRUE)),TRUE,FALSE)</f>
        <v>0</v>
      </c>
      <c r="U70" s="3" t="b">
        <f t="shared" si="0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68">A71</f>
        <v>69</v>
      </c>
      <c r="J71" s="3" t="str">
        <f t="shared" si="68"/>
        <v>Colômbia</v>
      </c>
      <c r="K71" s="3"/>
      <c r="L71" s="3" t="str">
        <f>D71</f>
        <v>x</v>
      </c>
      <c r="M71" s="3"/>
      <c r="N71" s="3" t="str">
        <f>F71</f>
        <v>Portugal</v>
      </c>
      <c r="O71" s="3" t="str">
        <f>IF(K71&gt;M71,J71,IF(M71&gt;K71,N71,IF(ISBLANK(K71),"-","Empate")))</f>
        <v>-</v>
      </c>
      <c r="P71" s="3"/>
      <c r="Q71" s="3" t="b">
        <f>IF(AND(O71=G71,K71=C71,M71=E71,ISBLANK(K71)&lt;&gt;TRUE),TRUE,FALSE)</f>
        <v>0</v>
      </c>
      <c r="R71" s="3" t="b">
        <f>IF(OR(AND(O71=G71,K71=C71,K71&gt;M71,M71&lt;&gt;E71,ISBLANK(K71)&lt;&gt;TRUE),AND(O71=G71,M71&gt;K71,K71&lt;&gt;C71,M71=E71,ISBLANK(K71)&lt;&gt;TRUE)),TRUE,FALSE)</f>
        <v>0</v>
      </c>
      <c r="S71" s="3" t="b">
        <f>IF(AND(O71=G71,ABS(K71-M71)=ABS(C71-E71),OR(K71&lt;&gt;C71,M71&lt;&gt;E71),ISBLANK(K71)&lt;&gt;TRUE),TRUE,FALSE)</f>
        <v>0</v>
      </c>
      <c r="T71" s="3" t="b">
        <f>IF(OR(AND(O71=G71,Q71=FALSE,R71=FALSE,S71=FALSE,G71&lt;&gt;"-"),AND(O71="Empate",S71=TRUE)),TRUE,FALSE)</f>
        <v>0</v>
      </c>
      <c r="U71" s="3" t="b">
        <f t="shared" si="0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69">A72</f>
        <v>70</v>
      </c>
      <c r="J72" s="3" t="str">
        <f t="shared" si="69"/>
        <v>RD Congo</v>
      </c>
      <c r="K72" s="3"/>
      <c r="L72" s="3" t="str">
        <f>D72</f>
        <v>x</v>
      </c>
      <c r="M72" s="3"/>
      <c r="N72" s="3" t="str">
        <f>F72</f>
        <v>Uzbequistão</v>
      </c>
      <c r="O72" s="3" t="str">
        <f>IF(K72&gt;M72,J72,IF(M72&gt;K72,N72,IF(ISBLANK(K72),"-","Empate")))</f>
        <v>-</v>
      </c>
      <c r="P72" s="3"/>
      <c r="Q72" s="3" t="b">
        <f>IF(AND(O72=G72,K72=C72,M72=E72,ISBLANK(K72)&lt;&gt;TRUE),TRUE,FALSE)</f>
        <v>0</v>
      </c>
      <c r="R72" s="3" t="b">
        <f>IF(OR(AND(O72=G72,K72=C72,K72&gt;M72,M72&lt;&gt;E72,ISBLANK(K72)&lt;&gt;TRUE),AND(O72=G72,M72&gt;K72,K72&lt;&gt;C72,M72=E72,ISBLANK(K72)&lt;&gt;TRUE)),TRUE,FALSE)</f>
        <v>0</v>
      </c>
      <c r="S72" s="3" t="b">
        <f>IF(AND(O72=G72,ABS(K72-M72)=ABS(C72-E72),OR(K72&lt;&gt;C72,M72&lt;&gt;E72),ISBLANK(K72)&lt;&gt;TRUE),TRUE,FALSE)</f>
        <v>0</v>
      </c>
      <c r="T72" s="3" t="b">
        <f>IF(OR(AND(O72=G72,Q72=FALSE,R72=FALSE,S72=FALSE,G72&lt;&gt;"-"),AND(O72="Empate",S72=TRUE)),TRUE,FALSE)</f>
        <v>0</v>
      </c>
      <c r="U72" s="3" t="b">
        <f t="shared" si="0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0">A73</f>
        <v>71</v>
      </c>
      <c r="J73" s="3" t="str">
        <f t="shared" si="70"/>
        <v>Argélia</v>
      </c>
      <c r="K73" s="3"/>
      <c r="L73" s="3" t="str">
        <f>D73</f>
        <v>x</v>
      </c>
      <c r="M73" s="3"/>
      <c r="N73" s="3" t="str">
        <f>F73</f>
        <v>Áustria</v>
      </c>
      <c r="O73" s="3" t="str">
        <f>IF(K73&gt;M73,J73,IF(M73&gt;K73,N73,IF(ISBLANK(K73),"-","Empate")))</f>
        <v>-</v>
      </c>
      <c r="P73" s="3"/>
      <c r="Q73" s="3" t="b">
        <f>IF(AND(O73=G73,K73=C73,M73=E73,ISBLANK(K73)&lt;&gt;TRUE),TRUE,FALSE)</f>
        <v>0</v>
      </c>
      <c r="R73" s="3" t="b">
        <f>IF(OR(AND(O73=G73,K73=C73,K73&gt;M73,M73&lt;&gt;E73,ISBLANK(K73)&lt;&gt;TRUE),AND(O73=G73,M73&gt;K73,K73&lt;&gt;C73,M73=E73,ISBLANK(K73)&lt;&gt;TRUE)),TRUE,FALSE)</f>
        <v>0</v>
      </c>
      <c r="S73" s="3" t="b">
        <f>IF(AND(O73=G73,ABS(K73-M73)=ABS(C73-E73),OR(K73&lt;&gt;C73,M73&lt;&gt;E73),ISBLANK(K73)&lt;&gt;TRUE),TRUE,FALSE)</f>
        <v>0</v>
      </c>
      <c r="T73" s="3" t="b">
        <f>IF(OR(AND(O73=G73,Q73=FALSE,R73=FALSE,S73=FALSE,G73&lt;&gt;"-"),AND(O73="Empate",S73=TRUE)),TRUE,FALSE)</f>
        <v>0</v>
      </c>
      <c r="U73" s="3" t="b">
        <f t="shared" si="0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71">A74</f>
        <v>72</v>
      </c>
      <c r="J74" s="3" t="str">
        <f t="shared" si="71"/>
        <v>Jordânia</v>
      </c>
      <c r="K74" s="3"/>
      <c r="L74" s="3" t="str">
        <f>D74</f>
        <v>x</v>
      </c>
      <c r="M74" s="3"/>
      <c r="N74" s="3" t="str">
        <f>F74</f>
        <v>Argentina</v>
      </c>
      <c r="O74" s="3" t="str">
        <f>IF(K74&gt;M74,J74,IF(M74&gt;K74,N74,IF(ISBLANK(K74),"-","Empate")))</f>
        <v>-</v>
      </c>
      <c r="P74" s="3"/>
      <c r="Q74" s="3" t="b">
        <f>IF(AND(O74=G74,K74=C74,M74=E74,ISBLANK(K74)&lt;&gt;TRUE),TRUE,FALSE)</f>
        <v>0</v>
      </c>
      <c r="R74" s="3" t="b">
        <f>IF(OR(AND(O74=G74,K74=C74,K74&gt;M74,M74&lt;&gt;E74,ISBLANK(K74)&lt;&gt;TRUE),AND(O74=G74,M74&gt;K74,K74&lt;&gt;C74,M74=E74,ISBLANK(K74)&lt;&gt;TRUE)),TRUE,FALSE)</f>
        <v>0</v>
      </c>
      <c r="S74" s="3" t="b">
        <f>IF(AND(O74=G74,ABS(K74-M74)=ABS(C74-E74),OR(K74&lt;&gt;C74,M74&lt;&gt;E74),ISBLANK(K74)&lt;&gt;TRUE),TRUE,FALSE)</f>
        <v>0</v>
      </c>
      <c r="T74" s="3" t="b">
        <f>IF(OR(AND(O74=G74,Q74=FALSE,R74=FALSE,S74=FALSE,G74&lt;&gt;"-"),AND(O74="Empate",S74=TRUE)),TRUE,FALSE)</f>
        <v>0</v>
      </c>
      <c r="U74" s="3" t="b">
        <f t="shared" si="0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72">A75</f>
        <v>73</v>
      </c>
      <c r="J75" s="3">
        <f t="shared" si="72"/>
        <v>0</v>
      </c>
      <c r="K75" s="3"/>
      <c r="L75" s="3" t="str">
        <f>D75</f>
        <v>x</v>
      </c>
      <c r="M75" s="3"/>
      <c r="N75" s="3">
        <f>F75</f>
        <v>0</v>
      </c>
      <c r="O75" s="3" t="str">
        <f>IF(K75&gt;M75,J75,IF(M75&gt;K75,N75,IF(ISBLANK(K75),"-","Empate")))</f>
        <v>-</v>
      </c>
      <c r="P75" s="3"/>
      <c r="Q75" s="3" t="b">
        <f>IF(AND(O75=G75,K75=C75,M75=E75,ISBLANK(K75)&lt;&gt;TRUE),TRUE,FALSE)</f>
        <v>0</v>
      </c>
      <c r="R75" s="3" t="b">
        <f>IF(OR(AND(O75=G75,K75=C75,K75&gt;M75,M75&lt;&gt;E75,ISBLANK(K75)&lt;&gt;TRUE),AND(O75=G75,M75&gt;K75,K75&lt;&gt;C75,M75=E75,ISBLANK(K75)&lt;&gt;TRUE)),TRUE,FALSE)</f>
        <v>0</v>
      </c>
      <c r="S75" s="3" t="b">
        <f>IF(AND(O75=G75,ABS(K75-M75)=ABS(C75-E75),OR(K75&lt;&gt;C75,M75&lt;&gt;E75),ISBLANK(K75)&lt;&gt;TRUE),TRUE,FALSE)</f>
        <v>0</v>
      </c>
      <c r="T75" s="3" t="b">
        <f>IF(OR(AND(O75=G75,Q75=FALSE,R75=FALSE,S75=FALSE,G75&lt;&gt;"-"),AND(O75="Empate",S75=TRUE)),TRUE,FALSE)</f>
        <v>0</v>
      </c>
      <c r="U75" s="3" t="b">
        <f t="shared" si="0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73">A76</f>
        <v>74</v>
      </c>
      <c r="J76" s="3">
        <f t="shared" si="73"/>
        <v>0</v>
      </c>
      <c r="K76" s="3"/>
      <c r="L76" s="3" t="str">
        <f>D76</f>
        <v>x</v>
      </c>
      <c r="M76" s="3"/>
      <c r="N76" s="3">
        <f>F76</f>
        <v>0</v>
      </c>
      <c r="O76" s="3" t="str">
        <f>IF(K76&gt;M76,J76,IF(M76&gt;K76,N76,IF(ISBLANK(K76),"-","Empate")))</f>
        <v>-</v>
      </c>
      <c r="P76" s="3"/>
      <c r="Q76" s="3" t="b">
        <f>IF(AND(O76=G76,K76=C76,M76=E76,ISBLANK(K76)&lt;&gt;TRUE),TRUE,FALSE)</f>
        <v>0</v>
      </c>
      <c r="R76" s="3" t="b">
        <f>IF(OR(AND(O76=G76,K76=C76,K76&gt;M76,M76&lt;&gt;E76,ISBLANK(K76)&lt;&gt;TRUE),AND(O76=G76,M76&gt;K76,K76&lt;&gt;C76,M76=E76,ISBLANK(K76)&lt;&gt;TRUE)),TRUE,FALSE)</f>
        <v>0</v>
      </c>
      <c r="S76" s="3" t="b">
        <f>IF(AND(O76=G76,ABS(K76-M76)=ABS(C76-E76),OR(K76&lt;&gt;C76,M76&lt;&gt;E76),ISBLANK(K76)&lt;&gt;TRUE),TRUE,FALSE)</f>
        <v>0</v>
      </c>
      <c r="T76" s="3" t="b">
        <f>IF(OR(AND(O76=G76,Q76=FALSE,R76=FALSE,S76=FALSE,G76&lt;&gt;"-"),AND(O76="Empate",S76=TRUE)),TRUE,FALSE)</f>
        <v>0</v>
      </c>
      <c r="U76" s="3" t="b">
        <f t="shared" si="0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74">A77</f>
        <v>75</v>
      </c>
      <c r="J77" s="3">
        <f t="shared" si="74"/>
        <v>0</v>
      </c>
      <c r="K77" s="3"/>
      <c r="L77" s="3" t="str">
        <f>D77</f>
        <v>x</v>
      </c>
      <c r="M77" s="3"/>
      <c r="N77" s="3">
        <f>F77</f>
        <v>0</v>
      </c>
      <c r="O77" s="3" t="str">
        <f>IF(K77&gt;M77,J77,IF(M77&gt;K77,N77,IF(ISBLANK(K77),"-","Empate")))</f>
        <v>-</v>
      </c>
      <c r="P77" s="3"/>
      <c r="Q77" s="3" t="b">
        <f>IF(AND(O77=G77,K77=C77,M77=E77,ISBLANK(K77)&lt;&gt;TRUE),TRUE,FALSE)</f>
        <v>0</v>
      </c>
      <c r="R77" s="3" t="b">
        <f>IF(OR(AND(O77=G77,K77=C77,K77&gt;M77,M77&lt;&gt;E77,ISBLANK(K77)&lt;&gt;TRUE),AND(O77=G77,M77&gt;K77,K77&lt;&gt;C77,M77=E77,ISBLANK(K77)&lt;&gt;TRUE)),TRUE,FALSE)</f>
        <v>0</v>
      </c>
      <c r="S77" s="3" t="b">
        <f>IF(AND(O77=G77,ABS(K77-M77)=ABS(C77-E77),OR(K77&lt;&gt;C77,M77&lt;&gt;E77),ISBLANK(K77)&lt;&gt;TRUE),TRUE,FALSE)</f>
        <v>0</v>
      </c>
      <c r="T77" s="3" t="b">
        <f>IF(OR(AND(O77=G77,Q77=FALSE,R77=FALSE,S77=FALSE,G77&lt;&gt;"-"),AND(O77="Empate",S77=TRUE)),TRUE,FALSE)</f>
        <v>0</v>
      </c>
      <c r="U77" s="3" t="b">
        <f t="shared" si="0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75">A78</f>
        <v>76</v>
      </c>
      <c r="J78" s="3">
        <f t="shared" si="75"/>
        <v>0</v>
      </c>
      <c r="K78" s="3"/>
      <c r="L78" s="3" t="str">
        <f>D78</f>
        <v>x</v>
      </c>
      <c r="M78" s="3"/>
      <c r="N78" s="3">
        <f>F78</f>
        <v>0</v>
      </c>
      <c r="O78" s="3" t="str">
        <f>IF(K78&gt;M78,J78,IF(M78&gt;K78,N78,IF(ISBLANK(K78),"-","Empate")))</f>
        <v>-</v>
      </c>
      <c r="P78" s="3"/>
      <c r="Q78" s="3" t="b">
        <f>IF(AND(O78=G78,K78=C78,M78=E78,ISBLANK(K78)&lt;&gt;TRUE),TRUE,FALSE)</f>
        <v>0</v>
      </c>
      <c r="R78" s="3" t="b">
        <f>IF(OR(AND(O78=G78,K78=C78,K78&gt;M78,M78&lt;&gt;E78,ISBLANK(K78)&lt;&gt;TRUE),AND(O78=G78,M78&gt;K78,K78&lt;&gt;C78,M78=E78,ISBLANK(K78)&lt;&gt;TRUE)),TRUE,FALSE)</f>
        <v>0</v>
      </c>
      <c r="S78" s="3" t="b">
        <f>IF(AND(O78=G78,ABS(K78-M78)=ABS(C78-E78),OR(K78&lt;&gt;C78,M78&lt;&gt;E78),ISBLANK(K78)&lt;&gt;TRUE),TRUE,FALSE)</f>
        <v>0</v>
      </c>
      <c r="T78" s="3" t="b">
        <f>IF(OR(AND(O78=G78,Q78=FALSE,R78=FALSE,S78=FALSE,G78&lt;&gt;"-"),AND(O78="Empate",S78=TRUE)),TRUE,FALSE)</f>
        <v>0</v>
      </c>
      <c r="U78" s="3" t="b">
        <f t="shared" si="0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76">A79</f>
        <v>77</v>
      </c>
      <c r="J79" s="3">
        <f t="shared" si="76"/>
        <v>0</v>
      </c>
      <c r="K79" s="3"/>
      <c r="L79" s="3" t="str">
        <f>D79</f>
        <v>x</v>
      </c>
      <c r="M79" s="3"/>
      <c r="N79" s="3">
        <f>F79</f>
        <v>0</v>
      </c>
      <c r="O79" s="3" t="str">
        <f>IF(K79&gt;M79,J79,IF(M79&gt;K79,N79,IF(ISBLANK(K79),"-","Empate")))</f>
        <v>-</v>
      </c>
      <c r="P79" s="3"/>
      <c r="Q79" s="3" t="b">
        <f>IF(AND(O79=G79,K79=C79,M79=E79,ISBLANK(K79)&lt;&gt;TRUE),TRUE,FALSE)</f>
        <v>0</v>
      </c>
      <c r="R79" s="3" t="b">
        <f>IF(OR(AND(O79=G79,K79=C79,K79&gt;M79,M79&lt;&gt;E79,ISBLANK(K79)&lt;&gt;TRUE),AND(O79=G79,M79&gt;K79,K79&lt;&gt;C79,M79=E79,ISBLANK(K79)&lt;&gt;TRUE)),TRUE,FALSE)</f>
        <v>0</v>
      </c>
      <c r="S79" s="3" t="b">
        <f>IF(AND(O79=G79,ABS(K79-M79)=ABS(C79-E79),OR(K79&lt;&gt;C79,M79&lt;&gt;E79),ISBLANK(K79)&lt;&gt;TRUE),TRUE,FALSE)</f>
        <v>0</v>
      </c>
      <c r="T79" s="3" t="b">
        <f>IF(OR(AND(O79=G79,Q79=FALSE,R79=FALSE,S79=FALSE,G79&lt;&gt;"-"),AND(O79="Empate",S79=TRUE)),TRUE,FALSE)</f>
        <v>0</v>
      </c>
      <c r="U79" s="3" t="b">
        <f t="shared" si="0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77">A80</f>
        <v>78</v>
      </c>
      <c r="J80" s="3">
        <f t="shared" si="77"/>
        <v>0</v>
      </c>
      <c r="K80" s="3"/>
      <c r="L80" s="3" t="str">
        <f>D80</f>
        <v>x</v>
      </c>
      <c r="M80" s="3"/>
      <c r="N80" s="3">
        <f>F80</f>
        <v>0</v>
      </c>
      <c r="O80" s="3" t="str">
        <f>IF(K80&gt;M80,J80,IF(M80&gt;K80,N80,IF(ISBLANK(K80),"-","Empate")))</f>
        <v>-</v>
      </c>
      <c r="P80" s="3"/>
      <c r="Q80" s="3" t="b">
        <f>IF(AND(O80=G80,K80=C80,M80=E80,ISBLANK(K80)&lt;&gt;TRUE),TRUE,FALSE)</f>
        <v>0</v>
      </c>
      <c r="R80" s="3" t="b">
        <f>IF(OR(AND(O80=G80,K80=C80,K80&gt;M80,M80&lt;&gt;E80,ISBLANK(K80)&lt;&gt;TRUE),AND(O80=G80,M80&gt;K80,K80&lt;&gt;C80,M80=E80,ISBLANK(K80)&lt;&gt;TRUE)),TRUE,FALSE)</f>
        <v>0</v>
      </c>
      <c r="S80" s="3" t="b">
        <f>IF(AND(O80=G80,ABS(K80-M80)=ABS(C80-E80),OR(K80&lt;&gt;C80,M80&lt;&gt;E80),ISBLANK(K80)&lt;&gt;TRUE),TRUE,FALSE)</f>
        <v>0</v>
      </c>
      <c r="T80" s="3" t="b">
        <f>IF(OR(AND(O80=G80,Q80=FALSE,R80=FALSE,S80=FALSE,G80&lt;&gt;"-"),AND(O80="Empate",S80=TRUE)),TRUE,FALSE)</f>
        <v>0</v>
      </c>
      <c r="U80" s="3" t="b">
        <f t="shared" si="0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78">A81</f>
        <v>79</v>
      </c>
      <c r="J81" s="3">
        <f t="shared" si="78"/>
        <v>0</v>
      </c>
      <c r="K81" s="3"/>
      <c r="L81" s="3" t="str">
        <f>D81</f>
        <v>x</v>
      </c>
      <c r="M81" s="3"/>
      <c r="N81" s="3">
        <f>F81</f>
        <v>0</v>
      </c>
      <c r="O81" s="3" t="str">
        <f>IF(K81&gt;M81,J81,IF(M81&gt;K81,N81,IF(ISBLANK(K81),"-","Empate")))</f>
        <v>-</v>
      </c>
      <c r="P81" s="3"/>
      <c r="Q81" s="3" t="b">
        <f>IF(AND(O81=G81,K81=C81,M81=E81,ISBLANK(K81)&lt;&gt;TRUE),TRUE,FALSE)</f>
        <v>0</v>
      </c>
      <c r="R81" s="3" t="b">
        <f>IF(OR(AND(O81=G81,K81=C81,K81&gt;M81,M81&lt;&gt;E81,ISBLANK(K81)&lt;&gt;TRUE),AND(O81=G81,M81&gt;K81,K81&lt;&gt;C81,M81=E81,ISBLANK(K81)&lt;&gt;TRUE)),TRUE,FALSE)</f>
        <v>0</v>
      </c>
      <c r="S81" s="3" t="b">
        <f>IF(AND(O81=G81,ABS(K81-M81)=ABS(C81-E81),OR(K81&lt;&gt;C81,M81&lt;&gt;E81),ISBLANK(K81)&lt;&gt;TRUE),TRUE,FALSE)</f>
        <v>0</v>
      </c>
      <c r="T81" s="3" t="b">
        <f>IF(OR(AND(O81=G81,Q81=FALSE,R81=FALSE,S81=FALSE,G81&lt;&gt;"-"),AND(O81="Empate",S81=TRUE)),TRUE,FALSE)</f>
        <v>0</v>
      </c>
      <c r="U81" s="3" t="b">
        <f t="shared" si="0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79">A82</f>
        <v>80</v>
      </c>
      <c r="J82" s="3">
        <f t="shared" si="79"/>
        <v>0</v>
      </c>
      <c r="K82" s="3"/>
      <c r="L82" s="3" t="str">
        <f>D82</f>
        <v>x</v>
      </c>
      <c r="M82" s="3"/>
      <c r="N82" s="3">
        <f>F82</f>
        <v>0</v>
      </c>
      <c r="O82" s="3" t="str">
        <f>IF(K82&gt;M82,J82,IF(M82&gt;K82,N82,IF(ISBLANK(K82),"-","Empate")))</f>
        <v>-</v>
      </c>
      <c r="P82" s="3"/>
      <c r="Q82" s="3" t="b">
        <f>IF(AND(O82=G82,K82=C82,M82=E82,ISBLANK(K82)&lt;&gt;TRUE),TRUE,FALSE)</f>
        <v>0</v>
      </c>
      <c r="R82" s="3" t="b">
        <f>IF(OR(AND(O82=G82,K82=C82,K82&gt;M82,M82&lt;&gt;E82,ISBLANK(K82)&lt;&gt;TRUE),AND(O82=G82,M82&gt;K82,K82&lt;&gt;C82,M82=E82,ISBLANK(K82)&lt;&gt;TRUE)),TRUE,FALSE)</f>
        <v>0</v>
      </c>
      <c r="S82" s="3" t="b">
        <f>IF(AND(O82=G82,ABS(K82-M82)=ABS(C82-E82),OR(K82&lt;&gt;C82,M82&lt;&gt;E82),ISBLANK(K82)&lt;&gt;TRUE),TRUE,FALSE)</f>
        <v>0</v>
      </c>
      <c r="T82" s="3" t="b">
        <f>IF(OR(AND(O82=G82,Q82=FALSE,R82=FALSE,S82=FALSE,G82&lt;&gt;"-"),AND(O82="Empate",S82=TRUE)),TRUE,FALSE)</f>
        <v>0</v>
      </c>
      <c r="U82" s="3" t="b">
        <f t="shared" si="0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0">A83</f>
        <v>81</v>
      </c>
      <c r="J83" s="3">
        <f t="shared" si="80"/>
        <v>0</v>
      </c>
      <c r="K83" s="3"/>
      <c r="L83" s="3" t="str">
        <f>D83</f>
        <v>x</v>
      </c>
      <c r="M83" s="3"/>
      <c r="N83" s="3">
        <f>F83</f>
        <v>0</v>
      </c>
      <c r="O83" s="3" t="str">
        <f>IF(K83&gt;M83,J83,IF(M83&gt;K83,N83,IF(ISBLANK(K83),"-","Empate")))</f>
        <v>-</v>
      </c>
      <c r="P83" s="3"/>
      <c r="Q83" s="3" t="b">
        <f>IF(AND(O83=G83,K83=C83,M83=E83,ISBLANK(K83)&lt;&gt;TRUE),TRUE,FALSE)</f>
        <v>0</v>
      </c>
      <c r="R83" s="3" t="b">
        <f>IF(OR(AND(O83=G83,K83=C83,K83&gt;M83,M83&lt;&gt;E83,ISBLANK(K83)&lt;&gt;TRUE),AND(O83=G83,M83&gt;K83,K83&lt;&gt;C83,M83=E83,ISBLANK(K83)&lt;&gt;TRUE)),TRUE,FALSE)</f>
        <v>0</v>
      </c>
      <c r="S83" s="3" t="b">
        <f>IF(AND(O83=G83,ABS(K83-M83)=ABS(C83-E83),OR(K83&lt;&gt;C83,M83&lt;&gt;E83),ISBLANK(K83)&lt;&gt;TRUE),TRUE,FALSE)</f>
        <v>0</v>
      </c>
      <c r="T83" s="3" t="b">
        <f>IF(OR(AND(O83=G83,Q83=FALSE,R83=FALSE,S83=FALSE,G83&lt;&gt;"-"),AND(O83="Empate",S83=TRUE)),TRUE,FALSE)</f>
        <v>0</v>
      </c>
      <c r="U83" s="3" t="b">
        <f t="shared" si="0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81">A84</f>
        <v>82</v>
      </c>
      <c r="J84" s="3">
        <f t="shared" si="81"/>
        <v>0</v>
      </c>
      <c r="K84" s="3"/>
      <c r="L84" s="3" t="str">
        <f>D84</f>
        <v>x</v>
      </c>
      <c r="M84" s="3"/>
      <c r="N84" s="3">
        <f>F84</f>
        <v>0</v>
      </c>
      <c r="O84" s="3" t="str">
        <f>IF(K84&gt;M84,J84,IF(M84&gt;K84,N84,IF(ISBLANK(K84),"-","Empate")))</f>
        <v>-</v>
      </c>
      <c r="P84" s="3"/>
      <c r="Q84" s="3" t="b">
        <f>IF(AND(O84=G84,K84=C84,M84=E84,ISBLANK(K84)&lt;&gt;TRUE),TRUE,FALSE)</f>
        <v>0</v>
      </c>
      <c r="R84" s="3" t="b">
        <f>IF(OR(AND(O84=G84,K84=C84,K84&gt;M84,M84&lt;&gt;E84,ISBLANK(K84)&lt;&gt;TRUE),AND(O84=G84,M84&gt;K84,K84&lt;&gt;C84,M84=E84,ISBLANK(K84)&lt;&gt;TRUE)),TRUE,FALSE)</f>
        <v>0</v>
      </c>
      <c r="S84" s="3" t="b">
        <f>IF(AND(O84=G84,ABS(K84-M84)=ABS(C84-E84),OR(K84&lt;&gt;C84,M84&lt;&gt;E84),ISBLANK(K84)&lt;&gt;TRUE),TRUE,FALSE)</f>
        <v>0</v>
      </c>
      <c r="T84" s="3" t="b">
        <f>IF(OR(AND(O84=G84,Q84=FALSE,R84=FALSE,S84=FALSE,G84&lt;&gt;"-"),AND(O84="Empate",S84=TRUE)),TRUE,FALSE)</f>
        <v>0</v>
      </c>
      <c r="U84" s="3" t="b">
        <f t="shared" si="0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82">A85</f>
        <v>83</v>
      </c>
      <c r="J85" s="3">
        <f t="shared" si="82"/>
        <v>0</v>
      </c>
      <c r="K85" s="3"/>
      <c r="L85" s="3" t="str">
        <f>D85</f>
        <v>x</v>
      </c>
      <c r="M85" s="3"/>
      <c r="N85" s="3">
        <f>F85</f>
        <v>0</v>
      </c>
      <c r="O85" s="3" t="str">
        <f>IF(K85&gt;M85,J85,IF(M85&gt;K85,N85,IF(ISBLANK(K85),"-","Empate")))</f>
        <v>-</v>
      </c>
      <c r="P85" s="3"/>
      <c r="Q85" s="3" t="b">
        <f>IF(AND(O85=G85,K85=C85,M85=E85,ISBLANK(K85)&lt;&gt;TRUE),TRUE,FALSE)</f>
        <v>0</v>
      </c>
      <c r="R85" s="3" t="b">
        <f>IF(OR(AND(O85=G85,K85=C85,K85&gt;M85,M85&lt;&gt;E85,ISBLANK(K85)&lt;&gt;TRUE),AND(O85=G85,M85&gt;K85,K85&lt;&gt;C85,M85=E85,ISBLANK(K85)&lt;&gt;TRUE)),TRUE,FALSE)</f>
        <v>0</v>
      </c>
      <c r="S85" s="3" t="b">
        <f>IF(AND(O85=G85,ABS(K85-M85)=ABS(C85-E85),OR(K85&lt;&gt;C85,M85&lt;&gt;E85),ISBLANK(K85)&lt;&gt;TRUE),TRUE,FALSE)</f>
        <v>0</v>
      </c>
      <c r="T85" s="3" t="b">
        <f>IF(OR(AND(O85=G85,Q85=FALSE,R85=FALSE,S85=FALSE,G85&lt;&gt;"-"),AND(O85="Empate",S85=TRUE)),TRUE,FALSE)</f>
        <v>0</v>
      </c>
      <c r="U85" s="3" t="b">
        <f t="shared" si="0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83">A86</f>
        <v>84</v>
      </c>
      <c r="J86" s="3">
        <f t="shared" si="83"/>
        <v>0</v>
      </c>
      <c r="K86" s="3"/>
      <c r="L86" s="3" t="str">
        <f>D86</f>
        <v>x</v>
      </c>
      <c r="M86" s="3"/>
      <c r="N86" s="3">
        <f>F86</f>
        <v>0</v>
      </c>
      <c r="O86" s="3" t="str">
        <f>IF(K86&gt;M86,J86,IF(M86&gt;K86,N86,IF(ISBLANK(K86),"-","Empate")))</f>
        <v>-</v>
      </c>
      <c r="P86" s="3"/>
      <c r="Q86" s="3" t="b">
        <f>IF(AND(O86=G86,K86=C86,M86=E86,ISBLANK(K86)&lt;&gt;TRUE),TRUE,FALSE)</f>
        <v>0</v>
      </c>
      <c r="R86" s="3" t="b">
        <f>IF(OR(AND(O86=G86,K86=C86,K86&gt;M86,M86&lt;&gt;E86,ISBLANK(K86)&lt;&gt;TRUE),AND(O86=G86,M86&gt;K86,K86&lt;&gt;C86,M86=E86,ISBLANK(K86)&lt;&gt;TRUE)),TRUE,FALSE)</f>
        <v>0</v>
      </c>
      <c r="S86" s="3" t="b">
        <f>IF(AND(O86=G86,ABS(K86-M86)=ABS(C86-E86),OR(K86&lt;&gt;C86,M86&lt;&gt;E86),ISBLANK(K86)&lt;&gt;TRUE),TRUE,FALSE)</f>
        <v>0</v>
      </c>
      <c r="T86" s="3" t="b">
        <f>IF(OR(AND(O86=G86,Q86=FALSE,R86=FALSE,S86=FALSE,G86&lt;&gt;"-"),AND(O86="Empate",S86=TRUE)),TRUE,FALSE)</f>
        <v>0</v>
      </c>
      <c r="U86" s="3" t="b">
        <f t="shared" si="0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84">A87</f>
        <v>85</v>
      </c>
      <c r="J87" s="3">
        <f t="shared" si="84"/>
        <v>0</v>
      </c>
      <c r="K87" s="3"/>
      <c r="L87" s="3" t="str">
        <f>D87</f>
        <v>x</v>
      </c>
      <c r="M87" s="3"/>
      <c r="N87" s="3">
        <f>F87</f>
        <v>0</v>
      </c>
      <c r="O87" s="3" t="str">
        <f>IF(K87&gt;M87,J87,IF(M87&gt;K87,N87,IF(ISBLANK(K87),"-","Empate")))</f>
        <v>-</v>
      </c>
      <c r="P87" s="3"/>
      <c r="Q87" s="3" t="b">
        <f>IF(AND(O87=G87,K87=C87,M87=E87,ISBLANK(K87)&lt;&gt;TRUE),TRUE,FALSE)</f>
        <v>0</v>
      </c>
      <c r="R87" s="3" t="b">
        <f>IF(OR(AND(O87=G87,K87=C87,K87&gt;M87,M87&lt;&gt;E87,ISBLANK(K87)&lt;&gt;TRUE),AND(O87=G87,M87&gt;K87,K87&lt;&gt;C87,M87=E87,ISBLANK(K87)&lt;&gt;TRUE)),TRUE,FALSE)</f>
        <v>0</v>
      </c>
      <c r="S87" s="3" t="b">
        <f>IF(AND(O87=G87,ABS(K87-M87)=ABS(C87-E87),OR(K87&lt;&gt;C87,M87&lt;&gt;E87),ISBLANK(K87)&lt;&gt;TRUE),TRUE,FALSE)</f>
        <v>0</v>
      </c>
      <c r="T87" s="3" t="b">
        <f>IF(OR(AND(O87=G87,Q87=FALSE,R87=FALSE,S87=FALSE,G87&lt;&gt;"-"),AND(O87="Empate",S87=TRUE)),TRUE,FALSE)</f>
        <v>0</v>
      </c>
      <c r="U87" s="3" t="b">
        <f t="shared" si="0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85">A88</f>
        <v>86</v>
      </c>
      <c r="J88" s="3">
        <f t="shared" si="85"/>
        <v>0</v>
      </c>
      <c r="K88" s="3"/>
      <c r="L88" s="3" t="str">
        <f>D88</f>
        <v>x</v>
      </c>
      <c r="M88" s="3"/>
      <c r="N88" s="3">
        <f>F88</f>
        <v>0</v>
      </c>
      <c r="O88" s="3" t="str">
        <f>IF(K88&gt;M88,J88,IF(M88&gt;K88,N88,IF(ISBLANK(K88),"-","Empate")))</f>
        <v>-</v>
      </c>
      <c r="P88" s="3"/>
      <c r="Q88" s="3" t="b">
        <f>IF(AND(O88=G88,K88=C88,M88=E88,ISBLANK(K88)&lt;&gt;TRUE),TRUE,FALSE)</f>
        <v>0</v>
      </c>
      <c r="R88" s="3" t="b">
        <f>IF(OR(AND(O88=G88,K88=C88,K88&gt;M88,M88&lt;&gt;E88,ISBLANK(K88)&lt;&gt;TRUE),AND(O88=G88,M88&gt;K88,K88&lt;&gt;C88,M88=E88,ISBLANK(K88)&lt;&gt;TRUE)),TRUE,FALSE)</f>
        <v>0</v>
      </c>
      <c r="S88" s="3" t="b">
        <f>IF(AND(O88=G88,ABS(K88-M88)=ABS(C88-E88),OR(K88&lt;&gt;C88,M88&lt;&gt;E88),ISBLANK(K88)&lt;&gt;TRUE),TRUE,FALSE)</f>
        <v>0</v>
      </c>
      <c r="T88" s="3" t="b">
        <f>IF(OR(AND(O88=G88,Q88=FALSE,R88=FALSE,S88=FALSE,G88&lt;&gt;"-"),AND(O88="Empate",S88=TRUE)),TRUE,FALSE)</f>
        <v>0</v>
      </c>
      <c r="U88" s="3" t="b">
        <f t="shared" si="0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86">A89</f>
        <v>87</v>
      </c>
      <c r="J89" s="3">
        <f t="shared" si="86"/>
        <v>0</v>
      </c>
      <c r="K89" s="3"/>
      <c r="L89" s="3" t="str">
        <f>D89</f>
        <v>x</v>
      </c>
      <c r="M89" s="3"/>
      <c r="N89" s="3">
        <f>F89</f>
        <v>0</v>
      </c>
      <c r="O89" s="3" t="str">
        <f>IF(K89&gt;M89,J89,IF(M89&gt;K89,N89,IF(ISBLANK(K89),"-","Empate")))</f>
        <v>-</v>
      </c>
      <c r="P89" s="3"/>
      <c r="Q89" s="3" t="b">
        <f>IF(AND(O89=G89,K89=C89,M89=E89,ISBLANK(K89)&lt;&gt;TRUE),TRUE,FALSE)</f>
        <v>0</v>
      </c>
      <c r="R89" s="3" t="b">
        <f>IF(OR(AND(O89=G89,K89=C89,K89&gt;M89,M89&lt;&gt;E89,ISBLANK(K89)&lt;&gt;TRUE),AND(O89=G89,M89&gt;K89,K89&lt;&gt;C89,M89=E89,ISBLANK(K89)&lt;&gt;TRUE)),TRUE,FALSE)</f>
        <v>0</v>
      </c>
      <c r="S89" s="3" t="b">
        <f>IF(AND(O89=G89,ABS(K89-M89)=ABS(C89-E89),OR(K89&lt;&gt;C89,M89&lt;&gt;E89),ISBLANK(K89)&lt;&gt;TRUE),TRUE,FALSE)</f>
        <v>0</v>
      </c>
      <c r="T89" s="3" t="b">
        <f>IF(OR(AND(O89=G89,Q89=FALSE,R89=FALSE,S89=FALSE,G89&lt;&gt;"-"),AND(O89="Empate",S89=TRUE)),TRUE,FALSE)</f>
        <v>0</v>
      </c>
      <c r="U89" s="3" t="b">
        <f t="shared" si="0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87">A90</f>
        <v>88</v>
      </c>
      <c r="J90" s="3">
        <f t="shared" si="87"/>
        <v>0</v>
      </c>
      <c r="K90" s="3"/>
      <c r="L90" s="3" t="str">
        <f>D90</f>
        <v>x</v>
      </c>
      <c r="M90" s="3"/>
      <c r="N90" s="3">
        <f>F90</f>
        <v>0</v>
      </c>
      <c r="O90" s="3" t="str">
        <f>IF(K90&gt;M90,J90,IF(M90&gt;K90,N90,IF(ISBLANK(K90),"-","Empate")))</f>
        <v>-</v>
      </c>
      <c r="P90" s="3"/>
      <c r="Q90" s="3" t="b">
        <f>IF(AND(O90=G90,K90=C90,M90=E90,ISBLANK(K90)&lt;&gt;TRUE),TRUE,FALSE)</f>
        <v>0</v>
      </c>
      <c r="R90" s="3" t="b">
        <f>IF(OR(AND(O90=G90,K90=C90,K90&gt;M90,M90&lt;&gt;E90,ISBLANK(K90)&lt;&gt;TRUE),AND(O90=G90,M90&gt;K90,K90&lt;&gt;C90,M90=E90,ISBLANK(K90)&lt;&gt;TRUE)),TRUE,FALSE)</f>
        <v>0</v>
      </c>
      <c r="S90" s="3" t="b">
        <f>IF(AND(O90=G90,ABS(K90-M90)=ABS(C90-E90),OR(K90&lt;&gt;C90,M90&lt;&gt;E90),ISBLANK(K90)&lt;&gt;TRUE),TRUE,FALSE)</f>
        <v>0</v>
      </c>
      <c r="T90" s="3" t="b">
        <f>IF(OR(AND(O90=G90,Q90=FALSE,R90=FALSE,S90=FALSE,G90&lt;&gt;"-"),AND(O90="Empate",S90=TRUE)),TRUE,FALSE)</f>
        <v>0</v>
      </c>
      <c r="U90" s="3" t="b">
        <f t="shared" si="0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88">A91</f>
        <v>89</v>
      </c>
      <c r="J91" s="3">
        <f t="shared" si="88"/>
        <v>0</v>
      </c>
      <c r="K91" s="3"/>
      <c r="L91" s="3" t="str">
        <f>D91</f>
        <v>x</v>
      </c>
      <c r="M91" s="3"/>
      <c r="N91" s="3">
        <f>F91</f>
        <v>0</v>
      </c>
      <c r="O91" s="3" t="str">
        <f>IF(K91&gt;M91,J91,IF(M91&gt;K91,N91,IF(ISBLANK(K91),"-","Empate")))</f>
        <v>-</v>
      </c>
      <c r="P91" s="3"/>
      <c r="Q91" s="3" t="b">
        <f>IF(AND(O91=G91,K91=C91,M91=E91,ISBLANK(K91)&lt;&gt;TRUE),TRUE,FALSE)</f>
        <v>0</v>
      </c>
      <c r="R91" s="3" t="b">
        <f>IF(OR(AND(O91=G91,K91=C91,K91&gt;M91,M91&lt;&gt;E91,ISBLANK(K91)&lt;&gt;TRUE),AND(O91=G91,M91&gt;K91,K91&lt;&gt;C91,M91=E91,ISBLANK(K91)&lt;&gt;TRUE)),TRUE,FALSE)</f>
        <v>0</v>
      </c>
      <c r="S91" s="3" t="b">
        <f>IF(AND(O91=G91,ABS(K91-M91)=ABS(C91-E91),OR(K91&lt;&gt;C91,M91&lt;&gt;E91),ISBLANK(K91)&lt;&gt;TRUE),TRUE,FALSE)</f>
        <v>0</v>
      </c>
      <c r="T91" s="3" t="b">
        <f>IF(OR(AND(O91=G91,Q91=FALSE,R91=FALSE,S91=FALSE,G91&lt;&gt;"-"),AND(O91="Empate",S91=TRUE)),TRUE,FALSE)</f>
        <v>0</v>
      </c>
      <c r="U91" s="3" t="b">
        <f t="shared" si="0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89">A92</f>
        <v>90</v>
      </c>
      <c r="J92" s="3">
        <f t="shared" si="89"/>
        <v>0</v>
      </c>
      <c r="K92" s="3"/>
      <c r="L92" s="3" t="str">
        <f>D92</f>
        <v>x</v>
      </c>
      <c r="M92" s="3"/>
      <c r="N92" s="3">
        <f>F92</f>
        <v>0</v>
      </c>
      <c r="O92" s="3" t="str">
        <f>IF(K92&gt;M92,J92,IF(M92&gt;K92,N92,IF(ISBLANK(K92),"-","Empate")))</f>
        <v>-</v>
      </c>
      <c r="P92" s="3"/>
      <c r="Q92" s="3" t="b">
        <f>IF(AND(O92=G92,K92=C92,M92=E92,ISBLANK(K92)&lt;&gt;TRUE),TRUE,FALSE)</f>
        <v>0</v>
      </c>
      <c r="R92" s="3" t="b">
        <f>IF(OR(AND(O92=G92,K92=C92,K92&gt;M92,M92&lt;&gt;E92,ISBLANK(K92)&lt;&gt;TRUE),AND(O92=G92,M92&gt;K92,K92&lt;&gt;C92,M92=E92,ISBLANK(K92)&lt;&gt;TRUE)),TRUE,FALSE)</f>
        <v>0</v>
      </c>
      <c r="S92" s="3" t="b">
        <f>IF(AND(O92=G92,ABS(K92-M92)=ABS(C92-E92),OR(K92&lt;&gt;C92,M92&lt;&gt;E92),ISBLANK(K92)&lt;&gt;TRUE),TRUE,FALSE)</f>
        <v>0</v>
      </c>
      <c r="T92" s="3" t="b">
        <f>IF(OR(AND(O92=G92,Q92=FALSE,R92=FALSE,S92=FALSE,G92&lt;&gt;"-"),AND(O92="Empate",S92=TRUE)),TRUE,FALSE)</f>
        <v>0</v>
      </c>
      <c r="U92" s="3" t="b">
        <f t="shared" si="0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0">A93</f>
        <v>91</v>
      </c>
      <c r="J93" s="3">
        <f t="shared" si="90"/>
        <v>0</v>
      </c>
      <c r="K93" s="3"/>
      <c r="L93" s="3" t="str">
        <f>D93</f>
        <v>x</v>
      </c>
      <c r="M93" s="3"/>
      <c r="N93" s="3">
        <f>F93</f>
        <v>0</v>
      </c>
      <c r="O93" s="3" t="str">
        <f>IF(K93&gt;M93,J93,IF(M93&gt;K93,N93,IF(ISBLANK(K93),"-","Empate")))</f>
        <v>-</v>
      </c>
      <c r="P93" s="3"/>
      <c r="Q93" s="3" t="b">
        <f>IF(AND(O93=G93,K93=C93,M93=E93,ISBLANK(K93)&lt;&gt;TRUE),TRUE,FALSE)</f>
        <v>0</v>
      </c>
      <c r="R93" s="3" t="b">
        <f>IF(OR(AND(O93=G93,K93=C93,K93&gt;M93,M93&lt;&gt;E93,ISBLANK(K93)&lt;&gt;TRUE),AND(O93=G93,M93&gt;K93,K93&lt;&gt;C93,M93=E93,ISBLANK(K93)&lt;&gt;TRUE)),TRUE,FALSE)</f>
        <v>0</v>
      </c>
      <c r="S93" s="3" t="b">
        <f>IF(AND(O93=G93,ABS(K93-M93)=ABS(C93-E93),OR(K93&lt;&gt;C93,M93&lt;&gt;E93),ISBLANK(K93)&lt;&gt;TRUE),TRUE,FALSE)</f>
        <v>0</v>
      </c>
      <c r="T93" s="3" t="b">
        <f>IF(OR(AND(O93=G93,Q93=FALSE,R93=FALSE,S93=FALSE,G93&lt;&gt;"-"),AND(O93="Empate",S93=TRUE)),TRUE,FALSE)</f>
        <v>0</v>
      </c>
      <c r="U93" s="3" t="b">
        <f t="shared" si="0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91">A94</f>
        <v>92</v>
      </c>
      <c r="J94" s="3">
        <f t="shared" si="91"/>
        <v>0</v>
      </c>
      <c r="K94" s="3"/>
      <c r="L94" s="3" t="str">
        <f>D94</f>
        <v>x</v>
      </c>
      <c r="M94" s="3"/>
      <c r="N94" s="3">
        <f>F94</f>
        <v>0</v>
      </c>
      <c r="O94" s="3" t="str">
        <f>IF(K94&gt;M94,J94,IF(M94&gt;K94,N94,IF(ISBLANK(K94),"-","Empate")))</f>
        <v>-</v>
      </c>
      <c r="P94" s="3"/>
      <c r="Q94" s="3" t="b">
        <f>IF(AND(O94=G94,K94=C94,M94=E94,ISBLANK(K94)&lt;&gt;TRUE),TRUE,FALSE)</f>
        <v>0</v>
      </c>
      <c r="R94" s="3" t="b">
        <f>IF(OR(AND(O94=G94,K94=C94,K94&gt;M94,M94&lt;&gt;E94,ISBLANK(K94)&lt;&gt;TRUE),AND(O94=G94,M94&gt;K94,K94&lt;&gt;C94,M94=E94,ISBLANK(K94)&lt;&gt;TRUE)),TRUE,FALSE)</f>
        <v>0</v>
      </c>
      <c r="S94" s="3" t="b">
        <f>IF(AND(O94=G94,ABS(K94-M94)=ABS(C94-E94),OR(K94&lt;&gt;C94,M94&lt;&gt;E94),ISBLANK(K94)&lt;&gt;TRUE),TRUE,FALSE)</f>
        <v>0</v>
      </c>
      <c r="T94" s="3" t="b">
        <f>IF(OR(AND(O94=G94,Q94=FALSE,R94=FALSE,S94=FALSE,G94&lt;&gt;"-"),AND(O94="Empate",S94=TRUE)),TRUE,FALSE)</f>
        <v>0</v>
      </c>
      <c r="U94" s="3" t="b">
        <f t="shared" si="0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92">A95</f>
        <v>93</v>
      </c>
      <c r="J95" s="3">
        <f t="shared" si="92"/>
        <v>0</v>
      </c>
      <c r="K95" s="3"/>
      <c r="L95" s="3" t="str">
        <f>D95</f>
        <v>x</v>
      </c>
      <c r="M95" s="3"/>
      <c r="N95" s="3">
        <f>F95</f>
        <v>0</v>
      </c>
      <c r="O95" s="3" t="str">
        <f>IF(K95&gt;M95,J95,IF(M95&gt;K95,N95,IF(ISBLANK(K95),"-","Empate")))</f>
        <v>-</v>
      </c>
      <c r="P95" s="3"/>
      <c r="Q95" s="3" t="b">
        <f>IF(AND(O95=G95,K95=C95,M95=E95,ISBLANK(K95)&lt;&gt;TRUE),TRUE,FALSE)</f>
        <v>0</v>
      </c>
      <c r="R95" s="3" t="b">
        <f>IF(OR(AND(O95=G95,K95=C95,K95&gt;M95,M95&lt;&gt;E95,ISBLANK(K95)&lt;&gt;TRUE),AND(O95=G95,M95&gt;K95,K95&lt;&gt;C95,M95=E95,ISBLANK(K95)&lt;&gt;TRUE)),TRUE,FALSE)</f>
        <v>0</v>
      </c>
      <c r="S95" s="3" t="b">
        <f>IF(AND(O95=G95,ABS(K95-M95)=ABS(C95-E95),OR(K95&lt;&gt;C95,M95&lt;&gt;E95),ISBLANK(K95)&lt;&gt;TRUE),TRUE,FALSE)</f>
        <v>0</v>
      </c>
      <c r="T95" s="3" t="b">
        <f>IF(OR(AND(O95=G95,Q95=FALSE,R95=FALSE,S95=FALSE,G95&lt;&gt;"-"),AND(O95="Empate",S95=TRUE)),TRUE,FALSE)</f>
        <v>0</v>
      </c>
      <c r="U95" s="3" t="b">
        <f t="shared" si="0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93">A96</f>
        <v>94</v>
      </c>
      <c r="J96" s="3">
        <f t="shared" si="93"/>
        <v>0</v>
      </c>
      <c r="K96" s="3"/>
      <c r="L96" s="3" t="str">
        <f>D96</f>
        <v>x</v>
      </c>
      <c r="M96" s="3"/>
      <c r="N96" s="3">
        <f>F96</f>
        <v>0</v>
      </c>
      <c r="O96" s="3" t="str">
        <f>IF(K96&gt;M96,J96,IF(M96&gt;K96,N96,IF(ISBLANK(K96),"-","Empate")))</f>
        <v>-</v>
      </c>
      <c r="P96" s="3"/>
      <c r="Q96" s="3" t="b">
        <f>IF(AND(O96=G96,K96=C96,M96=E96,ISBLANK(K96)&lt;&gt;TRUE),TRUE,FALSE)</f>
        <v>0</v>
      </c>
      <c r="R96" s="3" t="b">
        <f>IF(OR(AND(O96=G96,K96=C96,K96&gt;M96,M96&lt;&gt;E96,ISBLANK(K96)&lt;&gt;TRUE),AND(O96=G96,M96&gt;K96,K96&lt;&gt;C96,M96=E96,ISBLANK(K96)&lt;&gt;TRUE)),TRUE,FALSE)</f>
        <v>0</v>
      </c>
      <c r="S96" s="3" t="b">
        <f>IF(AND(O96=G96,ABS(K96-M96)=ABS(C96-E96),OR(K96&lt;&gt;C96,M96&lt;&gt;E96),ISBLANK(K96)&lt;&gt;TRUE),TRUE,FALSE)</f>
        <v>0</v>
      </c>
      <c r="T96" s="3" t="b">
        <f>IF(OR(AND(O96=G96,Q96=FALSE,R96=FALSE,S96=FALSE,G96&lt;&gt;"-"),AND(O96="Empate",S96=TRUE)),TRUE,FALSE)</f>
        <v>0</v>
      </c>
      <c r="U96" s="3" t="b">
        <f t="shared" si="0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94">A97</f>
        <v>95</v>
      </c>
      <c r="J97" s="3">
        <f t="shared" si="94"/>
        <v>0</v>
      </c>
      <c r="K97" s="3"/>
      <c r="L97" s="3" t="str">
        <f>D97</f>
        <v>x</v>
      </c>
      <c r="M97" s="3"/>
      <c r="N97" s="3">
        <f>F97</f>
        <v>0</v>
      </c>
      <c r="O97" s="3" t="str">
        <f>IF(K97&gt;M97,J97,IF(M97&gt;K97,N97,IF(ISBLANK(K97),"-","Empate")))</f>
        <v>-</v>
      </c>
      <c r="P97" s="3"/>
      <c r="Q97" s="3" t="b">
        <f>IF(AND(O97=G97,K97=C97,M97=E97,ISBLANK(K97)&lt;&gt;TRUE),TRUE,FALSE)</f>
        <v>0</v>
      </c>
      <c r="R97" s="3" t="b">
        <f>IF(OR(AND(O97=G97,K97=C97,K97&gt;M97,M97&lt;&gt;E97,ISBLANK(K97)&lt;&gt;TRUE),AND(O97=G97,M97&gt;K97,K97&lt;&gt;C97,M97=E97,ISBLANK(K97)&lt;&gt;TRUE)),TRUE,FALSE)</f>
        <v>0</v>
      </c>
      <c r="S97" s="3" t="b">
        <f>IF(AND(O97=G97,ABS(K97-M97)=ABS(C97-E97),OR(K97&lt;&gt;C97,M97&lt;&gt;E97),ISBLANK(K97)&lt;&gt;TRUE),TRUE,FALSE)</f>
        <v>0</v>
      </c>
      <c r="T97" s="3" t="b">
        <f>IF(OR(AND(O97=G97,Q97=FALSE,R97=FALSE,S97=FALSE,G97&lt;&gt;"-"),AND(O97="Empate",S97=TRUE)),TRUE,FALSE)</f>
        <v>0</v>
      </c>
      <c r="U97" s="3" t="b">
        <f t="shared" si="0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95">A98</f>
        <v>96</v>
      </c>
      <c r="J98" s="3">
        <f t="shared" si="95"/>
        <v>0</v>
      </c>
      <c r="K98" s="3"/>
      <c r="L98" s="3" t="str">
        <f>D98</f>
        <v>x</v>
      </c>
      <c r="M98" s="3"/>
      <c r="N98" s="3">
        <f>F98</f>
        <v>0</v>
      </c>
      <c r="O98" s="3" t="str">
        <f>IF(K98&gt;M98,J98,IF(M98&gt;K98,N98,IF(ISBLANK(K98),"-","Empate")))</f>
        <v>-</v>
      </c>
      <c r="P98" s="3"/>
      <c r="Q98" s="3" t="b">
        <f>IF(AND(O98=G98,K98=C98,M98=E98,ISBLANK(K98)&lt;&gt;TRUE),TRUE,FALSE)</f>
        <v>0</v>
      </c>
      <c r="R98" s="3" t="b">
        <f>IF(OR(AND(O98=G98,K98=C98,K98&gt;M98,M98&lt;&gt;E98,ISBLANK(K98)&lt;&gt;TRUE),AND(O98=G98,M98&gt;K98,K98&lt;&gt;C98,M98=E98,ISBLANK(K98)&lt;&gt;TRUE)),TRUE,FALSE)</f>
        <v>0</v>
      </c>
      <c r="S98" s="3" t="b">
        <f>IF(AND(O98=G98,ABS(K98-M98)=ABS(C98-E98),OR(K98&lt;&gt;C98,M98&lt;&gt;E98),ISBLANK(K98)&lt;&gt;TRUE),TRUE,FALSE)</f>
        <v>0</v>
      </c>
      <c r="T98" s="3" t="b">
        <f>IF(OR(AND(O98=G98,Q98=FALSE,R98=FALSE,S98=FALSE,G98&lt;&gt;"-"),AND(O98="Empate",S98=TRUE)),TRUE,FALSE)</f>
        <v>0</v>
      </c>
      <c r="U98" s="3" t="b">
        <f t="shared" si="0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96">A99</f>
        <v>97</v>
      </c>
      <c r="J99" s="3">
        <f t="shared" si="96"/>
        <v>0</v>
      </c>
      <c r="K99" s="3"/>
      <c r="L99" s="3" t="str">
        <f>D99</f>
        <v>x</v>
      </c>
      <c r="M99" s="3"/>
      <c r="N99" s="3">
        <f>F99</f>
        <v>0</v>
      </c>
      <c r="O99" s="3" t="str">
        <f>IF(K99&gt;M99,J99,IF(M99&gt;K99,N99,IF(ISBLANK(K99),"-","Empate")))</f>
        <v>-</v>
      </c>
      <c r="P99" s="3"/>
      <c r="Q99" s="3" t="b">
        <f>IF(AND(O99=G99,K99=C99,M99=E99,ISBLANK(K99)&lt;&gt;TRUE),TRUE,FALSE)</f>
        <v>0</v>
      </c>
      <c r="R99" s="3" t="b">
        <f>IF(OR(AND(O99=G99,K99=C99,K99&gt;M99,M99&lt;&gt;E99,ISBLANK(K99)&lt;&gt;TRUE),AND(O99=G99,M99&gt;K99,K99&lt;&gt;C99,M99=E99,ISBLANK(K99)&lt;&gt;TRUE)),TRUE,FALSE)</f>
        <v>0</v>
      </c>
      <c r="S99" s="3" t="b">
        <f>IF(AND(O99=G99,ABS(K99-M99)=ABS(C99-E99),OR(K99&lt;&gt;C99,M99&lt;&gt;E99),ISBLANK(K99)&lt;&gt;TRUE),TRUE,FALSE)</f>
        <v>0</v>
      </c>
      <c r="T99" s="3" t="b">
        <f>IF(OR(AND(O99=G99,Q99=FALSE,R99=FALSE,S99=FALSE,G99&lt;&gt;"-"),AND(O99="Empate",S99=TRUE)),TRUE,FALSE)</f>
        <v>0</v>
      </c>
      <c r="U99" s="3" t="b">
        <f t="shared" si="0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97">A100</f>
        <v>98</v>
      </c>
      <c r="J100" s="3">
        <f t="shared" si="97"/>
        <v>0</v>
      </c>
      <c r="K100" s="3"/>
      <c r="L100" s="3" t="str">
        <f>D100</f>
        <v>x</v>
      </c>
      <c r="M100" s="3"/>
      <c r="N100" s="3">
        <f>F100</f>
        <v>0</v>
      </c>
      <c r="O100" s="3" t="str">
        <f>IF(K100&gt;M100,J100,IF(M100&gt;K100,N100,IF(ISBLANK(K100),"-","Empate")))</f>
        <v>-</v>
      </c>
      <c r="P100" s="3"/>
      <c r="Q100" s="3" t="b">
        <f>IF(AND(O100=G100,K100=C100,M100=E100,ISBLANK(K100)&lt;&gt;TRUE),TRUE,FALSE)</f>
        <v>0</v>
      </c>
      <c r="R100" s="3" t="b">
        <f>IF(OR(AND(O100=G100,K100=C100,K100&gt;M100,M100&lt;&gt;E100,ISBLANK(K100)&lt;&gt;TRUE),AND(O100=G100,M100&gt;K100,K100&lt;&gt;C100,M100=E100,ISBLANK(K100)&lt;&gt;TRUE)),TRUE,FALSE)</f>
        <v>0</v>
      </c>
      <c r="S100" s="3" t="b">
        <f>IF(AND(O100=G100,ABS(K100-M100)=ABS(C100-E100),OR(K100&lt;&gt;C100,M100&lt;&gt;E100),ISBLANK(K100)&lt;&gt;TRUE),TRUE,FALSE)</f>
        <v>0</v>
      </c>
      <c r="T100" s="3" t="b">
        <f>IF(OR(AND(O100=G100,Q100=FALSE,R100=FALSE,S100=FALSE,G100&lt;&gt;"-"),AND(O100="Empate",S100=TRUE)),TRUE,FALSE)</f>
        <v>0</v>
      </c>
      <c r="U100" s="3" t="b">
        <f t="shared" si="0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98">A101</f>
        <v>99</v>
      </c>
      <c r="J101" s="3">
        <f t="shared" si="98"/>
        <v>0</v>
      </c>
      <c r="K101" s="3"/>
      <c r="L101" s="3" t="str">
        <f>D101</f>
        <v>x</v>
      </c>
      <c r="M101" s="3"/>
      <c r="N101" s="3">
        <f>F101</f>
        <v>0</v>
      </c>
      <c r="O101" s="3" t="str">
        <f>IF(K101&gt;M101,J101,IF(M101&gt;K101,N101,IF(ISBLANK(K101),"-","Empate")))</f>
        <v>-</v>
      </c>
      <c r="P101" s="3"/>
      <c r="Q101" s="3" t="b">
        <f>IF(AND(O101=G101,K101=C101,M101=E101,ISBLANK(K101)&lt;&gt;TRUE),TRUE,FALSE)</f>
        <v>0</v>
      </c>
      <c r="R101" s="3" t="b">
        <f>IF(OR(AND(O101=G101,K101=C101,K101&gt;M101,M101&lt;&gt;E101,ISBLANK(K101)&lt;&gt;TRUE),AND(O101=G101,M101&gt;K101,K101&lt;&gt;C101,M101=E101,ISBLANK(K101)&lt;&gt;TRUE)),TRUE,FALSE)</f>
        <v>0</v>
      </c>
      <c r="S101" s="3" t="b">
        <f>IF(AND(O101=G101,ABS(K101-M101)=ABS(C101-E101),OR(K101&lt;&gt;C101,M101&lt;&gt;E101),ISBLANK(K101)&lt;&gt;TRUE),TRUE,FALSE)</f>
        <v>0</v>
      </c>
      <c r="T101" s="3" t="b">
        <f>IF(OR(AND(O101=G101,Q101=FALSE,R101=FALSE,S101=FALSE,G101&lt;&gt;"-"),AND(O101="Empate",S101=TRUE)),TRUE,FALSE)</f>
        <v>0</v>
      </c>
      <c r="U101" s="3" t="b">
        <f t="shared" si="0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99">A102</f>
        <v>100</v>
      </c>
      <c r="J102" s="3">
        <f t="shared" si="99"/>
        <v>0</v>
      </c>
      <c r="K102" s="3"/>
      <c r="L102" s="3" t="str">
        <f>D102</f>
        <v>x</v>
      </c>
      <c r="M102" s="3"/>
      <c r="N102" s="3">
        <f>F102</f>
        <v>0</v>
      </c>
      <c r="O102" s="3" t="str">
        <f>IF(K102&gt;M102,J102,IF(M102&gt;K102,N102,IF(ISBLANK(K102),"-","Empate")))</f>
        <v>-</v>
      </c>
      <c r="P102" s="3"/>
      <c r="Q102" s="3" t="b">
        <f>IF(AND(O102=G102,K102=C102,M102=E102,ISBLANK(K102)&lt;&gt;TRUE),TRUE,FALSE)</f>
        <v>0</v>
      </c>
      <c r="R102" s="3" t="b">
        <f>IF(OR(AND(O102=G102,K102=C102,K102&gt;M102,M102&lt;&gt;E102,ISBLANK(K102)&lt;&gt;TRUE),AND(O102=G102,M102&gt;K102,K102&lt;&gt;C102,M102=E102,ISBLANK(K102)&lt;&gt;TRUE)),TRUE,FALSE)</f>
        <v>0</v>
      </c>
      <c r="S102" s="3" t="b">
        <f>IF(AND(O102=G102,ABS(K102-M102)=ABS(C102-E102),OR(K102&lt;&gt;C102,M102&lt;&gt;E102),ISBLANK(K102)&lt;&gt;TRUE),TRUE,FALSE)</f>
        <v>0</v>
      </c>
      <c r="T102" s="3" t="b">
        <f>IF(OR(AND(O102=G102,Q102=FALSE,R102=FALSE,S102=FALSE,G102&lt;&gt;"-"),AND(O102="Empate",S102=TRUE)),TRUE,FALSE)</f>
        <v>0</v>
      </c>
      <c r="U102" s="3" t="b">
        <f t="shared" si="0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0">A103</f>
        <v>101</v>
      </c>
      <c r="J103" s="3">
        <f t="shared" si="100"/>
        <v>0</v>
      </c>
      <c r="K103" s="3"/>
      <c r="L103" s="3" t="str">
        <f>D103</f>
        <v>x</v>
      </c>
      <c r="M103" s="3"/>
      <c r="N103" s="3">
        <f>F103</f>
        <v>0</v>
      </c>
      <c r="O103" s="3" t="str">
        <f>IF(K103&gt;M103,J103,IF(M103&gt;K103,N103,IF(ISBLANK(K103),"-","Empate")))</f>
        <v>-</v>
      </c>
      <c r="P103" s="3"/>
      <c r="Q103" s="3" t="b">
        <f>IF(AND(O103=G103,K103=C103,M103=E103,ISBLANK(K103)&lt;&gt;TRUE),TRUE,FALSE)</f>
        <v>0</v>
      </c>
      <c r="R103" s="3" t="b">
        <f>IF(OR(AND(O103=G103,K103=C103,K103&gt;M103,M103&lt;&gt;E103,ISBLANK(K103)&lt;&gt;TRUE),AND(O103=G103,M103&gt;K103,K103&lt;&gt;C103,M103=E103,ISBLANK(K103)&lt;&gt;TRUE)),TRUE,FALSE)</f>
        <v>0</v>
      </c>
      <c r="S103" s="3" t="b">
        <f>IF(AND(O103=G103,ABS(K103-M103)=ABS(C103-E103),OR(K103&lt;&gt;C103,M103&lt;&gt;E103),ISBLANK(K103)&lt;&gt;TRUE),TRUE,FALSE)</f>
        <v>0</v>
      </c>
      <c r="T103" s="3" t="b">
        <f>IF(OR(AND(O103=G103,Q103=FALSE,R103=FALSE,S103=FALSE,G103&lt;&gt;"-"),AND(O103="Empate",S103=TRUE)),TRUE,FALSE)</f>
        <v>0</v>
      </c>
      <c r="U103" s="3" t="b">
        <f t="shared" si="0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01">A104</f>
        <v>102</v>
      </c>
      <c r="J104" s="3">
        <f t="shared" si="101"/>
        <v>0</v>
      </c>
      <c r="K104" s="3"/>
      <c r="L104" s="3" t="str">
        <f>D104</f>
        <v>x</v>
      </c>
      <c r="M104" s="3"/>
      <c r="N104" s="3">
        <f>F104</f>
        <v>0</v>
      </c>
      <c r="O104" s="3" t="str">
        <f>IF(K104&gt;M104,J104,IF(M104&gt;K104,N104,IF(ISBLANK(K104),"-","Empate")))</f>
        <v>-</v>
      </c>
      <c r="P104" s="3"/>
      <c r="Q104" s="3" t="b">
        <f>IF(AND(O104=G104,K104=C104,M104=E104,ISBLANK(K104)&lt;&gt;TRUE),TRUE,FALSE)</f>
        <v>0</v>
      </c>
      <c r="R104" s="3" t="b">
        <f>IF(OR(AND(O104=G104,K104=C104,K104&gt;M104,M104&lt;&gt;E104,ISBLANK(K104)&lt;&gt;TRUE),AND(O104=G104,M104&gt;K104,K104&lt;&gt;C104,M104=E104,ISBLANK(K104)&lt;&gt;TRUE)),TRUE,FALSE)</f>
        <v>0</v>
      </c>
      <c r="S104" s="3" t="b">
        <f>IF(AND(O104=G104,ABS(K104-M104)=ABS(C104-E104),OR(K104&lt;&gt;C104,M104&lt;&gt;E104),ISBLANK(K104)&lt;&gt;TRUE),TRUE,FALSE)</f>
        <v>0</v>
      </c>
      <c r="T104" s="3" t="b">
        <f>IF(OR(AND(O104=G104,Q104=FALSE,R104=FALSE,S104=FALSE,G104&lt;&gt;"-"),AND(O104="Empate",S104=TRUE)),TRUE,FALSE)</f>
        <v>0</v>
      </c>
      <c r="U104" s="3" t="b">
        <f t="shared" si="0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02">A105</f>
        <v>103</v>
      </c>
      <c r="J105" s="3">
        <f t="shared" si="102"/>
        <v>0</v>
      </c>
      <c r="K105" s="3"/>
      <c r="L105" s="3" t="str">
        <f>D105</f>
        <v>x</v>
      </c>
      <c r="M105" s="3"/>
      <c r="N105" s="3">
        <f>F105</f>
        <v>0</v>
      </c>
      <c r="O105" s="3" t="str">
        <f>IF(K105&gt;M105,J105,IF(M105&gt;K105,N105,IF(ISBLANK(K105),"-","Empate")))</f>
        <v>-</v>
      </c>
      <c r="P105" s="3"/>
      <c r="Q105" s="3" t="b">
        <f>IF(AND(O105=G105,K105=C105,M105=E105,ISBLANK(K105)&lt;&gt;TRUE),TRUE,FALSE)</f>
        <v>0</v>
      </c>
      <c r="R105" s="3" t="b">
        <f>IF(OR(AND(O105=G105,K105=C105,K105&gt;M105,M105&lt;&gt;E105,ISBLANK(K105)&lt;&gt;TRUE),AND(O105=G105,M105&gt;K105,K105&lt;&gt;C105,M105=E105,ISBLANK(K105)&lt;&gt;TRUE)),TRUE,FALSE)</f>
        <v>0</v>
      </c>
      <c r="S105" s="3" t="b">
        <f>IF(AND(O105=G105,ABS(K105-M105)=ABS(C105-E105),OR(K105&lt;&gt;C105,M105&lt;&gt;E105),ISBLANK(K105)&lt;&gt;TRUE),TRUE,FALSE)</f>
        <v>0</v>
      </c>
      <c r="T105" s="3" t="b">
        <f>IF(OR(AND(O105=G105,Q105=FALSE,R105=FALSE,S105=FALSE,G105&lt;&gt;"-"),AND(O105="Empate",S105=TRUE)),TRUE,FALSE)</f>
        <v>0</v>
      </c>
      <c r="U105" s="3" t="b">
        <f t="shared" si="0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03">A106</f>
        <v>104</v>
      </c>
      <c r="J106" s="3">
        <f t="shared" si="103"/>
        <v>0</v>
      </c>
      <c r="K106" s="3"/>
      <c r="L106" s="3" t="str">
        <f>D106</f>
        <v>x</v>
      </c>
      <c r="M106" s="3"/>
      <c r="N106" s="3">
        <f>F106</f>
        <v>0</v>
      </c>
      <c r="O106" s="3" t="str">
        <f>IF(K106&gt;M106,J106,IF(M106&gt;K106,N106,IF(ISBLANK(K106),"-","Empate")))</f>
        <v>-</v>
      </c>
      <c r="P106" s="3"/>
      <c r="Q106" s="3" t="b">
        <f>IF(AND(O106=G106,K106=C106,M106=E106,ISBLANK(K106)&lt;&gt;TRUE),TRUE,FALSE)</f>
        <v>0</v>
      </c>
      <c r="R106" s="3" t="b">
        <f>IF(OR(AND(O106=G106,K106=C106,K106&gt;M106,M106&lt;&gt;E106,ISBLANK(K106)&lt;&gt;TRUE),AND(O106=G106,M106&gt;K106,K106&lt;&gt;C106,M106=E106,ISBLANK(K106)&lt;&gt;TRUE)),TRUE,FALSE)</f>
        <v>0</v>
      </c>
      <c r="S106" s="3" t="b">
        <f>IF(AND(O106=G106,ABS(K106-M106)=ABS(C106-E106),OR(K106&lt;&gt;C106,M106&lt;&gt;E106),ISBLANK(K106)&lt;&gt;TRUE),TRUE,FALSE)</f>
        <v>0</v>
      </c>
      <c r="T106" s="3" t="b">
        <f>IF(OR(AND(O106=G106,Q106=FALSE,R106=FALSE,S106=FALSE,G106&lt;&gt;"-"),AND(O106="Empate",S106=TRUE)),TRUE,FALSE)</f>
        <v>0</v>
      </c>
      <c r="U106" s="3" t="b">
        <f t="shared" si="0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48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4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48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0" workbookViewId="0">
      <selection activeCell="L34" sqref="L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32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1" workbookViewId="0">
      <selection activeCell="M32" sqref="M3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31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abSelected="1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33</v>
      </c>
      <c r="C31" s="2">
        <f>IF('Tabela de Jogos'!C31&lt;&gt;"",Arthur!W31+C30,C30)</f>
        <v>48</v>
      </c>
      <c r="D31" s="2">
        <f>IF('Tabela de Jogos'!C31&lt;&gt;"",Dudu!W31+D30,D30)</f>
        <v>23</v>
      </c>
      <c r="E31" s="2">
        <f>IF('Tabela de Jogos'!C31&lt;&gt;"",Carol!W31+E30,E30)</f>
        <v>33</v>
      </c>
      <c r="F31" s="2">
        <f>IF('Tabela de Jogos'!C31&lt;&gt;"",Ana!W31+F30,F30)</f>
        <v>48</v>
      </c>
      <c r="G31" s="2">
        <f>IF('Tabela de Jogos'!C31&lt;&gt;"",Isa!W31+G30,G30)</f>
        <v>32</v>
      </c>
      <c r="H31" s="2">
        <f>IF('Tabela de Jogos'!C31&lt;&gt;"",Trops!W31+H30,H30)</f>
        <v>31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33</v>
      </c>
      <c r="C32" s="2">
        <f>IF('Tabela de Jogos'!C32&lt;&gt;"",Arthur!W32+C31,C31)</f>
        <v>48</v>
      </c>
      <c r="D32" s="2">
        <f>IF('Tabela de Jogos'!C32&lt;&gt;"",Dudu!W32+D31,D31)</f>
        <v>23</v>
      </c>
      <c r="E32" s="2">
        <f>IF('Tabela de Jogos'!C32&lt;&gt;"",Carol!W32+E31,E31)</f>
        <v>33</v>
      </c>
      <c r="F32" s="2">
        <f>IF('Tabela de Jogos'!C32&lt;&gt;"",Ana!W32+F31,F31)</f>
        <v>48</v>
      </c>
      <c r="G32" s="2">
        <f>IF('Tabela de Jogos'!C32&lt;&gt;"",Isa!W32+G31,G31)</f>
        <v>32</v>
      </c>
      <c r="H32" s="2">
        <f>IF('Tabela de Jogos'!C32&lt;&gt;"",Trops!W32+H31,H31)</f>
        <v>31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33</v>
      </c>
      <c r="C33" s="2">
        <f>IF('Tabela de Jogos'!C33&lt;&gt;"",Arthur!W33+C32,C32)</f>
        <v>48</v>
      </c>
      <c r="D33" s="2">
        <f>IF('Tabela de Jogos'!C33&lt;&gt;"",Dudu!W33+D32,D32)</f>
        <v>23</v>
      </c>
      <c r="E33" s="2">
        <f>IF('Tabela de Jogos'!C33&lt;&gt;"",Carol!W33+E32,E32)</f>
        <v>33</v>
      </c>
      <c r="F33" s="2">
        <f>IF('Tabela de Jogos'!C33&lt;&gt;"",Ana!W33+F32,F32)</f>
        <v>48</v>
      </c>
      <c r="G33" s="2">
        <f>IF('Tabela de Jogos'!C33&lt;&gt;"",Isa!W33+G32,G32)</f>
        <v>32</v>
      </c>
      <c r="H33" s="2">
        <f>IF('Tabela de Jogos'!C33&lt;&gt;"",Trops!W33+H32,H32)</f>
        <v>31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33</v>
      </c>
      <c r="C34" s="2">
        <f>IF('Tabela de Jogos'!C34&lt;&gt;"",Arthur!W34+C33,C33)</f>
        <v>48</v>
      </c>
      <c r="D34" s="2">
        <f>IF('Tabela de Jogos'!C34&lt;&gt;"",Dudu!W34+D33,D33)</f>
        <v>23</v>
      </c>
      <c r="E34" s="2">
        <f>IF('Tabela de Jogos'!C34&lt;&gt;"",Carol!W34+E33,E33)</f>
        <v>33</v>
      </c>
      <c r="F34" s="2">
        <f>IF('Tabela de Jogos'!C34&lt;&gt;"",Ana!W34+F33,F33)</f>
        <v>48</v>
      </c>
      <c r="G34" s="2">
        <f>IF('Tabela de Jogos'!C34&lt;&gt;"",Isa!W34+G33,G33)</f>
        <v>32</v>
      </c>
      <c r="H34" s="2">
        <f>IF('Tabela de Jogos'!C34&lt;&gt;"",Trops!W34+H33,H33)</f>
        <v>31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33</v>
      </c>
      <c r="C35" s="2">
        <f>IF('Tabela de Jogos'!C35&lt;&gt;"",Arthur!W35+C34,C34)</f>
        <v>48</v>
      </c>
      <c r="D35" s="2">
        <f>IF('Tabela de Jogos'!C35&lt;&gt;"",Dudu!W35+D34,D34)</f>
        <v>23</v>
      </c>
      <c r="E35" s="2">
        <f>IF('Tabela de Jogos'!C35&lt;&gt;"",Carol!W35+E34,E34)</f>
        <v>33</v>
      </c>
      <c r="F35" s="2">
        <f>IF('Tabela de Jogos'!C35&lt;&gt;"",Ana!W35+F34,F34)</f>
        <v>48</v>
      </c>
      <c r="G35" s="2">
        <f>IF('Tabela de Jogos'!C35&lt;&gt;"",Isa!W35+G34,G34)</f>
        <v>32</v>
      </c>
      <c r="H35" s="2">
        <f>IF('Tabela de Jogos'!C35&lt;&gt;"",Trops!W35+H34,H34)</f>
        <v>31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33</v>
      </c>
      <c r="C36" s="2">
        <f>IF('Tabela de Jogos'!C36&lt;&gt;"",Arthur!W36+C35,C35)</f>
        <v>48</v>
      </c>
      <c r="D36" s="2">
        <f>IF('Tabela de Jogos'!C36&lt;&gt;"",Dudu!W36+D35,D35)</f>
        <v>23</v>
      </c>
      <c r="E36" s="2">
        <f>IF('Tabela de Jogos'!C36&lt;&gt;"",Carol!W36+E35,E35)</f>
        <v>33</v>
      </c>
      <c r="F36" s="2">
        <f>IF('Tabela de Jogos'!C36&lt;&gt;"",Ana!W36+F35,F35)</f>
        <v>48</v>
      </c>
      <c r="G36" s="2">
        <f>IF('Tabela de Jogos'!C36&lt;&gt;"",Isa!W36+G35,G35)</f>
        <v>32</v>
      </c>
      <c r="H36" s="2">
        <f>IF('Tabela de Jogos'!C36&lt;&gt;"",Trops!W36+H35,H35)</f>
        <v>31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33</v>
      </c>
      <c r="C37" s="2">
        <f>IF('Tabela de Jogos'!C37&lt;&gt;"",Arthur!W37+C36,C36)</f>
        <v>48</v>
      </c>
      <c r="D37" s="2">
        <f>IF('Tabela de Jogos'!C37&lt;&gt;"",Dudu!W37+D36,D36)</f>
        <v>23</v>
      </c>
      <c r="E37" s="2">
        <f>IF('Tabela de Jogos'!C37&lt;&gt;"",Carol!W37+E36,E36)</f>
        <v>33</v>
      </c>
      <c r="F37" s="2">
        <f>IF('Tabela de Jogos'!C37&lt;&gt;"",Ana!W37+F36,F36)</f>
        <v>48</v>
      </c>
      <c r="G37" s="2">
        <f>IF('Tabela de Jogos'!C37&lt;&gt;"",Isa!W37+G36,G36)</f>
        <v>32</v>
      </c>
      <c r="H37" s="2">
        <f>IF('Tabela de Jogos'!C37&lt;&gt;"",Trops!W37+H36,H36)</f>
        <v>31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33</v>
      </c>
      <c r="C38" s="2">
        <f>IF('Tabela de Jogos'!C38&lt;&gt;"",Arthur!W38+C37,C37)</f>
        <v>48</v>
      </c>
      <c r="D38" s="2">
        <f>IF('Tabela de Jogos'!C38&lt;&gt;"",Dudu!W38+D37,D37)</f>
        <v>23</v>
      </c>
      <c r="E38" s="2">
        <f>IF('Tabela de Jogos'!C38&lt;&gt;"",Carol!W38+E37,E37)</f>
        <v>33</v>
      </c>
      <c r="F38" s="2">
        <f>IF('Tabela de Jogos'!C38&lt;&gt;"",Ana!W38+F37,F37)</f>
        <v>48</v>
      </c>
      <c r="G38" s="2">
        <f>IF('Tabela de Jogos'!C38&lt;&gt;"",Isa!W38+G37,G37)</f>
        <v>32</v>
      </c>
      <c r="H38" s="2">
        <f>IF('Tabela de Jogos'!C38&lt;&gt;"",Trops!W38+H37,H37)</f>
        <v>31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33</v>
      </c>
      <c r="C39" s="2">
        <f>IF('Tabela de Jogos'!C39&lt;&gt;"",Arthur!W39+C38,C38)</f>
        <v>48</v>
      </c>
      <c r="D39" s="2">
        <f>IF('Tabela de Jogos'!C39&lt;&gt;"",Dudu!W39+D38,D38)</f>
        <v>23</v>
      </c>
      <c r="E39" s="2">
        <f>IF('Tabela de Jogos'!C39&lt;&gt;"",Carol!W39+E38,E38)</f>
        <v>33</v>
      </c>
      <c r="F39" s="2">
        <f>IF('Tabela de Jogos'!C39&lt;&gt;"",Ana!W39+F38,F38)</f>
        <v>48</v>
      </c>
      <c r="G39" s="2">
        <f>IF('Tabela de Jogos'!C39&lt;&gt;"",Isa!W39+G38,G38)</f>
        <v>32</v>
      </c>
      <c r="H39" s="2">
        <f>IF('Tabela de Jogos'!C39&lt;&gt;"",Trops!W39+H38,H38)</f>
        <v>31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33</v>
      </c>
      <c r="C40" s="2">
        <f>IF('Tabela de Jogos'!C40&lt;&gt;"",Arthur!W40+C39,C39)</f>
        <v>48</v>
      </c>
      <c r="D40" s="2">
        <f>IF('Tabela de Jogos'!C40&lt;&gt;"",Dudu!W40+D39,D39)</f>
        <v>23</v>
      </c>
      <c r="E40" s="2">
        <f>IF('Tabela de Jogos'!C40&lt;&gt;"",Carol!W40+E39,E39)</f>
        <v>33</v>
      </c>
      <c r="F40" s="2">
        <f>IF('Tabela de Jogos'!C40&lt;&gt;"",Ana!W40+F39,F39)</f>
        <v>48</v>
      </c>
      <c r="G40" s="2">
        <f>IF('Tabela de Jogos'!C40&lt;&gt;"",Isa!W40+G39,G39)</f>
        <v>32</v>
      </c>
      <c r="H40" s="2">
        <f>IF('Tabela de Jogos'!C40&lt;&gt;"",Trops!W40+H39,H39)</f>
        <v>31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33</v>
      </c>
      <c r="C41" s="2">
        <f>IF('Tabela de Jogos'!C41&lt;&gt;"",Arthur!W41+C40,C40)</f>
        <v>48</v>
      </c>
      <c r="D41" s="2">
        <f>IF('Tabela de Jogos'!C41&lt;&gt;"",Dudu!W41+D40,D40)</f>
        <v>23</v>
      </c>
      <c r="E41" s="2">
        <f>IF('Tabela de Jogos'!C41&lt;&gt;"",Carol!W41+E40,E40)</f>
        <v>33</v>
      </c>
      <c r="F41" s="2">
        <f>IF('Tabela de Jogos'!C41&lt;&gt;"",Ana!W41+F40,F40)</f>
        <v>48</v>
      </c>
      <c r="G41" s="2">
        <f>IF('Tabela de Jogos'!C41&lt;&gt;"",Isa!W41+G40,G40)</f>
        <v>32</v>
      </c>
      <c r="H41" s="2">
        <f>IF('Tabela de Jogos'!C41&lt;&gt;"",Trops!W41+H40,H40)</f>
        <v>31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33</v>
      </c>
      <c r="C42" s="2">
        <f>IF('Tabela de Jogos'!C42&lt;&gt;"",Arthur!W42+C41,C41)</f>
        <v>48</v>
      </c>
      <c r="D42" s="2">
        <f>IF('Tabela de Jogos'!C42&lt;&gt;"",Dudu!W42+D41,D41)</f>
        <v>23</v>
      </c>
      <c r="E42" s="2">
        <f>IF('Tabela de Jogos'!C42&lt;&gt;"",Carol!W42+E41,E41)</f>
        <v>33</v>
      </c>
      <c r="F42" s="2">
        <f>IF('Tabela de Jogos'!C42&lt;&gt;"",Ana!W42+F41,F41)</f>
        <v>48</v>
      </c>
      <c r="G42" s="2">
        <f>IF('Tabela de Jogos'!C42&lt;&gt;"",Isa!W42+G41,G41)</f>
        <v>32</v>
      </c>
      <c r="H42" s="2">
        <f>IF('Tabela de Jogos'!C42&lt;&gt;"",Trops!W42+H41,H41)</f>
        <v>31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33</v>
      </c>
      <c r="C43" s="2">
        <f>IF('Tabela de Jogos'!C43&lt;&gt;"",Arthur!W43+C42,C42)</f>
        <v>48</v>
      </c>
      <c r="D43" s="2">
        <f>IF('Tabela de Jogos'!C43&lt;&gt;"",Dudu!W43+D42,D42)</f>
        <v>23</v>
      </c>
      <c r="E43" s="2">
        <f>IF('Tabela de Jogos'!C43&lt;&gt;"",Carol!W43+E42,E42)</f>
        <v>33</v>
      </c>
      <c r="F43" s="2">
        <f>IF('Tabela de Jogos'!C43&lt;&gt;"",Ana!W43+F42,F42)</f>
        <v>48</v>
      </c>
      <c r="G43" s="2">
        <f>IF('Tabela de Jogos'!C43&lt;&gt;"",Isa!W43+G42,G42)</f>
        <v>32</v>
      </c>
      <c r="H43" s="2">
        <f>IF('Tabela de Jogos'!C43&lt;&gt;"",Trops!W43+H42,H42)</f>
        <v>31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33</v>
      </c>
      <c r="C44" s="2">
        <f>IF('Tabela de Jogos'!C44&lt;&gt;"",Arthur!W44+C43,C43)</f>
        <v>48</v>
      </c>
      <c r="D44" s="2">
        <f>IF('Tabela de Jogos'!C44&lt;&gt;"",Dudu!W44+D43,D43)</f>
        <v>23</v>
      </c>
      <c r="E44" s="2">
        <f>IF('Tabela de Jogos'!C44&lt;&gt;"",Carol!W44+E43,E43)</f>
        <v>33</v>
      </c>
      <c r="F44" s="2">
        <f>IF('Tabela de Jogos'!C44&lt;&gt;"",Ana!W44+F43,F43)</f>
        <v>48</v>
      </c>
      <c r="G44" s="2">
        <f>IF('Tabela de Jogos'!C44&lt;&gt;"",Isa!W44+G43,G43)</f>
        <v>32</v>
      </c>
      <c r="H44" s="2">
        <f>IF('Tabela de Jogos'!C44&lt;&gt;"",Trops!W44+H43,H43)</f>
        <v>31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33</v>
      </c>
      <c r="C45" s="2">
        <f>IF('Tabela de Jogos'!C45&lt;&gt;"",Arthur!W45+C44,C44)</f>
        <v>48</v>
      </c>
      <c r="D45" s="2">
        <f>IF('Tabela de Jogos'!C45&lt;&gt;"",Dudu!W45+D44,D44)</f>
        <v>23</v>
      </c>
      <c r="E45" s="2">
        <f>IF('Tabela de Jogos'!C45&lt;&gt;"",Carol!W45+E44,E44)</f>
        <v>33</v>
      </c>
      <c r="F45" s="2">
        <f>IF('Tabela de Jogos'!C45&lt;&gt;"",Ana!W45+F44,F44)</f>
        <v>48</v>
      </c>
      <c r="G45" s="2">
        <f>IF('Tabela de Jogos'!C45&lt;&gt;"",Isa!W45+G44,G44)</f>
        <v>32</v>
      </c>
      <c r="H45" s="2">
        <f>IF('Tabela de Jogos'!C45&lt;&gt;"",Trops!W45+H44,H44)</f>
        <v>31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33</v>
      </c>
      <c r="C46" s="2">
        <f>IF('Tabela de Jogos'!C46&lt;&gt;"",Arthur!W46+C45,C45)</f>
        <v>48</v>
      </c>
      <c r="D46" s="2">
        <f>IF('Tabela de Jogos'!C46&lt;&gt;"",Dudu!W46+D45,D45)</f>
        <v>23</v>
      </c>
      <c r="E46" s="2">
        <f>IF('Tabela de Jogos'!C46&lt;&gt;"",Carol!W46+E45,E45)</f>
        <v>33</v>
      </c>
      <c r="F46" s="2">
        <f>IF('Tabela de Jogos'!C46&lt;&gt;"",Ana!W46+F45,F45)</f>
        <v>48</v>
      </c>
      <c r="G46" s="2">
        <f>IF('Tabela de Jogos'!C46&lt;&gt;"",Isa!W46+G45,G45)</f>
        <v>32</v>
      </c>
      <c r="H46" s="2">
        <f>IF('Tabela de Jogos'!C46&lt;&gt;"",Trops!W46+H45,H45)</f>
        <v>31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33</v>
      </c>
      <c r="C47" s="2">
        <f>IF('Tabela de Jogos'!C47&lt;&gt;"",Arthur!W47+C46,C46)</f>
        <v>48</v>
      </c>
      <c r="D47" s="2">
        <f>IF('Tabela de Jogos'!C47&lt;&gt;"",Dudu!W47+D46,D46)</f>
        <v>23</v>
      </c>
      <c r="E47" s="2">
        <f>IF('Tabela de Jogos'!C47&lt;&gt;"",Carol!W47+E46,E46)</f>
        <v>33</v>
      </c>
      <c r="F47" s="2">
        <f>IF('Tabela de Jogos'!C47&lt;&gt;"",Ana!W47+F46,F46)</f>
        <v>48</v>
      </c>
      <c r="G47" s="2">
        <f>IF('Tabela de Jogos'!C47&lt;&gt;"",Isa!W47+G46,G46)</f>
        <v>32</v>
      </c>
      <c r="H47" s="2">
        <f>IF('Tabela de Jogos'!C47&lt;&gt;"",Trops!W47+H46,H46)</f>
        <v>31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33</v>
      </c>
      <c r="C48" s="2">
        <f>IF('Tabela de Jogos'!C48&lt;&gt;"",Arthur!W48+C47,C47)</f>
        <v>48</v>
      </c>
      <c r="D48" s="2">
        <f>IF('Tabela de Jogos'!C48&lt;&gt;"",Dudu!W48+D47,D47)</f>
        <v>23</v>
      </c>
      <c r="E48" s="2">
        <f>IF('Tabela de Jogos'!C48&lt;&gt;"",Carol!W48+E47,E47)</f>
        <v>33</v>
      </c>
      <c r="F48" s="2">
        <f>IF('Tabela de Jogos'!C48&lt;&gt;"",Ana!W48+F47,F47)</f>
        <v>48</v>
      </c>
      <c r="G48" s="2">
        <f>IF('Tabela de Jogos'!C48&lt;&gt;"",Isa!W48+G47,G47)</f>
        <v>32</v>
      </c>
      <c r="H48" s="2">
        <f>IF('Tabela de Jogos'!C48&lt;&gt;"",Trops!W48+H47,H47)</f>
        <v>31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33</v>
      </c>
      <c r="C49" s="2">
        <f>IF('Tabela de Jogos'!C49&lt;&gt;"",Arthur!W49+C48,C48)</f>
        <v>48</v>
      </c>
      <c r="D49" s="2">
        <f>IF('Tabela de Jogos'!C49&lt;&gt;"",Dudu!W49+D48,D48)</f>
        <v>23</v>
      </c>
      <c r="E49" s="2">
        <f>IF('Tabela de Jogos'!C49&lt;&gt;"",Carol!W49+E48,E48)</f>
        <v>33</v>
      </c>
      <c r="F49" s="2">
        <f>IF('Tabela de Jogos'!C49&lt;&gt;"",Ana!W49+F48,F48)</f>
        <v>48</v>
      </c>
      <c r="G49" s="2">
        <f>IF('Tabela de Jogos'!C49&lt;&gt;"",Isa!W49+G48,G48)</f>
        <v>32</v>
      </c>
      <c r="H49" s="2">
        <f>IF('Tabela de Jogos'!C49&lt;&gt;"",Trops!W49+H48,H48)</f>
        <v>31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33</v>
      </c>
      <c r="C50" s="2">
        <f>IF('Tabela de Jogos'!C50&lt;&gt;"",Arthur!W50+C49,C49)</f>
        <v>48</v>
      </c>
      <c r="D50" s="2">
        <f>IF('Tabela de Jogos'!C50&lt;&gt;"",Dudu!W50+D49,D49)</f>
        <v>23</v>
      </c>
      <c r="E50" s="2">
        <f>IF('Tabela de Jogos'!C50&lt;&gt;"",Carol!W50+E49,E49)</f>
        <v>33</v>
      </c>
      <c r="F50" s="2">
        <f>IF('Tabela de Jogos'!C50&lt;&gt;"",Ana!W50+F49,F49)</f>
        <v>48</v>
      </c>
      <c r="G50" s="2">
        <f>IF('Tabela de Jogos'!C50&lt;&gt;"",Isa!W50+G49,G49)</f>
        <v>32</v>
      </c>
      <c r="H50" s="2">
        <f>IF('Tabela de Jogos'!C50&lt;&gt;"",Trops!W50+H49,H49)</f>
        <v>31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33</v>
      </c>
      <c r="C51" s="2">
        <f>IF('Tabela de Jogos'!C51&lt;&gt;"",Arthur!W51+C50,C50)</f>
        <v>48</v>
      </c>
      <c r="D51" s="2">
        <f>IF('Tabela de Jogos'!C51&lt;&gt;"",Dudu!W51+D50,D50)</f>
        <v>23</v>
      </c>
      <c r="E51" s="2">
        <f>IF('Tabela de Jogos'!C51&lt;&gt;"",Carol!W51+E50,E50)</f>
        <v>33</v>
      </c>
      <c r="F51" s="2">
        <f>IF('Tabela de Jogos'!C51&lt;&gt;"",Ana!W51+F50,F50)</f>
        <v>48</v>
      </c>
      <c r="G51" s="2">
        <f>IF('Tabela de Jogos'!C51&lt;&gt;"",Isa!W51+G50,G50)</f>
        <v>32</v>
      </c>
      <c r="H51" s="2">
        <f>IF('Tabela de Jogos'!C51&lt;&gt;"",Trops!W51+H50,H50)</f>
        <v>31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33</v>
      </c>
      <c r="C52" s="2">
        <f>IF('Tabela de Jogos'!C52&lt;&gt;"",Arthur!W52+C51,C51)</f>
        <v>48</v>
      </c>
      <c r="D52" s="2">
        <f>IF('Tabela de Jogos'!C52&lt;&gt;"",Dudu!W52+D51,D51)</f>
        <v>23</v>
      </c>
      <c r="E52" s="2">
        <f>IF('Tabela de Jogos'!C52&lt;&gt;"",Carol!W52+E51,E51)</f>
        <v>33</v>
      </c>
      <c r="F52" s="2">
        <f>IF('Tabela de Jogos'!C52&lt;&gt;"",Ana!W52+F51,F51)</f>
        <v>48</v>
      </c>
      <c r="G52" s="2">
        <f>IF('Tabela de Jogos'!C52&lt;&gt;"",Isa!W52+G51,G51)</f>
        <v>32</v>
      </c>
      <c r="H52" s="2">
        <f>IF('Tabela de Jogos'!C52&lt;&gt;"",Trops!W52+H51,H51)</f>
        <v>31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33</v>
      </c>
      <c r="C53" s="2">
        <f>IF('Tabela de Jogos'!C53&lt;&gt;"",Arthur!W53+C52,C52)</f>
        <v>48</v>
      </c>
      <c r="D53" s="2">
        <f>IF('Tabela de Jogos'!C53&lt;&gt;"",Dudu!W53+D52,D52)</f>
        <v>23</v>
      </c>
      <c r="E53" s="2">
        <f>IF('Tabela de Jogos'!C53&lt;&gt;"",Carol!W53+E52,E52)</f>
        <v>33</v>
      </c>
      <c r="F53" s="2">
        <f>IF('Tabela de Jogos'!C53&lt;&gt;"",Ana!W53+F52,F52)</f>
        <v>48</v>
      </c>
      <c r="G53" s="2">
        <f>IF('Tabela de Jogos'!C53&lt;&gt;"",Isa!W53+G52,G52)</f>
        <v>32</v>
      </c>
      <c r="H53" s="2">
        <f>IF('Tabela de Jogos'!C53&lt;&gt;"",Trops!W53+H52,H52)</f>
        <v>31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33</v>
      </c>
      <c r="C54" s="2">
        <f>IF('Tabela de Jogos'!C54&lt;&gt;"",Arthur!W54+C53,C53)</f>
        <v>48</v>
      </c>
      <c r="D54" s="2">
        <f>IF('Tabela de Jogos'!C54&lt;&gt;"",Dudu!W54+D53,D53)</f>
        <v>23</v>
      </c>
      <c r="E54" s="2">
        <f>IF('Tabela de Jogos'!C54&lt;&gt;"",Carol!W54+E53,E53)</f>
        <v>33</v>
      </c>
      <c r="F54" s="2">
        <f>IF('Tabela de Jogos'!C54&lt;&gt;"",Ana!W54+F53,F53)</f>
        <v>48</v>
      </c>
      <c r="G54" s="2">
        <f>IF('Tabela de Jogos'!C54&lt;&gt;"",Isa!W54+G53,G53)</f>
        <v>32</v>
      </c>
      <c r="H54" s="2">
        <f>IF('Tabela de Jogos'!C54&lt;&gt;"",Trops!W54+H53,H53)</f>
        <v>31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33</v>
      </c>
      <c r="C55" s="2">
        <f>IF('Tabela de Jogos'!C55&lt;&gt;"",Arthur!W55+C54,C54)</f>
        <v>48</v>
      </c>
      <c r="D55" s="2">
        <f>IF('Tabela de Jogos'!C55&lt;&gt;"",Dudu!W55+D54,D54)</f>
        <v>23</v>
      </c>
      <c r="E55" s="2">
        <f>IF('Tabela de Jogos'!C55&lt;&gt;"",Carol!W55+E54,E54)</f>
        <v>33</v>
      </c>
      <c r="F55" s="2">
        <f>IF('Tabela de Jogos'!C55&lt;&gt;"",Ana!W55+F54,F54)</f>
        <v>48</v>
      </c>
      <c r="G55" s="2">
        <f>IF('Tabela de Jogos'!C55&lt;&gt;"",Isa!W55+G54,G54)</f>
        <v>32</v>
      </c>
      <c r="H55" s="2">
        <f>IF('Tabela de Jogos'!C55&lt;&gt;"",Trops!W55+H54,H54)</f>
        <v>31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33</v>
      </c>
      <c r="C56" s="2">
        <f>IF('Tabela de Jogos'!C56&lt;&gt;"",Arthur!W56+C55,C55)</f>
        <v>48</v>
      </c>
      <c r="D56" s="2">
        <f>IF('Tabela de Jogos'!C56&lt;&gt;"",Dudu!W56+D55,D55)</f>
        <v>23</v>
      </c>
      <c r="E56" s="2">
        <f>IF('Tabela de Jogos'!C56&lt;&gt;"",Carol!W56+E55,E55)</f>
        <v>33</v>
      </c>
      <c r="F56" s="2">
        <f>IF('Tabela de Jogos'!C56&lt;&gt;"",Ana!W56+F55,F55)</f>
        <v>48</v>
      </c>
      <c r="G56" s="2">
        <f>IF('Tabela de Jogos'!C56&lt;&gt;"",Isa!W56+G55,G55)</f>
        <v>32</v>
      </c>
      <c r="H56" s="2">
        <f>IF('Tabela de Jogos'!C56&lt;&gt;"",Trops!W56+H55,H55)</f>
        <v>31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33</v>
      </c>
      <c r="C57" s="2">
        <f>IF('Tabela de Jogos'!C57&lt;&gt;"",Arthur!W57+C56,C56)</f>
        <v>48</v>
      </c>
      <c r="D57" s="2">
        <f>IF('Tabela de Jogos'!C57&lt;&gt;"",Dudu!W57+D56,D56)</f>
        <v>23</v>
      </c>
      <c r="E57" s="2">
        <f>IF('Tabela de Jogos'!C57&lt;&gt;"",Carol!W57+E56,E56)</f>
        <v>33</v>
      </c>
      <c r="F57" s="2">
        <f>IF('Tabela de Jogos'!C57&lt;&gt;"",Ana!W57+F56,F56)</f>
        <v>48</v>
      </c>
      <c r="G57" s="2">
        <f>IF('Tabela de Jogos'!C57&lt;&gt;"",Isa!W57+G56,G56)</f>
        <v>32</v>
      </c>
      <c r="H57" s="2">
        <f>IF('Tabela de Jogos'!C57&lt;&gt;"",Trops!W57+H56,H56)</f>
        <v>31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33</v>
      </c>
      <c r="C58" s="2">
        <f>IF('Tabela de Jogos'!C58&lt;&gt;"",Arthur!W58+C57,C57)</f>
        <v>48</v>
      </c>
      <c r="D58" s="2">
        <f>IF('Tabela de Jogos'!C58&lt;&gt;"",Dudu!W58+D57,D57)</f>
        <v>23</v>
      </c>
      <c r="E58" s="2">
        <f>IF('Tabela de Jogos'!C58&lt;&gt;"",Carol!W58+E57,E57)</f>
        <v>33</v>
      </c>
      <c r="F58" s="2">
        <f>IF('Tabela de Jogos'!C58&lt;&gt;"",Ana!W58+F57,F57)</f>
        <v>48</v>
      </c>
      <c r="G58" s="2">
        <f>IF('Tabela de Jogos'!C58&lt;&gt;"",Isa!W58+G57,G57)</f>
        <v>32</v>
      </c>
      <c r="H58" s="2">
        <f>IF('Tabela de Jogos'!C58&lt;&gt;"",Trops!W58+H57,H57)</f>
        <v>31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33</v>
      </c>
      <c r="C59" s="2">
        <f>IF('Tabela de Jogos'!C59&lt;&gt;"",Arthur!W59+C58,C58)</f>
        <v>48</v>
      </c>
      <c r="D59" s="2">
        <f>IF('Tabela de Jogos'!C59&lt;&gt;"",Dudu!W59+D58,D58)</f>
        <v>23</v>
      </c>
      <c r="E59" s="2">
        <f>IF('Tabela de Jogos'!C59&lt;&gt;"",Carol!W59+E58,E58)</f>
        <v>33</v>
      </c>
      <c r="F59" s="2">
        <f>IF('Tabela de Jogos'!C59&lt;&gt;"",Ana!W59+F58,F58)</f>
        <v>48</v>
      </c>
      <c r="G59" s="2">
        <f>IF('Tabela de Jogos'!C59&lt;&gt;"",Isa!W59+G58,G58)</f>
        <v>32</v>
      </c>
      <c r="H59" s="2">
        <f>IF('Tabela de Jogos'!C59&lt;&gt;"",Trops!W59+H58,H58)</f>
        <v>31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33</v>
      </c>
      <c r="C60" s="2">
        <f>IF('Tabela de Jogos'!C60&lt;&gt;"",Arthur!W60+C59,C59)</f>
        <v>48</v>
      </c>
      <c r="D60" s="2">
        <f>IF('Tabela de Jogos'!C60&lt;&gt;"",Dudu!W60+D59,D59)</f>
        <v>23</v>
      </c>
      <c r="E60" s="2">
        <f>IF('Tabela de Jogos'!C60&lt;&gt;"",Carol!W60+E59,E59)</f>
        <v>33</v>
      </c>
      <c r="F60" s="2">
        <f>IF('Tabela de Jogos'!C60&lt;&gt;"",Ana!W60+F59,F59)</f>
        <v>48</v>
      </c>
      <c r="G60" s="2">
        <f>IF('Tabela de Jogos'!C60&lt;&gt;"",Isa!W60+G59,G59)</f>
        <v>32</v>
      </c>
      <c r="H60" s="2">
        <f>IF('Tabela de Jogos'!C60&lt;&gt;"",Trops!W60+H59,H59)</f>
        <v>31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33</v>
      </c>
      <c r="C61" s="2">
        <f>IF('Tabela de Jogos'!C61&lt;&gt;"",Arthur!W61+C60,C60)</f>
        <v>48</v>
      </c>
      <c r="D61" s="2">
        <f>IF('Tabela de Jogos'!C61&lt;&gt;"",Dudu!W61+D60,D60)</f>
        <v>23</v>
      </c>
      <c r="E61" s="2">
        <f>IF('Tabela de Jogos'!C61&lt;&gt;"",Carol!W61+E60,E60)</f>
        <v>33</v>
      </c>
      <c r="F61" s="2">
        <f>IF('Tabela de Jogos'!C61&lt;&gt;"",Ana!W61+F60,F60)</f>
        <v>48</v>
      </c>
      <c r="G61" s="2">
        <f>IF('Tabela de Jogos'!C61&lt;&gt;"",Isa!W61+G60,G60)</f>
        <v>32</v>
      </c>
      <c r="H61" s="2">
        <f>IF('Tabela de Jogos'!C61&lt;&gt;"",Trops!W61+H60,H60)</f>
        <v>31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33</v>
      </c>
      <c r="C62" s="2">
        <f>IF('Tabela de Jogos'!C62&lt;&gt;"",Arthur!W62+C61,C61)</f>
        <v>48</v>
      </c>
      <c r="D62" s="2">
        <f>IF('Tabela de Jogos'!C62&lt;&gt;"",Dudu!W62+D61,D61)</f>
        <v>23</v>
      </c>
      <c r="E62" s="2">
        <f>IF('Tabela de Jogos'!C62&lt;&gt;"",Carol!W62+E61,E61)</f>
        <v>33</v>
      </c>
      <c r="F62" s="2">
        <f>IF('Tabela de Jogos'!C62&lt;&gt;"",Ana!W62+F61,F61)</f>
        <v>48</v>
      </c>
      <c r="G62" s="2">
        <f>IF('Tabela de Jogos'!C62&lt;&gt;"",Isa!W62+G61,G61)</f>
        <v>32</v>
      </c>
      <c r="H62" s="2">
        <f>IF('Tabela de Jogos'!C62&lt;&gt;"",Trops!W62+H61,H61)</f>
        <v>31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33</v>
      </c>
      <c r="C63" s="2">
        <f>IF('Tabela de Jogos'!C63&lt;&gt;"",Arthur!W63+C62,C62)</f>
        <v>48</v>
      </c>
      <c r="D63" s="2">
        <f>IF('Tabela de Jogos'!C63&lt;&gt;"",Dudu!W63+D62,D62)</f>
        <v>23</v>
      </c>
      <c r="E63" s="2">
        <f>IF('Tabela de Jogos'!C63&lt;&gt;"",Carol!W63+E62,E62)</f>
        <v>33</v>
      </c>
      <c r="F63" s="2">
        <f>IF('Tabela de Jogos'!C63&lt;&gt;"",Ana!W63+F62,F62)</f>
        <v>48</v>
      </c>
      <c r="G63" s="2">
        <f>IF('Tabela de Jogos'!C63&lt;&gt;"",Isa!W63+G62,G62)</f>
        <v>32</v>
      </c>
      <c r="H63" s="2">
        <f>IF('Tabela de Jogos'!C63&lt;&gt;"",Trops!W63+H62,H62)</f>
        <v>31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33</v>
      </c>
      <c r="C64" s="2">
        <f>IF('Tabela de Jogos'!C64&lt;&gt;"",Arthur!W64+C63,C63)</f>
        <v>48</v>
      </c>
      <c r="D64" s="2">
        <f>IF('Tabela de Jogos'!C64&lt;&gt;"",Dudu!W64+D63,D63)</f>
        <v>23</v>
      </c>
      <c r="E64" s="2">
        <f>IF('Tabela de Jogos'!C64&lt;&gt;"",Carol!W64+E63,E63)</f>
        <v>33</v>
      </c>
      <c r="F64" s="2">
        <f>IF('Tabela de Jogos'!C64&lt;&gt;"",Ana!W64+F63,F63)</f>
        <v>48</v>
      </c>
      <c r="G64" s="2">
        <f>IF('Tabela de Jogos'!C64&lt;&gt;"",Isa!W64+G63,G63)</f>
        <v>32</v>
      </c>
      <c r="H64" s="2">
        <f>IF('Tabela de Jogos'!C64&lt;&gt;"",Trops!W64+H63,H63)</f>
        <v>31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33</v>
      </c>
      <c r="C65" s="2">
        <f>IF('Tabela de Jogos'!C65&lt;&gt;"",Arthur!W65+C64,C64)</f>
        <v>48</v>
      </c>
      <c r="D65" s="2">
        <f>IF('Tabela de Jogos'!C65&lt;&gt;"",Dudu!W65+D64,D64)</f>
        <v>23</v>
      </c>
      <c r="E65" s="2">
        <f>IF('Tabela de Jogos'!C65&lt;&gt;"",Carol!W65+E64,E64)</f>
        <v>33</v>
      </c>
      <c r="F65" s="2">
        <f>IF('Tabela de Jogos'!C65&lt;&gt;"",Ana!W65+F64,F64)</f>
        <v>48</v>
      </c>
      <c r="G65" s="2">
        <f>IF('Tabela de Jogos'!C65&lt;&gt;"",Isa!W65+G64,G64)</f>
        <v>32</v>
      </c>
      <c r="H65" s="2">
        <f>IF('Tabela de Jogos'!C65&lt;&gt;"",Trops!W65+H64,H64)</f>
        <v>31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33</v>
      </c>
      <c r="C66" s="2">
        <f>IF('Tabela de Jogos'!C66&lt;&gt;"",Arthur!W66+C65,C65)</f>
        <v>48</v>
      </c>
      <c r="D66" s="2">
        <f>IF('Tabela de Jogos'!C66&lt;&gt;"",Dudu!W66+D65,D65)</f>
        <v>23</v>
      </c>
      <c r="E66" s="2">
        <f>IF('Tabela de Jogos'!C66&lt;&gt;"",Carol!W66+E65,E65)</f>
        <v>33</v>
      </c>
      <c r="F66" s="2">
        <f>IF('Tabela de Jogos'!C66&lt;&gt;"",Ana!W66+F65,F65)</f>
        <v>48</v>
      </c>
      <c r="G66" s="2">
        <f>IF('Tabela de Jogos'!C66&lt;&gt;"",Isa!W66+G65,G65)</f>
        <v>32</v>
      </c>
      <c r="H66" s="2">
        <f>IF('Tabela de Jogos'!C66&lt;&gt;"",Trops!W66+H65,H65)</f>
        <v>31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33</v>
      </c>
      <c r="C67" s="2">
        <f>IF('Tabela de Jogos'!C67&lt;&gt;"",Arthur!W67+C66,C66)</f>
        <v>48</v>
      </c>
      <c r="D67" s="2">
        <f>IF('Tabela de Jogos'!C67&lt;&gt;"",Dudu!W67+D66,D66)</f>
        <v>23</v>
      </c>
      <c r="E67" s="2">
        <f>IF('Tabela de Jogos'!C67&lt;&gt;"",Carol!W67+E66,E66)</f>
        <v>33</v>
      </c>
      <c r="F67" s="2">
        <f>IF('Tabela de Jogos'!C67&lt;&gt;"",Ana!W67+F66,F66)</f>
        <v>48</v>
      </c>
      <c r="G67" s="2">
        <f>IF('Tabela de Jogos'!C67&lt;&gt;"",Isa!W67+G66,G66)</f>
        <v>32</v>
      </c>
      <c r="H67" s="2">
        <f>IF('Tabela de Jogos'!C67&lt;&gt;"",Trops!W67+H66,H66)</f>
        <v>31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33</v>
      </c>
      <c r="C68" s="2">
        <f>IF('Tabela de Jogos'!C68&lt;&gt;"",Arthur!W68+C67,C67)</f>
        <v>48</v>
      </c>
      <c r="D68" s="2">
        <f>IF('Tabela de Jogos'!C68&lt;&gt;"",Dudu!W68+D67,D67)</f>
        <v>23</v>
      </c>
      <c r="E68" s="2">
        <f>IF('Tabela de Jogos'!C68&lt;&gt;"",Carol!W68+E67,E67)</f>
        <v>33</v>
      </c>
      <c r="F68" s="2">
        <f>IF('Tabela de Jogos'!C68&lt;&gt;"",Ana!W68+F67,F67)</f>
        <v>48</v>
      </c>
      <c r="G68" s="2">
        <f>IF('Tabela de Jogos'!C68&lt;&gt;"",Isa!W68+G67,G67)</f>
        <v>32</v>
      </c>
      <c r="H68" s="2">
        <f>IF('Tabela de Jogos'!C68&lt;&gt;"",Trops!W68+H67,H67)</f>
        <v>31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33</v>
      </c>
      <c r="C69" s="2">
        <f>IF('Tabela de Jogos'!C69&lt;&gt;"",Arthur!W69+C68,C68)</f>
        <v>48</v>
      </c>
      <c r="D69" s="2">
        <f>IF('Tabela de Jogos'!C69&lt;&gt;"",Dudu!W69+D68,D68)</f>
        <v>23</v>
      </c>
      <c r="E69" s="2">
        <f>IF('Tabela de Jogos'!C69&lt;&gt;"",Carol!W69+E68,E68)</f>
        <v>33</v>
      </c>
      <c r="F69" s="2">
        <f>IF('Tabela de Jogos'!C69&lt;&gt;"",Ana!W69+F68,F68)</f>
        <v>48</v>
      </c>
      <c r="G69" s="2">
        <f>IF('Tabela de Jogos'!C69&lt;&gt;"",Isa!W69+G68,G68)</f>
        <v>32</v>
      </c>
      <c r="H69" s="2">
        <f>IF('Tabela de Jogos'!C69&lt;&gt;"",Trops!W69+H68,H68)</f>
        <v>31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33</v>
      </c>
      <c r="C70" s="2">
        <f>IF('Tabela de Jogos'!C70&lt;&gt;"",Arthur!W70+C69,C69)</f>
        <v>48</v>
      </c>
      <c r="D70" s="2">
        <f>IF('Tabela de Jogos'!C70&lt;&gt;"",Dudu!W70+D69,D69)</f>
        <v>23</v>
      </c>
      <c r="E70" s="2">
        <f>IF('Tabela de Jogos'!C70&lt;&gt;"",Carol!W70+E69,E69)</f>
        <v>33</v>
      </c>
      <c r="F70" s="2">
        <f>IF('Tabela de Jogos'!C70&lt;&gt;"",Ana!W70+F69,F69)</f>
        <v>48</v>
      </c>
      <c r="G70" s="2">
        <f>IF('Tabela de Jogos'!C70&lt;&gt;"",Isa!W70+G69,G69)</f>
        <v>32</v>
      </c>
      <c r="H70" s="2">
        <f>IF('Tabela de Jogos'!C70&lt;&gt;"",Trops!W70+H69,H69)</f>
        <v>31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33</v>
      </c>
      <c r="C71" s="2">
        <f>IF('Tabela de Jogos'!C71&lt;&gt;"",Arthur!W71+C70,C70)</f>
        <v>48</v>
      </c>
      <c r="D71" s="2">
        <f>IF('Tabela de Jogos'!C71&lt;&gt;"",Dudu!W71+D70,D70)</f>
        <v>23</v>
      </c>
      <c r="E71" s="2">
        <f>IF('Tabela de Jogos'!C71&lt;&gt;"",Carol!W71+E70,E70)</f>
        <v>33</v>
      </c>
      <c r="F71" s="2">
        <f>IF('Tabela de Jogos'!C71&lt;&gt;"",Ana!W71+F70,F70)</f>
        <v>48</v>
      </c>
      <c r="G71" s="2">
        <f>IF('Tabela de Jogos'!C71&lt;&gt;"",Isa!W71+G70,G70)</f>
        <v>32</v>
      </c>
      <c r="H71" s="2">
        <f>IF('Tabela de Jogos'!C71&lt;&gt;"",Trops!W71+H70,H70)</f>
        <v>31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33</v>
      </c>
      <c r="C72" s="2">
        <f>IF('Tabela de Jogos'!C72&lt;&gt;"",Arthur!W72+C71,C71)</f>
        <v>48</v>
      </c>
      <c r="D72" s="2">
        <f>IF('Tabela de Jogos'!C72&lt;&gt;"",Dudu!W72+D71,D71)</f>
        <v>23</v>
      </c>
      <c r="E72" s="2">
        <f>IF('Tabela de Jogos'!C72&lt;&gt;"",Carol!W72+E71,E71)</f>
        <v>33</v>
      </c>
      <c r="F72" s="2">
        <f>IF('Tabela de Jogos'!C72&lt;&gt;"",Ana!W72+F71,F71)</f>
        <v>48</v>
      </c>
      <c r="G72" s="2">
        <f>IF('Tabela de Jogos'!C72&lt;&gt;"",Isa!W72+G71,G71)</f>
        <v>32</v>
      </c>
      <c r="H72" s="2">
        <f>IF('Tabela de Jogos'!C72&lt;&gt;"",Trops!W72+H71,H71)</f>
        <v>31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33</v>
      </c>
      <c r="C73" s="2">
        <f>IF('Tabela de Jogos'!C73&lt;&gt;"",Arthur!W73+C72,C72)</f>
        <v>48</v>
      </c>
      <c r="D73" s="2">
        <f>IF('Tabela de Jogos'!C73&lt;&gt;"",Dudu!W73+D72,D72)</f>
        <v>23</v>
      </c>
      <c r="E73" s="2">
        <f>IF('Tabela de Jogos'!C73&lt;&gt;"",Carol!W73+E72,E72)</f>
        <v>33</v>
      </c>
      <c r="F73" s="2">
        <f>IF('Tabela de Jogos'!C73&lt;&gt;"",Ana!W73+F72,F72)</f>
        <v>48</v>
      </c>
      <c r="G73" s="2">
        <f>IF('Tabela de Jogos'!C73&lt;&gt;"",Isa!W73+G72,G72)</f>
        <v>32</v>
      </c>
      <c r="H73" s="2">
        <f>IF('Tabela de Jogos'!C73&lt;&gt;"",Trops!W73+H72,H72)</f>
        <v>31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33</v>
      </c>
      <c r="C74" s="2">
        <f>IF('Tabela de Jogos'!C74&lt;&gt;"",Arthur!W74+C73,C73)</f>
        <v>48</v>
      </c>
      <c r="D74" s="2">
        <f>IF('Tabela de Jogos'!C74&lt;&gt;"",Dudu!W74+D73,D73)</f>
        <v>23</v>
      </c>
      <c r="E74" s="2">
        <f>IF('Tabela de Jogos'!C74&lt;&gt;"",Carol!W74+E73,E73)</f>
        <v>33</v>
      </c>
      <c r="F74" s="2">
        <f>IF('Tabela de Jogos'!C74&lt;&gt;"",Ana!W74+F73,F73)</f>
        <v>48</v>
      </c>
      <c r="G74" s="2">
        <f>IF('Tabela de Jogos'!C74&lt;&gt;"",Isa!W74+G73,G73)</f>
        <v>32</v>
      </c>
      <c r="H74" s="2">
        <f>IF('Tabela de Jogos'!C74&lt;&gt;"",Trops!W74+H73,H73)</f>
        <v>31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33</v>
      </c>
      <c r="C75" s="2">
        <f>IF('Tabela de Jogos'!C75&lt;&gt;"",Arthur!W75+C74,C74)</f>
        <v>48</v>
      </c>
      <c r="D75" s="2">
        <f>IF('Tabela de Jogos'!C75&lt;&gt;"",Dudu!W75+D74,D74)</f>
        <v>23</v>
      </c>
      <c r="E75" s="2">
        <f>IF('Tabela de Jogos'!C75&lt;&gt;"",Carol!W75+E74,E74)</f>
        <v>33</v>
      </c>
      <c r="F75" s="2">
        <f>IF('Tabela de Jogos'!C75&lt;&gt;"",Ana!W75+F74,F74)</f>
        <v>48</v>
      </c>
      <c r="G75" s="2">
        <f>IF('Tabela de Jogos'!C75&lt;&gt;"",Isa!W75+G74,G74)</f>
        <v>32</v>
      </c>
      <c r="H75" s="2">
        <f>IF('Tabela de Jogos'!C75&lt;&gt;"",Trops!W75+H74,H74)</f>
        <v>31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33</v>
      </c>
      <c r="C76" s="2">
        <f>IF('Tabela de Jogos'!C76&lt;&gt;"",Arthur!W76+C75,C75)</f>
        <v>48</v>
      </c>
      <c r="D76" s="2">
        <f>IF('Tabela de Jogos'!C76&lt;&gt;"",Dudu!W76+D75,D75)</f>
        <v>23</v>
      </c>
      <c r="E76" s="2">
        <f>IF('Tabela de Jogos'!C76&lt;&gt;"",Carol!W76+E75,E75)</f>
        <v>33</v>
      </c>
      <c r="F76" s="2">
        <f>IF('Tabela de Jogos'!C76&lt;&gt;"",Ana!W76+F75,F75)</f>
        <v>48</v>
      </c>
      <c r="G76" s="2">
        <f>IF('Tabela de Jogos'!C76&lt;&gt;"",Isa!W76+G75,G75)</f>
        <v>32</v>
      </c>
      <c r="H76" s="2">
        <f>IF('Tabela de Jogos'!C76&lt;&gt;"",Trops!W76+H75,H75)</f>
        <v>31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33</v>
      </c>
      <c r="C77" s="2">
        <f>IF('Tabela de Jogos'!C77&lt;&gt;"",Arthur!W77+C76,C76)</f>
        <v>48</v>
      </c>
      <c r="D77" s="2">
        <f>IF('Tabela de Jogos'!C77&lt;&gt;"",Dudu!W77+D76,D76)</f>
        <v>23</v>
      </c>
      <c r="E77" s="2">
        <f>IF('Tabela de Jogos'!C77&lt;&gt;"",Carol!W77+E76,E76)</f>
        <v>33</v>
      </c>
      <c r="F77" s="2">
        <f>IF('Tabela de Jogos'!C77&lt;&gt;"",Ana!W77+F76,F76)</f>
        <v>48</v>
      </c>
      <c r="G77" s="2">
        <f>IF('Tabela de Jogos'!C77&lt;&gt;"",Isa!W77+G76,G76)</f>
        <v>32</v>
      </c>
      <c r="H77" s="2">
        <f>IF('Tabela de Jogos'!C77&lt;&gt;"",Trops!W77+H76,H76)</f>
        <v>31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33</v>
      </c>
      <c r="C78" s="2">
        <f>IF('Tabela de Jogos'!C78&lt;&gt;"",Arthur!W78+C77,C77)</f>
        <v>48</v>
      </c>
      <c r="D78" s="2">
        <f>IF('Tabela de Jogos'!C78&lt;&gt;"",Dudu!W78+D77,D77)</f>
        <v>23</v>
      </c>
      <c r="E78" s="2">
        <f>IF('Tabela de Jogos'!C78&lt;&gt;"",Carol!W78+E77,E77)</f>
        <v>33</v>
      </c>
      <c r="F78" s="2">
        <f>IF('Tabela de Jogos'!C78&lt;&gt;"",Ana!W78+F77,F77)</f>
        <v>48</v>
      </c>
      <c r="G78" s="2">
        <f>IF('Tabela de Jogos'!C78&lt;&gt;"",Isa!W78+G77,G77)</f>
        <v>32</v>
      </c>
      <c r="H78" s="2">
        <f>IF('Tabela de Jogos'!C78&lt;&gt;"",Trops!W78+H77,H77)</f>
        <v>31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33</v>
      </c>
      <c r="C79" s="2">
        <f>IF('Tabela de Jogos'!C79&lt;&gt;"",Arthur!W79+C78,C78)</f>
        <v>48</v>
      </c>
      <c r="D79" s="2">
        <f>IF('Tabela de Jogos'!C79&lt;&gt;"",Dudu!W79+D78,D78)</f>
        <v>23</v>
      </c>
      <c r="E79" s="2">
        <f>IF('Tabela de Jogos'!C79&lt;&gt;"",Carol!W79+E78,E78)</f>
        <v>33</v>
      </c>
      <c r="F79" s="2">
        <f>IF('Tabela de Jogos'!C79&lt;&gt;"",Ana!W79+F78,F78)</f>
        <v>48</v>
      </c>
      <c r="G79" s="2">
        <f>IF('Tabela de Jogos'!C79&lt;&gt;"",Isa!W79+G78,G78)</f>
        <v>32</v>
      </c>
      <c r="H79" s="2">
        <f>IF('Tabela de Jogos'!C79&lt;&gt;"",Trops!W79+H78,H78)</f>
        <v>31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33</v>
      </c>
      <c r="C80" s="2">
        <f>IF('Tabela de Jogos'!C80&lt;&gt;"",Arthur!W80+C79,C79)</f>
        <v>48</v>
      </c>
      <c r="D80" s="2">
        <f>IF('Tabela de Jogos'!C80&lt;&gt;"",Dudu!W80+D79,D79)</f>
        <v>23</v>
      </c>
      <c r="E80" s="2">
        <f>IF('Tabela de Jogos'!C80&lt;&gt;"",Carol!W80+E79,E79)</f>
        <v>33</v>
      </c>
      <c r="F80" s="2">
        <f>IF('Tabela de Jogos'!C80&lt;&gt;"",Ana!W80+F79,F79)</f>
        <v>48</v>
      </c>
      <c r="G80" s="2">
        <f>IF('Tabela de Jogos'!C80&lt;&gt;"",Isa!W80+G79,G79)</f>
        <v>32</v>
      </c>
      <c r="H80" s="2">
        <f>IF('Tabela de Jogos'!C80&lt;&gt;"",Trops!W80+H79,H79)</f>
        <v>31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33</v>
      </c>
      <c r="C81" s="2">
        <f>IF('Tabela de Jogos'!C81&lt;&gt;"",Arthur!W81+C80,C80)</f>
        <v>48</v>
      </c>
      <c r="D81" s="2">
        <f>IF('Tabela de Jogos'!C81&lt;&gt;"",Dudu!W81+D80,D80)</f>
        <v>23</v>
      </c>
      <c r="E81" s="2">
        <f>IF('Tabela de Jogos'!C81&lt;&gt;"",Carol!W81+E80,E80)</f>
        <v>33</v>
      </c>
      <c r="F81" s="2">
        <f>IF('Tabela de Jogos'!C81&lt;&gt;"",Ana!W81+F80,F80)</f>
        <v>48</v>
      </c>
      <c r="G81" s="2">
        <f>IF('Tabela de Jogos'!C81&lt;&gt;"",Isa!W81+G80,G80)</f>
        <v>32</v>
      </c>
      <c r="H81" s="2">
        <f>IF('Tabela de Jogos'!C81&lt;&gt;"",Trops!W81+H80,H80)</f>
        <v>31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33</v>
      </c>
      <c r="C82" s="2">
        <f>IF('Tabela de Jogos'!C82&lt;&gt;"",Arthur!W82+C81,C81)</f>
        <v>48</v>
      </c>
      <c r="D82" s="2">
        <f>IF('Tabela de Jogos'!C82&lt;&gt;"",Dudu!W82+D81,D81)</f>
        <v>23</v>
      </c>
      <c r="E82" s="2">
        <f>IF('Tabela de Jogos'!C82&lt;&gt;"",Carol!W82+E81,E81)</f>
        <v>33</v>
      </c>
      <c r="F82" s="2">
        <f>IF('Tabela de Jogos'!C82&lt;&gt;"",Ana!W82+F81,F81)</f>
        <v>48</v>
      </c>
      <c r="G82" s="2">
        <f>IF('Tabela de Jogos'!C82&lt;&gt;"",Isa!W82+G81,G81)</f>
        <v>32</v>
      </c>
      <c r="H82" s="2">
        <f>IF('Tabela de Jogos'!C82&lt;&gt;"",Trops!W82+H81,H81)</f>
        <v>31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33</v>
      </c>
      <c r="C83" s="2">
        <f>IF('Tabela de Jogos'!C83&lt;&gt;"",Arthur!W83+C82,C82)</f>
        <v>48</v>
      </c>
      <c r="D83" s="2">
        <f>IF('Tabela de Jogos'!C83&lt;&gt;"",Dudu!W83+D82,D82)</f>
        <v>23</v>
      </c>
      <c r="E83" s="2">
        <f>IF('Tabela de Jogos'!C83&lt;&gt;"",Carol!W83+E82,E82)</f>
        <v>33</v>
      </c>
      <c r="F83" s="2">
        <f>IF('Tabela de Jogos'!C83&lt;&gt;"",Ana!W83+F82,F82)</f>
        <v>48</v>
      </c>
      <c r="G83" s="2">
        <f>IF('Tabela de Jogos'!C83&lt;&gt;"",Isa!W83+G82,G82)</f>
        <v>32</v>
      </c>
      <c r="H83" s="2">
        <f>IF('Tabela de Jogos'!C83&lt;&gt;"",Trops!W83+H82,H82)</f>
        <v>31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33</v>
      </c>
      <c r="C84" s="2">
        <f>IF('Tabela de Jogos'!C84&lt;&gt;"",Arthur!W84+C83,C83)</f>
        <v>48</v>
      </c>
      <c r="D84" s="2">
        <f>IF('Tabela de Jogos'!C84&lt;&gt;"",Dudu!W84+D83,D83)</f>
        <v>23</v>
      </c>
      <c r="E84" s="2">
        <f>IF('Tabela de Jogos'!C84&lt;&gt;"",Carol!W84+E83,E83)</f>
        <v>33</v>
      </c>
      <c r="F84" s="2">
        <f>IF('Tabela de Jogos'!C84&lt;&gt;"",Ana!W84+F83,F83)</f>
        <v>48</v>
      </c>
      <c r="G84" s="2">
        <f>IF('Tabela de Jogos'!C84&lt;&gt;"",Isa!W84+G83,G83)</f>
        <v>32</v>
      </c>
      <c r="H84" s="2">
        <f>IF('Tabela de Jogos'!C84&lt;&gt;"",Trops!W84+H83,H83)</f>
        <v>31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33</v>
      </c>
      <c r="C85" s="2">
        <f>IF('Tabela de Jogos'!C85&lt;&gt;"",Arthur!W85+C84,C84)</f>
        <v>48</v>
      </c>
      <c r="D85" s="2">
        <f>IF('Tabela de Jogos'!C85&lt;&gt;"",Dudu!W85+D84,D84)</f>
        <v>23</v>
      </c>
      <c r="E85" s="2">
        <f>IF('Tabela de Jogos'!C85&lt;&gt;"",Carol!W85+E84,E84)</f>
        <v>33</v>
      </c>
      <c r="F85" s="2">
        <f>IF('Tabela de Jogos'!C85&lt;&gt;"",Ana!W85+F84,F84)</f>
        <v>48</v>
      </c>
      <c r="G85" s="2">
        <f>IF('Tabela de Jogos'!C85&lt;&gt;"",Isa!W85+G84,G84)</f>
        <v>32</v>
      </c>
      <c r="H85" s="2">
        <f>IF('Tabela de Jogos'!C85&lt;&gt;"",Trops!W85+H84,H84)</f>
        <v>31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33</v>
      </c>
      <c r="C86" s="2">
        <f>IF('Tabela de Jogos'!C86&lt;&gt;"",Arthur!W86+C85,C85)</f>
        <v>48</v>
      </c>
      <c r="D86" s="2">
        <f>IF('Tabela de Jogos'!C86&lt;&gt;"",Dudu!W86+D85,D85)</f>
        <v>23</v>
      </c>
      <c r="E86" s="2">
        <f>IF('Tabela de Jogos'!C86&lt;&gt;"",Carol!W86+E85,E85)</f>
        <v>33</v>
      </c>
      <c r="F86" s="2">
        <f>IF('Tabela de Jogos'!C86&lt;&gt;"",Ana!W86+F85,F85)</f>
        <v>48</v>
      </c>
      <c r="G86" s="2">
        <f>IF('Tabela de Jogos'!C86&lt;&gt;"",Isa!W86+G85,G85)</f>
        <v>32</v>
      </c>
      <c r="H86" s="2">
        <f>IF('Tabela de Jogos'!C86&lt;&gt;"",Trops!W86+H85,H85)</f>
        <v>31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33</v>
      </c>
      <c r="C87" s="2">
        <f>IF('Tabela de Jogos'!C87&lt;&gt;"",Arthur!W87+C86,C86)</f>
        <v>48</v>
      </c>
      <c r="D87" s="2">
        <f>IF('Tabela de Jogos'!C87&lt;&gt;"",Dudu!W87+D86,D86)</f>
        <v>23</v>
      </c>
      <c r="E87" s="2">
        <f>IF('Tabela de Jogos'!C87&lt;&gt;"",Carol!W87+E86,E86)</f>
        <v>33</v>
      </c>
      <c r="F87" s="2">
        <f>IF('Tabela de Jogos'!C87&lt;&gt;"",Ana!W87+F86,F86)</f>
        <v>48</v>
      </c>
      <c r="G87" s="2">
        <f>IF('Tabela de Jogos'!C87&lt;&gt;"",Isa!W87+G86,G86)</f>
        <v>32</v>
      </c>
      <c r="H87" s="2">
        <f>IF('Tabela de Jogos'!C87&lt;&gt;"",Trops!W87+H86,H86)</f>
        <v>31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33</v>
      </c>
      <c r="C88" s="2">
        <f>IF('Tabela de Jogos'!C88&lt;&gt;"",Arthur!W88+C87,C87)</f>
        <v>48</v>
      </c>
      <c r="D88" s="2">
        <f>IF('Tabela de Jogos'!C88&lt;&gt;"",Dudu!W88+D87,D87)</f>
        <v>23</v>
      </c>
      <c r="E88" s="2">
        <f>IF('Tabela de Jogos'!C88&lt;&gt;"",Carol!W88+E87,E87)</f>
        <v>33</v>
      </c>
      <c r="F88" s="2">
        <f>IF('Tabela de Jogos'!C88&lt;&gt;"",Ana!W88+F87,F87)</f>
        <v>48</v>
      </c>
      <c r="G88" s="2">
        <f>IF('Tabela de Jogos'!C88&lt;&gt;"",Isa!W88+G87,G87)</f>
        <v>32</v>
      </c>
      <c r="H88" s="2">
        <f>IF('Tabela de Jogos'!C88&lt;&gt;"",Trops!W88+H87,H87)</f>
        <v>31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33</v>
      </c>
      <c r="C89" s="2">
        <f>IF('Tabela de Jogos'!C89&lt;&gt;"",Arthur!W89+C88,C88)</f>
        <v>48</v>
      </c>
      <c r="D89" s="2">
        <f>IF('Tabela de Jogos'!C89&lt;&gt;"",Dudu!W89+D88,D88)</f>
        <v>23</v>
      </c>
      <c r="E89" s="2">
        <f>IF('Tabela de Jogos'!C89&lt;&gt;"",Carol!W89+E88,E88)</f>
        <v>33</v>
      </c>
      <c r="F89" s="2">
        <f>IF('Tabela de Jogos'!C89&lt;&gt;"",Ana!W89+F88,F88)</f>
        <v>48</v>
      </c>
      <c r="G89" s="2">
        <f>IF('Tabela de Jogos'!C89&lt;&gt;"",Isa!W89+G88,G88)</f>
        <v>32</v>
      </c>
      <c r="H89" s="2">
        <f>IF('Tabela de Jogos'!C89&lt;&gt;"",Trops!W89+H88,H88)</f>
        <v>31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33</v>
      </c>
      <c r="C90" s="2">
        <f>IF('Tabela de Jogos'!C90&lt;&gt;"",Arthur!W90+C89,C89)</f>
        <v>48</v>
      </c>
      <c r="D90" s="2">
        <f>IF('Tabela de Jogos'!C90&lt;&gt;"",Dudu!W90+D89,D89)</f>
        <v>23</v>
      </c>
      <c r="E90" s="2">
        <f>IF('Tabela de Jogos'!C90&lt;&gt;"",Carol!W90+E89,E89)</f>
        <v>33</v>
      </c>
      <c r="F90" s="2">
        <f>IF('Tabela de Jogos'!C90&lt;&gt;"",Ana!W90+F89,F89)</f>
        <v>48</v>
      </c>
      <c r="G90" s="2">
        <f>IF('Tabela de Jogos'!C90&lt;&gt;"",Isa!W90+G89,G89)</f>
        <v>32</v>
      </c>
      <c r="H90" s="2">
        <f>IF('Tabela de Jogos'!C90&lt;&gt;"",Trops!W90+H89,H89)</f>
        <v>31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33</v>
      </c>
      <c r="C91" s="2">
        <f>IF('Tabela de Jogos'!C91&lt;&gt;"",Arthur!W91+C90,C90)</f>
        <v>48</v>
      </c>
      <c r="D91" s="2">
        <f>IF('Tabela de Jogos'!C91&lt;&gt;"",Dudu!W91+D90,D90)</f>
        <v>23</v>
      </c>
      <c r="E91" s="2">
        <f>IF('Tabela de Jogos'!C91&lt;&gt;"",Carol!W91+E90,E90)</f>
        <v>33</v>
      </c>
      <c r="F91" s="2">
        <f>IF('Tabela de Jogos'!C91&lt;&gt;"",Ana!W91+F90,F90)</f>
        <v>48</v>
      </c>
      <c r="G91" s="2">
        <f>IF('Tabela de Jogos'!C91&lt;&gt;"",Isa!W91+G90,G90)</f>
        <v>32</v>
      </c>
      <c r="H91" s="2">
        <f>IF('Tabela de Jogos'!C91&lt;&gt;"",Trops!W91+H90,H90)</f>
        <v>31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33</v>
      </c>
      <c r="C92" s="2">
        <f>IF('Tabela de Jogos'!C92&lt;&gt;"",Arthur!W92+C91,C91)</f>
        <v>48</v>
      </c>
      <c r="D92" s="2">
        <f>IF('Tabela de Jogos'!C92&lt;&gt;"",Dudu!W92+D91,D91)</f>
        <v>23</v>
      </c>
      <c r="E92" s="2">
        <f>IF('Tabela de Jogos'!C92&lt;&gt;"",Carol!W92+E91,E91)</f>
        <v>33</v>
      </c>
      <c r="F92" s="2">
        <f>IF('Tabela de Jogos'!C92&lt;&gt;"",Ana!W92+F91,F91)</f>
        <v>48</v>
      </c>
      <c r="G92" s="2">
        <f>IF('Tabela de Jogos'!C92&lt;&gt;"",Isa!W92+G91,G91)</f>
        <v>32</v>
      </c>
      <c r="H92" s="2">
        <f>IF('Tabela de Jogos'!C92&lt;&gt;"",Trops!W92+H91,H91)</f>
        <v>31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33</v>
      </c>
      <c r="C93" s="2">
        <f>IF('Tabela de Jogos'!C93&lt;&gt;"",Arthur!W93+C92,C92)</f>
        <v>48</v>
      </c>
      <c r="D93" s="2">
        <f>IF('Tabela de Jogos'!C93&lt;&gt;"",Dudu!W93+D92,D92)</f>
        <v>23</v>
      </c>
      <c r="E93" s="2">
        <f>IF('Tabela de Jogos'!C93&lt;&gt;"",Carol!W93+E92,E92)</f>
        <v>33</v>
      </c>
      <c r="F93" s="2">
        <f>IF('Tabela de Jogos'!C93&lt;&gt;"",Ana!W93+F92,F92)</f>
        <v>48</v>
      </c>
      <c r="G93" s="2">
        <f>IF('Tabela de Jogos'!C93&lt;&gt;"",Isa!W93+G92,G92)</f>
        <v>32</v>
      </c>
      <c r="H93" s="2">
        <f>IF('Tabela de Jogos'!C93&lt;&gt;"",Trops!W93+H92,H92)</f>
        <v>31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33</v>
      </c>
      <c r="C94" s="2">
        <f>IF('Tabela de Jogos'!C94&lt;&gt;"",Arthur!W94+C93,C93)</f>
        <v>48</v>
      </c>
      <c r="D94" s="2">
        <f>IF('Tabela de Jogos'!C94&lt;&gt;"",Dudu!W94+D93,D93)</f>
        <v>23</v>
      </c>
      <c r="E94" s="2">
        <f>IF('Tabela de Jogos'!C94&lt;&gt;"",Carol!W94+E93,E93)</f>
        <v>33</v>
      </c>
      <c r="F94" s="2">
        <f>IF('Tabela de Jogos'!C94&lt;&gt;"",Ana!W94+F93,F93)</f>
        <v>48</v>
      </c>
      <c r="G94" s="2">
        <f>IF('Tabela de Jogos'!C94&lt;&gt;"",Isa!W94+G93,G93)</f>
        <v>32</v>
      </c>
      <c r="H94" s="2">
        <f>IF('Tabela de Jogos'!C94&lt;&gt;"",Trops!W94+H93,H93)</f>
        <v>31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33</v>
      </c>
      <c r="C95" s="2">
        <f>IF('Tabela de Jogos'!C95&lt;&gt;"",Arthur!W95+C94,C94)</f>
        <v>48</v>
      </c>
      <c r="D95" s="2">
        <f>IF('Tabela de Jogos'!C95&lt;&gt;"",Dudu!W95+D94,D94)</f>
        <v>23</v>
      </c>
      <c r="E95" s="2">
        <f>IF('Tabela de Jogos'!C95&lt;&gt;"",Carol!W95+E94,E94)</f>
        <v>33</v>
      </c>
      <c r="F95" s="2">
        <f>IF('Tabela de Jogos'!C95&lt;&gt;"",Ana!W95+F94,F94)</f>
        <v>48</v>
      </c>
      <c r="G95" s="2">
        <f>IF('Tabela de Jogos'!C95&lt;&gt;"",Isa!W95+G94,G94)</f>
        <v>32</v>
      </c>
      <c r="H95" s="2">
        <f>IF('Tabela de Jogos'!C95&lt;&gt;"",Trops!W95+H94,H94)</f>
        <v>31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33</v>
      </c>
      <c r="C96" s="2">
        <f>IF('Tabela de Jogos'!C96&lt;&gt;"",Arthur!W96+C95,C95)</f>
        <v>48</v>
      </c>
      <c r="D96" s="2">
        <f>IF('Tabela de Jogos'!C96&lt;&gt;"",Dudu!W96+D95,D95)</f>
        <v>23</v>
      </c>
      <c r="E96" s="2">
        <f>IF('Tabela de Jogos'!C96&lt;&gt;"",Carol!W96+E95,E95)</f>
        <v>33</v>
      </c>
      <c r="F96" s="2">
        <f>IF('Tabela de Jogos'!C96&lt;&gt;"",Ana!W96+F95,F95)</f>
        <v>48</v>
      </c>
      <c r="G96" s="2">
        <f>IF('Tabela de Jogos'!C96&lt;&gt;"",Isa!W96+G95,G95)</f>
        <v>32</v>
      </c>
      <c r="H96" s="2">
        <f>IF('Tabela de Jogos'!C96&lt;&gt;"",Trops!W96+H95,H95)</f>
        <v>31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33</v>
      </c>
      <c r="C97" s="2">
        <f>IF('Tabela de Jogos'!C97&lt;&gt;"",Arthur!W97+C96,C96)</f>
        <v>48</v>
      </c>
      <c r="D97" s="2">
        <f>IF('Tabela de Jogos'!C97&lt;&gt;"",Dudu!W97+D96,D96)</f>
        <v>23</v>
      </c>
      <c r="E97" s="2">
        <f>IF('Tabela de Jogos'!C97&lt;&gt;"",Carol!W97+E96,E96)</f>
        <v>33</v>
      </c>
      <c r="F97" s="2">
        <f>IF('Tabela de Jogos'!C97&lt;&gt;"",Ana!W97+F96,F96)</f>
        <v>48</v>
      </c>
      <c r="G97" s="2">
        <f>IF('Tabela de Jogos'!C97&lt;&gt;"",Isa!W97+G96,G96)</f>
        <v>32</v>
      </c>
      <c r="H97" s="2">
        <f>IF('Tabela de Jogos'!C97&lt;&gt;"",Trops!W97+H96,H96)</f>
        <v>31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33</v>
      </c>
      <c r="C98" s="2">
        <f>IF('Tabela de Jogos'!C98&lt;&gt;"",Arthur!W98+C97,C97)</f>
        <v>48</v>
      </c>
      <c r="D98" s="2">
        <f>IF('Tabela de Jogos'!C98&lt;&gt;"",Dudu!W98+D97,D97)</f>
        <v>23</v>
      </c>
      <c r="E98" s="2">
        <f>IF('Tabela de Jogos'!C98&lt;&gt;"",Carol!W98+E97,E97)</f>
        <v>33</v>
      </c>
      <c r="F98" s="2">
        <f>IF('Tabela de Jogos'!C98&lt;&gt;"",Ana!W98+F97,F97)</f>
        <v>48</v>
      </c>
      <c r="G98" s="2">
        <f>IF('Tabela de Jogos'!C98&lt;&gt;"",Isa!W98+G97,G97)</f>
        <v>32</v>
      </c>
      <c r="H98" s="2">
        <f>IF('Tabela de Jogos'!C98&lt;&gt;"",Trops!W98+H97,H97)</f>
        <v>31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33</v>
      </c>
      <c r="C99" s="2">
        <f>IF('Tabela de Jogos'!C99&lt;&gt;"",Arthur!W99+C98,C98)</f>
        <v>48</v>
      </c>
      <c r="D99" s="2">
        <f>IF('Tabela de Jogos'!C99&lt;&gt;"",Dudu!W99+D98,D98)</f>
        <v>23</v>
      </c>
      <c r="E99" s="2">
        <f>IF('Tabela de Jogos'!C99&lt;&gt;"",Carol!W99+E98,E98)</f>
        <v>33</v>
      </c>
      <c r="F99" s="2">
        <f>IF('Tabela de Jogos'!C99&lt;&gt;"",Ana!W99+F98,F98)</f>
        <v>48</v>
      </c>
      <c r="G99" s="2">
        <f>IF('Tabela de Jogos'!C99&lt;&gt;"",Isa!W99+G98,G98)</f>
        <v>32</v>
      </c>
      <c r="H99" s="2">
        <f>IF('Tabela de Jogos'!C99&lt;&gt;"",Trops!W99+H98,H98)</f>
        <v>31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33</v>
      </c>
      <c r="C100" s="2">
        <f>IF('Tabela de Jogos'!C100&lt;&gt;"",Arthur!W100+C99,C99)</f>
        <v>48</v>
      </c>
      <c r="D100" s="2">
        <f>IF('Tabela de Jogos'!C100&lt;&gt;"",Dudu!W100+D99,D99)</f>
        <v>23</v>
      </c>
      <c r="E100" s="2">
        <f>IF('Tabela de Jogos'!C100&lt;&gt;"",Carol!W100+E99,E99)</f>
        <v>33</v>
      </c>
      <c r="F100" s="2">
        <f>IF('Tabela de Jogos'!C100&lt;&gt;"",Ana!W100+F99,F99)</f>
        <v>48</v>
      </c>
      <c r="G100" s="2">
        <f>IF('Tabela de Jogos'!C100&lt;&gt;"",Isa!W100+G99,G99)</f>
        <v>32</v>
      </c>
      <c r="H100" s="2">
        <f>IF('Tabela de Jogos'!C100&lt;&gt;"",Trops!W100+H99,H99)</f>
        <v>31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33</v>
      </c>
      <c r="C101" s="2">
        <f>IF('Tabela de Jogos'!C101&lt;&gt;"",Arthur!W101+C100,C100)</f>
        <v>48</v>
      </c>
      <c r="D101" s="2">
        <f>IF('Tabela de Jogos'!C101&lt;&gt;"",Dudu!W101+D100,D100)</f>
        <v>23</v>
      </c>
      <c r="E101" s="2">
        <f>IF('Tabela de Jogos'!C101&lt;&gt;"",Carol!W101+E100,E100)</f>
        <v>33</v>
      </c>
      <c r="F101" s="2">
        <f>IF('Tabela de Jogos'!C101&lt;&gt;"",Ana!W101+F100,F100)</f>
        <v>48</v>
      </c>
      <c r="G101" s="2">
        <f>IF('Tabela de Jogos'!C101&lt;&gt;"",Isa!W101+G100,G100)</f>
        <v>32</v>
      </c>
      <c r="H101" s="2">
        <f>IF('Tabela de Jogos'!C101&lt;&gt;"",Trops!W101+H100,H100)</f>
        <v>31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33</v>
      </c>
      <c r="C102" s="2">
        <f>IF('Tabela de Jogos'!C102&lt;&gt;"",Arthur!W102+C101,C101)</f>
        <v>48</v>
      </c>
      <c r="D102" s="2">
        <f>IF('Tabela de Jogos'!C102&lt;&gt;"",Dudu!W102+D101,D101)</f>
        <v>23</v>
      </c>
      <c r="E102" s="2">
        <f>IF('Tabela de Jogos'!C102&lt;&gt;"",Carol!W102+E101,E101)</f>
        <v>33</v>
      </c>
      <c r="F102" s="2">
        <f>IF('Tabela de Jogos'!C102&lt;&gt;"",Ana!W102+F101,F101)</f>
        <v>48</v>
      </c>
      <c r="G102" s="2">
        <f>IF('Tabela de Jogos'!C102&lt;&gt;"",Isa!W102+G101,G101)</f>
        <v>32</v>
      </c>
      <c r="H102" s="2">
        <f>IF('Tabela de Jogos'!C102&lt;&gt;"",Trops!W102+H101,H101)</f>
        <v>31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33</v>
      </c>
      <c r="C103" s="2">
        <f>IF('Tabela de Jogos'!C103&lt;&gt;"",Arthur!W103+C102,C102)</f>
        <v>48</v>
      </c>
      <c r="D103" s="2">
        <f>IF('Tabela de Jogos'!C103&lt;&gt;"",Dudu!W103+D102,D102)</f>
        <v>23</v>
      </c>
      <c r="E103" s="2">
        <f>IF('Tabela de Jogos'!C103&lt;&gt;"",Carol!W103+E102,E102)</f>
        <v>33</v>
      </c>
      <c r="F103" s="2">
        <f>IF('Tabela de Jogos'!C103&lt;&gt;"",Ana!W103+F102,F102)</f>
        <v>48</v>
      </c>
      <c r="G103" s="2">
        <f>IF('Tabela de Jogos'!C103&lt;&gt;"",Isa!W103+G102,G102)</f>
        <v>32</v>
      </c>
      <c r="H103" s="2">
        <f>IF('Tabela de Jogos'!C103&lt;&gt;"",Trops!W103+H102,H102)</f>
        <v>31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33</v>
      </c>
      <c r="C104" s="2">
        <f>IF('Tabela de Jogos'!C104&lt;&gt;"",Arthur!W104+C103,C103)</f>
        <v>48</v>
      </c>
      <c r="D104" s="2">
        <f>IF('Tabela de Jogos'!C104&lt;&gt;"",Dudu!W104+D103,D103)</f>
        <v>23</v>
      </c>
      <c r="E104" s="2">
        <f>IF('Tabela de Jogos'!C104&lt;&gt;"",Carol!W104+E103,E103)</f>
        <v>33</v>
      </c>
      <c r="F104" s="2">
        <f>IF('Tabela de Jogos'!C104&lt;&gt;"",Ana!W104+F103,F103)</f>
        <v>48</v>
      </c>
      <c r="G104" s="2">
        <f>IF('Tabela de Jogos'!C104&lt;&gt;"",Isa!W104+G103,G103)</f>
        <v>32</v>
      </c>
      <c r="H104" s="2">
        <f>IF('Tabela de Jogos'!C104&lt;&gt;"",Trops!W104+H103,H103)</f>
        <v>31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33</v>
      </c>
      <c r="C105" s="2">
        <f>IF('Tabela de Jogos'!C105&lt;&gt;"",Arthur!W105+C104,C104)</f>
        <v>48</v>
      </c>
      <c r="D105" s="2">
        <f>IF('Tabela de Jogos'!C105&lt;&gt;"",Dudu!W105+D104,D104)</f>
        <v>23</v>
      </c>
      <c r="E105" s="2">
        <f>IF('Tabela de Jogos'!C105&lt;&gt;"",Carol!W105+E104,E104)</f>
        <v>33</v>
      </c>
      <c r="F105" s="2">
        <f>IF('Tabela de Jogos'!C105&lt;&gt;"",Ana!W105+F104,F104)</f>
        <v>48</v>
      </c>
      <c r="G105" s="2">
        <f>IF('Tabela de Jogos'!C105&lt;&gt;"",Isa!W105+G104,G104)</f>
        <v>32</v>
      </c>
      <c r="H105" s="2">
        <f>IF('Tabela de Jogos'!C105&lt;&gt;"",Trops!W105+H104,H104)</f>
        <v>31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33</v>
      </c>
      <c r="C106" s="2">
        <f>IF('Tabela de Jogos'!C106&lt;&gt;"",Arthur!W106+C105,C105)</f>
        <v>48</v>
      </c>
      <c r="D106" s="2">
        <f>IF('Tabela de Jogos'!C106&lt;&gt;"",Dudu!W106+D105,D105)</f>
        <v>23</v>
      </c>
      <c r="E106" s="2">
        <f>IF('Tabela de Jogos'!C106&lt;&gt;"",Carol!W106+E105,E105)</f>
        <v>33</v>
      </c>
      <c r="F106" s="2">
        <f>IF('Tabela de Jogos'!C106&lt;&gt;"",Ana!W106+F105,F105)</f>
        <v>48</v>
      </c>
      <c r="G106" s="2">
        <f>IF('Tabela de Jogos'!C106&lt;&gt;"",Isa!W106+G105,G105)</f>
        <v>32</v>
      </c>
      <c r="H106" s="2">
        <f>IF('Tabela de Jogos'!C106&lt;&gt;"",Trops!W106+H105,H105)</f>
        <v>31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2026-06-19T16:49:02Z</dcterms:modified>
  <cp:category/>
  <cp:contentStatus/>
</cp:coreProperties>
</file>