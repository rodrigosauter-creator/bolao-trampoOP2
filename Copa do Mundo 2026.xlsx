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0830905A-9A49-4CBF-A0CC-273F851482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94" i="10"/>
  <c r="V93" i="10"/>
  <c r="V92" i="10"/>
  <c r="V91" i="10"/>
  <c r="V89" i="10"/>
  <c r="V88" i="10"/>
  <c r="V87" i="10"/>
  <c r="V86" i="10"/>
  <c r="V85" i="10"/>
  <c r="V84" i="10"/>
  <c r="V83" i="10"/>
  <c r="V82" i="10"/>
  <c r="V81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89" i="9"/>
  <c r="V88" i="9"/>
  <c r="V87" i="9"/>
  <c r="V86" i="9"/>
  <c r="V85" i="9"/>
  <c r="V84" i="9"/>
  <c r="V83" i="9"/>
  <c r="V82" i="9"/>
  <c r="V81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89" i="8"/>
  <c r="V88" i="8"/>
  <c r="V87" i="8"/>
  <c r="V86" i="8"/>
  <c r="V85" i="8"/>
  <c r="V84" i="8"/>
  <c r="V83" i="8"/>
  <c r="V82" i="8"/>
  <c r="V81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89" i="7"/>
  <c r="V88" i="7"/>
  <c r="V87" i="7"/>
  <c r="V86" i="7"/>
  <c r="V85" i="7"/>
  <c r="V84" i="7"/>
  <c r="V83" i="7"/>
  <c r="V82" i="7"/>
  <c r="V81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89" i="6"/>
  <c r="V88" i="6"/>
  <c r="V87" i="6"/>
  <c r="V86" i="6"/>
  <c r="V85" i="6"/>
  <c r="V84" i="6"/>
  <c r="V83" i="6"/>
  <c r="V82" i="6"/>
  <c r="V81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89" i="5"/>
  <c r="V88" i="5"/>
  <c r="V87" i="5"/>
  <c r="V86" i="5"/>
  <c r="V85" i="5"/>
  <c r="V84" i="5"/>
  <c r="V83" i="5"/>
  <c r="V82" i="5"/>
  <c r="V81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1" i="4"/>
  <c r="V82" i="4"/>
  <c r="V83" i="4"/>
  <c r="V84" i="4"/>
  <c r="V85" i="4"/>
  <c r="V86" i="4"/>
  <c r="V87" i="4"/>
  <c r="V88" i="4"/>
  <c r="V89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X80" i="10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X81" i="9"/>
  <c r="Y80" i="9"/>
  <c r="AA80" i="9" s="1"/>
  <c r="X80" i="9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X81" i="8"/>
  <c r="Y80" i="8"/>
  <c r="AA80" i="8" s="1"/>
  <c r="X80" i="8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X81" i="7"/>
  <c r="Y80" i="7"/>
  <c r="AA80" i="7" s="1"/>
  <c r="X80" i="7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X81" i="6"/>
  <c r="Y80" i="6"/>
  <c r="AA80" i="6" s="1"/>
  <c r="X80" i="6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X81" i="5"/>
  <c r="Y80" i="5"/>
  <c r="AA80" i="5" s="1"/>
  <c r="X80" i="5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X80" i="4" s="1"/>
  <c r="I81" i="1"/>
  <c r="X81" i="4" s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R91" i="8" s="1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A92" i="4"/>
  <c r="I92" i="4" s="1"/>
  <c r="O91" i="4"/>
  <c r="F91" i="4"/>
  <c r="N91" i="4" s="1"/>
  <c r="E91" i="4"/>
  <c r="D91" i="4"/>
  <c r="L91" i="4" s="1"/>
  <c r="C91" i="4"/>
  <c r="B91" i="4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1" i="7" s="1"/>
  <c r="G90" i="1"/>
  <c r="G89" i="1"/>
  <c r="G89" i="7" s="1"/>
  <c r="G88" i="1"/>
  <c r="G87" i="1"/>
  <c r="G87" i="7" s="1"/>
  <c r="G86" i="1"/>
  <c r="G85" i="1"/>
  <c r="G84" i="1"/>
  <c r="G83" i="1"/>
  <c r="G82" i="1"/>
  <c r="G81" i="1"/>
  <c r="G81" i="7" s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91" i="4"/>
  <c r="G89" i="4"/>
  <c r="L81" i="9"/>
  <c r="J81" i="9"/>
  <c r="I81" i="9"/>
  <c r="G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89" i="6"/>
  <c r="G88" i="6"/>
  <c r="G87" i="6"/>
  <c r="G86" i="6"/>
  <c r="G85" i="6"/>
  <c r="G84" i="6"/>
  <c r="G83" i="6"/>
  <c r="G82" i="6"/>
  <c r="G81" i="6"/>
  <c r="I78" i="6"/>
  <c r="G106" i="5"/>
  <c r="G105" i="5"/>
  <c r="G104" i="5"/>
  <c r="G103" i="5"/>
  <c r="G102" i="5"/>
  <c r="G101" i="5"/>
  <c r="G100" i="5"/>
  <c r="G98" i="5"/>
  <c r="G97" i="5"/>
  <c r="G96" i="5"/>
  <c r="G95" i="5"/>
  <c r="G94" i="5"/>
  <c r="G92" i="5"/>
  <c r="G91" i="5"/>
  <c r="G89" i="5"/>
  <c r="G84" i="5"/>
  <c r="G82" i="5"/>
  <c r="G81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81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G90" i="7" l="1"/>
  <c r="G90" i="6"/>
  <c r="G90" i="5"/>
  <c r="G90" i="4"/>
  <c r="G90" i="10"/>
  <c r="G90" i="9"/>
  <c r="G90" i="8"/>
  <c r="G80" i="7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AC81" i="8" s="1"/>
  <c r="AD81" i="8"/>
  <c r="AF81" i="8"/>
  <c r="AE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R93" i="10"/>
  <c r="Q93" i="10"/>
  <c r="S93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S94" i="8"/>
  <c r="Q93" i="8"/>
  <c r="S93" i="8"/>
  <c r="R93" i="8"/>
  <c r="S92" i="8"/>
  <c r="Q92" i="8"/>
  <c r="T92" i="8" s="1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R93" i="6"/>
  <c r="S93" i="6"/>
  <c r="Q93" i="6"/>
  <c r="S92" i="6"/>
  <c r="R92" i="6"/>
  <c r="Q92" i="6"/>
  <c r="Q91" i="6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T94" i="5" s="1"/>
  <c r="S94" i="5"/>
  <c r="Q94" i="5"/>
  <c r="R93" i="5"/>
  <c r="Q93" i="5"/>
  <c r="S93" i="5"/>
  <c r="R92" i="5"/>
  <c r="Q92" i="5"/>
  <c r="T92" i="5" s="1"/>
  <c r="S92" i="5"/>
  <c r="R91" i="5"/>
  <c r="S91" i="5"/>
  <c r="Q91" i="5"/>
  <c r="T91" i="5" s="1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Q80" i="5"/>
  <c r="V80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S91" i="4"/>
  <c r="Q91" i="4"/>
  <c r="R91" i="4"/>
  <c r="T91" i="4" s="1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S80" i="4"/>
  <c r="Q80" i="4"/>
  <c r="V80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T92" i="7" s="1"/>
  <c r="S92" i="7"/>
  <c r="R92" i="7"/>
  <c r="R91" i="7"/>
  <c r="Q91" i="7"/>
  <c r="T91" i="7" s="1"/>
  <c r="S91" i="7"/>
  <c r="Q90" i="7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T94" i="9" s="1"/>
  <c r="R93" i="9"/>
  <c r="Q93" i="9"/>
  <c r="T93" i="9" s="1"/>
  <c r="S93" i="9"/>
  <c r="S92" i="9"/>
  <c r="Q92" i="9"/>
  <c r="T92" i="9" s="1"/>
  <c r="R92" i="9"/>
  <c r="S91" i="9"/>
  <c r="R91" i="9"/>
  <c r="Q91" i="9"/>
  <c r="T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S81" i="9"/>
  <c r="R81" i="9"/>
  <c r="R80" i="9"/>
  <c r="S80" i="9"/>
  <c r="Q80" i="9"/>
  <c r="V80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T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V90" i="7" l="1"/>
  <c r="Y3" i="7" s="1"/>
  <c r="V90" i="9"/>
  <c r="Y3" i="9" s="1"/>
  <c r="V90" i="5"/>
  <c r="Y3" i="5" s="1"/>
  <c r="V90" i="6"/>
  <c r="S90" i="10"/>
  <c r="R90" i="10"/>
  <c r="Q90" i="10"/>
  <c r="Q90" i="8"/>
  <c r="S90" i="8"/>
  <c r="T90" i="10"/>
  <c r="U90" i="10" s="1"/>
  <c r="T90" i="8"/>
  <c r="T90" i="7"/>
  <c r="U90" i="7" s="1"/>
  <c r="W90" i="7" s="1" a="1"/>
  <c r="M90" i="3" s="1"/>
  <c r="AF90" i="8"/>
  <c r="AE90" i="8"/>
  <c r="AC90" i="4"/>
  <c r="AF90" i="4"/>
  <c r="AE90" i="4"/>
  <c r="AD90" i="4"/>
  <c r="W90" i="10" a="1"/>
  <c r="P90" i="3" s="1"/>
  <c r="V90" i="10"/>
  <c r="V90" i="4"/>
  <c r="Y3" i="4" s="1"/>
  <c r="S80" i="6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G81" i="7" s="1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/>
  <c r="W93" i="10" s="1" a="1"/>
  <c r="P93" i="3" s="1"/>
  <c r="T92" i="10"/>
  <c r="U92" i="10"/>
  <c r="W92" i="10" s="1" a="1"/>
  <c r="P92" i="3" s="1"/>
  <c r="T91" i="10"/>
  <c r="U91" i="10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W94" i="8" a="1"/>
  <c r="N94" i="3" s="1"/>
  <c r="U94" i="8"/>
  <c r="T93" i="8"/>
  <c r="W92" i="8" a="1"/>
  <c r="N92" i="3" s="1"/>
  <c r="U92" i="8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U91" i="5"/>
  <c r="W91" i="5" s="1" a="1"/>
  <c r="K91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T90" i="4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T94" i="7" s="1"/>
  <c r="S94" i="7"/>
  <c r="R94" i="7"/>
  <c r="R93" i="7"/>
  <c r="Q93" i="7"/>
  <c r="T93" i="7" s="1"/>
  <c r="S93" i="7"/>
  <c r="U92" i="7"/>
  <c r="W92" i="7" s="1" a="1"/>
  <c r="M92" i="3" s="1"/>
  <c r="U91" i="7"/>
  <c r="W91" i="7" s="1" a="1"/>
  <c r="M91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3" i="9"/>
  <c r="W93" i="9" s="1" a="1"/>
  <c r="O93" i="3" s="1"/>
  <c r="U92" i="9"/>
  <c r="W92" i="9" s="1" a="1"/>
  <c r="O92" i="3" s="1"/>
  <c r="U91" i="9"/>
  <c r="W91" i="9" s="1" a="1"/>
  <c r="O91" i="3" s="1"/>
  <c r="T90" i="9"/>
  <c r="U90" i="9" s="1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U91" i="8"/>
  <c r="W91" i="8" s="1" a="1"/>
  <c r="N91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U91" i="4"/>
  <c r="J91" i="3" s="1"/>
  <c r="T85" i="4"/>
  <c r="T82" i="4"/>
  <c r="T93" i="5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U90" i="4" l="1"/>
  <c r="W90" i="4" a="1"/>
  <c r="V90" i="8"/>
  <c r="U90" i="8"/>
  <c r="W90" i="8" s="1" a="1"/>
  <c r="N90" i="3" s="1"/>
  <c r="AG90" i="4"/>
  <c r="AG90" i="7"/>
  <c r="AG90" i="6"/>
  <c r="J90" i="3"/>
  <c r="V80" i="10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W94" i="7" a="1"/>
  <c r="M94" i="3" s="1"/>
  <c r="U94" i="7"/>
  <c r="U93" i="7"/>
  <c r="W93" i="7" s="1" a="1"/>
  <c r="M93" i="3" s="1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W94" i="6" a="1"/>
  <c r="L94" i="3" s="1"/>
  <c r="U94" i="6"/>
  <c r="U93" i="6"/>
  <c r="W93" i="6" s="1" a="1"/>
  <c r="L93" i="3" s="1"/>
  <c r="U92" i="6"/>
  <c r="W92" i="6" s="1" a="1"/>
  <c r="L92" i="3" s="1"/>
  <c r="W91" i="6" a="1"/>
  <c r="L91" i="3" s="1"/>
  <c r="U91" i="6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J93" i="3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 l="1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<sst xmlns="http://schemas.openxmlformats.org/spreadsheetml/2006/main" count="492" uniqueCount="80">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</sst>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9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153</c:v>
                </c:pt>
                <c:pt idx="80">
                  <c:v>153</c:v>
                </c:pt>
                <c:pt idx="81">
                  <c:v>153</c:v>
                </c:pt>
                <c:pt idx="82">
                  <c:v>153</c:v>
                </c:pt>
                <c:pt idx="83">
                  <c:v>153</c:v>
                </c:pt>
                <c:pt idx="84">
                  <c:v>153</c:v>
                </c:pt>
                <c:pt idx="85">
                  <c:v>153</c:v>
                </c:pt>
                <c:pt idx="86">
                  <c:v>153</c:v>
                </c:pt>
                <c:pt idx="87">
                  <c:v>153</c:v>
                </c:pt>
                <c:pt idx="88">
                  <c:v>153</c:v>
                </c:pt>
                <c:pt idx="89">
                  <c:v>153</c:v>
                </c:pt>
                <c:pt idx="90">
                  <c:v>153</c:v>
                </c:pt>
                <c:pt idx="91">
                  <c:v>153</c:v>
                </c:pt>
                <c:pt idx="92">
                  <c:v>153</c:v>
                </c:pt>
                <c:pt idx="93">
                  <c:v>153</c:v>
                </c:pt>
                <c:pt idx="94">
                  <c:v>153</c:v>
                </c:pt>
                <c:pt idx="95">
                  <c:v>153</c:v>
                </c:pt>
                <c:pt idx="96">
                  <c:v>153</c:v>
                </c:pt>
                <c:pt idx="97">
                  <c:v>153</c:v>
                </c:pt>
                <c:pt idx="98">
                  <c:v>153</c:v>
                </c:pt>
                <c:pt idx="99">
                  <c:v>153</c:v>
                </c:pt>
                <c:pt idx="100">
                  <c:v>153</c:v>
                </c:pt>
                <c:pt idx="101">
                  <c:v>153</c:v>
                </c:pt>
                <c:pt idx="102">
                  <c:v>153</c:v>
                </c:pt>
                <c:pt idx="103">
                  <c:v>153</c:v>
                </c:pt>
                <c:pt idx="104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156</c:v>
                </c:pt>
                <c:pt idx="80">
                  <c:v>156</c:v>
                </c:pt>
                <c:pt idx="81">
                  <c:v>156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6"/>
  <sheetViews>
    <sheetView tabSelected="1" topLeftCell="A68" workbookViewId="0">
      <selection activeCell="E90" sqref="E90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3" t="s">
        <v>0</v>
      </c>
      <c r="B1" s="14"/>
      <c r="C1" s="14"/>
      <c r="D1" s="14"/>
      <c r="E1" s="14"/>
      <c r="F1" s="14"/>
      <c r="G1" s="14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</row>
    <row r="75" spans="1: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</row>
    <row r="76" spans="1: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</row>
    <row r="77" spans="1: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</row>
    <row r="78" spans="1: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</row>
    <row r="79" spans="1: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</row>
    <row r="80" spans="1: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9"/>
      <c r="I80" t="b">
        <f t="shared" si="1"/>
        <v>0</v>
      </c>
    </row>
    <row r="81" spans="1:9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  <c r="I81" t="b">
        <f t="shared" si="1"/>
        <v>0</v>
      </c>
    </row>
    <row r="82" spans="1: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</row>
    <row r="83" spans="1: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</row>
    <row r="84" spans="1: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</row>
    <row r="85" spans="1: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</row>
    <row r="86" spans="1: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</row>
    <row r="87" spans="1: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</row>
    <row r="88" spans="1: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</row>
    <row r="89" spans="1: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9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  <c r="I91" t="b">
        <f t="shared" si="1"/>
        <v>0</v>
      </c>
    </row>
    <row r="92" spans="1:9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  <c r="I92" t="b">
        <f t="shared" si="1"/>
        <v>0</v>
      </c>
    </row>
    <row r="93" spans="1:9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  <c r="I93" t="b">
        <f t="shared" si="1"/>
        <v>0</v>
      </c>
    </row>
    <row r="94" spans="1:9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5" t="s">
        <v>56</v>
      </c>
      <c r="F1" s="15"/>
      <c r="G1" s="15"/>
      <c r="H1" s="1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153</v>
      </c>
      <c r="C3" s="1">
        <f>Rodrigo!Y3</f>
        <v>5</v>
      </c>
      <c r="E3" s="1">
        <v>1</v>
      </c>
      <c r="F3" s="1" t="str" cm="1">
        <f t="array" ref="F3:H9">_xlfn.SORTBY(A3:C9,B3:B9,-1,C3:C9,-1,A3:A9,1)</f>
        <v>Isa</v>
      </c>
      <c r="G3" s="1">
        <v>156</v>
      </c>
      <c r="H3" s="1">
        <v>4</v>
      </c>
    </row>
    <row r="4" spans="1:8" x14ac:dyDescent="0.45">
      <c r="A4" s="1" t="s">
        <v>62</v>
      </c>
      <c r="B4" s="1">
        <f>Arthur!X3</f>
        <v>155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155</v>
      </c>
      <c r="H4" s="1">
        <v>6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Ana</v>
      </c>
      <c r="G5" s="1">
        <v>155</v>
      </c>
      <c r="H5" s="1">
        <v>5</v>
      </c>
    </row>
    <row r="6" spans="1:8" x14ac:dyDescent="0.45">
      <c r="A6" s="1" t="s">
        <v>64</v>
      </c>
      <c r="B6" s="1">
        <f>Carol!X3</f>
        <v>137</v>
      </c>
      <c r="C6" s="1">
        <f>Carol!Y3</f>
        <v>5</v>
      </c>
      <c r="E6" s="1">
        <f>IF(AND(G6=G5,H6=H5),E5,4)</f>
        <v>4</v>
      </c>
      <c r="F6" s="1" t="str">
        <v>Rodrigo</v>
      </c>
      <c r="G6" s="1">
        <v>153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137</v>
      </c>
      <c r="H7" s="1">
        <v>5</v>
      </c>
    </row>
    <row r="8" spans="1:8" x14ac:dyDescent="0.45">
      <c r="A8" s="1" t="s">
        <v>66</v>
      </c>
      <c r="B8" s="1">
        <f>Isa!X3</f>
        <v>156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1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153</v>
      </c>
      <c r="Y3" s="3">
        <f>SUM(V3:V106)</f>
        <v>5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0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1</v>
      </c>
      <c r="V81" s="3">
        <f t="shared" si="98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9">A91</f>
        <v>89</v>
      </c>
      <c r="J91" s="3">
        <f t="shared" si="119"/>
        <v>0</v>
      </c>
      <c r="K91" s="3"/>
      <c r="L91" s="3" t="str">
        <f t="shared" si="81"/>
        <v>x</v>
      </c>
      <c r="M91" s="3"/>
      <c r="N91" s="3">
        <f t="shared" si="82"/>
        <v>0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20">A92</f>
        <v>90</v>
      </c>
      <c r="J92" s="3">
        <f t="shared" si="120"/>
        <v>0</v>
      </c>
      <c r="K92" s="3"/>
      <c r="L92" s="3" t="str">
        <f t="shared" si="81"/>
        <v>x</v>
      </c>
      <c r="M92" s="3"/>
      <c r="N92" s="3">
        <f t="shared" si="82"/>
        <v>0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21">A93</f>
        <v>91</v>
      </c>
      <c r="J93" s="3">
        <f t="shared" si="121"/>
        <v>0</v>
      </c>
      <c r="K93" s="3"/>
      <c r="L93" s="3" t="str">
        <f t="shared" si="81"/>
        <v>x</v>
      </c>
      <c r="M93" s="3"/>
      <c r="N93" s="3">
        <f t="shared" si="82"/>
        <v>0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>
        <f t="shared" si="122"/>
        <v>0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137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156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3" t="str">
        <f>'Tabela de Jogos'!A1</f>
        <v>Tabela de Jogos</v>
      </c>
      <c r="B1" s="14"/>
      <c r="C1" s="14"/>
      <c r="D1" s="14"/>
      <c r="E1" s="14"/>
      <c r="F1" s="14"/>
      <c r="G1" s="14"/>
      <c r="H1" s="3"/>
      <c r="I1" s="13" t="s">
        <v>68</v>
      </c>
      <c r="J1" s="14"/>
      <c r="K1" s="14"/>
      <c r="L1" s="14"/>
      <c r="M1" s="14"/>
      <c r="N1" s="14"/>
      <c r="O1" s="1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153</v>
      </c>
      <c r="C81" s="2">
        <f>IF('Tabela de Jogos'!C81&lt;&gt;"",Arthur!W81+C80,C80)</f>
        <v>155</v>
      </c>
      <c r="D81" s="2">
        <f>IF('Tabela de Jogos'!C81&lt;&gt;"",Dudu!W81+D80,D80)</f>
        <v>136</v>
      </c>
      <c r="E81" s="2">
        <f>IF('Tabela de Jogos'!C81&lt;&gt;"",Carol!W81+E80,E80)</f>
        <v>137</v>
      </c>
      <c r="F81" s="2">
        <f>IF('Tabela de Jogos'!C81&lt;&gt;"",Ana!W81+F80,F80)</f>
        <v>155</v>
      </c>
      <c r="G81" s="2">
        <f>IF('Tabela de Jogos'!C81&lt;&gt;"",Isa!W81+G80,G80)</f>
        <v>156</v>
      </c>
      <c r="H81" s="2">
        <f>IF('Tabela de Jogos'!C81&lt;&gt;"",Trops!W81+H80,H80)</f>
        <v>116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153</v>
      </c>
      <c r="C82" s="2">
        <f>IF('Tabela de Jogos'!C82&lt;&gt;"",Arthur!W82+C81,C81)</f>
        <v>155</v>
      </c>
      <c r="D82" s="2">
        <f>IF('Tabela de Jogos'!C82&lt;&gt;"",Dudu!W82+D81,D81)</f>
        <v>136</v>
      </c>
      <c r="E82" s="2">
        <f>IF('Tabela de Jogos'!C82&lt;&gt;"",Carol!W82+E81,E81)</f>
        <v>137</v>
      </c>
      <c r="F82" s="2">
        <f>IF('Tabela de Jogos'!C82&lt;&gt;"",Ana!W82+F81,F81)</f>
        <v>155</v>
      </c>
      <c r="G82" s="2">
        <f>IF('Tabela de Jogos'!C82&lt;&gt;"",Isa!W82+G81,G81)</f>
        <v>156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153</v>
      </c>
      <c r="C83" s="2">
        <f>IF('Tabela de Jogos'!C83&lt;&gt;"",Arthur!W83+C82,C82)</f>
        <v>155</v>
      </c>
      <c r="D83" s="2">
        <f>IF('Tabela de Jogos'!C83&lt;&gt;"",Dudu!W83+D82,D82)</f>
        <v>136</v>
      </c>
      <c r="E83" s="2">
        <f>IF('Tabela de Jogos'!C83&lt;&gt;"",Carol!W83+E82,E82)</f>
        <v>137</v>
      </c>
      <c r="F83" s="2">
        <f>IF('Tabela de Jogos'!C83&lt;&gt;"",Ana!W83+F82,F82)</f>
        <v>155</v>
      </c>
      <c r="G83" s="2">
        <f>IF('Tabela de Jogos'!C83&lt;&gt;"",Isa!W83+G82,G82)</f>
        <v>156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153</v>
      </c>
      <c r="C84" s="2">
        <f>IF('Tabela de Jogos'!C84&lt;&gt;"",Arthur!W84+C83,C83)</f>
        <v>155</v>
      </c>
      <c r="D84" s="2">
        <f>IF('Tabela de Jogos'!C84&lt;&gt;"",Dudu!W84+D83,D83)</f>
        <v>136</v>
      </c>
      <c r="E84" s="2">
        <f>IF('Tabela de Jogos'!C84&lt;&gt;"",Carol!W84+E83,E83)</f>
        <v>137</v>
      </c>
      <c r="F84" s="2">
        <f>IF('Tabela de Jogos'!C84&lt;&gt;"",Ana!W84+F83,F83)</f>
        <v>155</v>
      </c>
      <c r="G84" s="2">
        <f>IF('Tabela de Jogos'!C84&lt;&gt;"",Isa!W84+G83,G83)</f>
        <v>156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153</v>
      </c>
      <c r="C85" s="2">
        <f>IF('Tabela de Jogos'!C85&lt;&gt;"",Arthur!W85+C84,C84)</f>
        <v>155</v>
      </c>
      <c r="D85" s="2">
        <f>IF('Tabela de Jogos'!C85&lt;&gt;"",Dudu!W85+D84,D84)</f>
        <v>136</v>
      </c>
      <c r="E85" s="2">
        <f>IF('Tabela de Jogos'!C85&lt;&gt;"",Carol!W85+E84,E84)</f>
        <v>137</v>
      </c>
      <c r="F85" s="2">
        <f>IF('Tabela de Jogos'!C85&lt;&gt;"",Ana!W85+F84,F84)</f>
        <v>155</v>
      </c>
      <c r="G85" s="2">
        <f>IF('Tabela de Jogos'!C85&lt;&gt;"",Isa!W85+G84,G84)</f>
        <v>156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153</v>
      </c>
      <c r="C86" s="2">
        <f>IF('Tabela de Jogos'!C86&lt;&gt;"",Arthur!W86+C85,C85)</f>
        <v>155</v>
      </c>
      <c r="D86" s="2">
        <f>IF('Tabela de Jogos'!C86&lt;&gt;"",Dudu!W86+D85,D85)</f>
        <v>136</v>
      </c>
      <c r="E86" s="2">
        <f>IF('Tabela de Jogos'!C86&lt;&gt;"",Carol!W86+E85,E85)</f>
        <v>137</v>
      </c>
      <c r="F86" s="2">
        <f>IF('Tabela de Jogos'!C86&lt;&gt;"",Ana!W86+F85,F85)</f>
        <v>155</v>
      </c>
      <c r="G86" s="2">
        <f>IF('Tabela de Jogos'!C86&lt;&gt;"",Isa!W86+G85,G85)</f>
        <v>156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153</v>
      </c>
      <c r="C87" s="2">
        <f>IF('Tabela de Jogos'!C87&lt;&gt;"",Arthur!W87+C86,C86)</f>
        <v>155</v>
      </c>
      <c r="D87" s="2">
        <f>IF('Tabela de Jogos'!C87&lt;&gt;"",Dudu!W87+D86,D86)</f>
        <v>136</v>
      </c>
      <c r="E87" s="2">
        <f>IF('Tabela de Jogos'!C87&lt;&gt;"",Carol!W87+E86,E86)</f>
        <v>137</v>
      </c>
      <c r="F87" s="2">
        <f>IF('Tabela de Jogos'!C87&lt;&gt;"",Ana!W87+F86,F86)</f>
        <v>155</v>
      </c>
      <c r="G87" s="2">
        <f>IF('Tabela de Jogos'!C87&lt;&gt;"",Isa!W87+G86,G86)</f>
        <v>156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153</v>
      </c>
      <c r="C88" s="2">
        <f>IF('Tabela de Jogos'!C88&lt;&gt;"",Arthur!W88+C87,C87)</f>
        <v>155</v>
      </c>
      <c r="D88" s="2">
        <f>IF('Tabela de Jogos'!C88&lt;&gt;"",Dudu!W88+D87,D87)</f>
        <v>136</v>
      </c>
      <c r="E88" s="2">
        <f>IF('Tabela de Jogos'!C88&lt;&gt;"",Carol!W88+E87,E87)</f>
        <v>137</v>
      </c>
      <c r="F88" s="2">
        <f>IF('Tabela de Jogos'!C88&lt;&gt;"",Ana!W88+F87,F87)</f>
        <v>155</v>
      </c>
      <c r="G88" s="2">
        <f>IF('Tabela de Jogos'!C88&lt;&gt;"",Isa!W88+G87,G87)</f>
        <v>156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153</v>
      </c>
      <c r="C89" s="2">
        <f>IF('Tabela de Jogos'!C89&lt;&gt;"",Arthur!W89+C88,C88)</f>
        <v>155</v>
      </c>
      <c r="D89" s="2">
        <f>IF('Tabela de Jogos'!C89&lt;&gt;"",Dudu!W89+D88,D88)</f>
        <v>136</v>
      </c>
      <c r="E89" s="2">
        <f>IF('Tabela de Jogos'!C89&lt;&gt;"",Carol!W89+E88,E88)</f>
        <v>137</v>
      </c>
      <c r="F89" s="2">
        <f>IF('Tabela de Jogos'!C89&lt;&gt;"",Ana!W89+F88,F88)</f>
        <v>155</v>
      </c>
      <c r="G89" s="2">
        <f>IF('Tabela de Jogos'!C89&lt;&gt;"",Isa!W89+G88,G88)</f>
        <v>156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153</v>
      </c>
      <c r="C90" s="2">
        <f>IF('Tabela de Jogos'!C90&lt;&gt;"",Arthur!W90+C89,C89)</f>
        <v>155</v>
      </c>
      <c r="D90" s="2">
        <f>IF('Tabela de Jogos'!C90&lt;&gt;"",Dudu!W90+D89,D89)</f>
        <v>136</v>
      </c>
      <c r="E90" s="2">
        <f>IF('Tabela de Jogos'!C90&lt;&gt;"",Carol!W90+E89,E89)</f>
        <v>137</v>
      </c>
      <c r="F90" s="2">
        <f>IF('Tabela de Jogos'!C90&lt;&gt;"",Ana!W90+F89,F89)</f>
        <v>155</v>
      </c>
      <c r="G90" s="2">
        <f>IF('Tabela de Jogos'!C90&lt;&gt;"",Isa!W90+G89,G89)</f>
        <v>156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153</v>
      </c>
      <c r="C91" s="2">
        <f>IF('Tabela de Jogos'!C91&lt;&gt;"",Arthur!W91+C90,C90)</f>
        <v>155</v>
      </c>
      <c r="D91" s="2">
        <f>IF('Tabela de Jogos'!C91&lt;&gt;"",Dudu!W91+D90,D90)</f>
        <v>136</v>
      </c>
      <c r="E91" s="2">
        <f>IF('Tabela de Jogos'!C91&lt;&gt;"",Carol!W91+E90,E90)</f>
        <v>137</v>
      </c>
      <c r="F91" s="2">
        <f>IF('Tabela de Jogos'!C91&lt;&gt;"",Ana!W91+F90,F90)</f>
        <v>155</v>
      </c>
      <c r="G91" s="2">
        <f>IF('Tabela de Jogos'!C91&lt;&gt;"",Isa!W91+G90,G90)</f>
        <v>156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153</v>
      </c>
      <c r="C92" s="2">
        <f>IF('Tabela de Jogos'!C92&lt;&gt;"",Arthur!W92+C91,C91)</f>
        <v>155</v>
      </c>
      <c r="D92" s="2">
        <f>IF('Tabela de Jogos'!C92&lt;&gt;"",Dudu!W92+D91,D91)</f>
        <v>136</v>
      </c>
      <c r="E92" s="2">
        <f>IF('Tabela de Jogos'!C92&lt;&gt;"",Carol!W92+E91,E91)</f>
        <v>137</v>
      </c>
      <c r="F92" s="2">
        <f>IF('Tabela de Jogos'!C92&lt;&gt;"",Ana!W92+F91,F91)</f>
        <v>155</v>
      </c>
      <c r="G92" s="2">
        <f>IF('Tabela de Jogos'!C92&lt;&gt;"",Isa!W92+G91,G91)</f>
        <v>156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153</v>
      </c>
      <c r="C93" s="2">
        <f>IF('Tabela de Jogos'!C93&lt;&gt;"",Arthur!W93+C92,C92)</f>
        <v>155</v>
      </c>
      <c r="D93" s="2">
        <f>IF('Tabela de Jogos'!C93&lt;&gt;"",Dudu!W93+D92,D92)</f>
        <v>136</v>
      </c>
      <c r="E93" s="2">
        <f>IF('Tabela de Jogos'!C93&lt;&gt;"",Carol!W93+E92,E92)</f>
        <v>137</v>
      </c>
      <c r="F93" s="2">
        <f>IF('Tabela de Jogos'!C93&lt;&gt;"",Ana!W93+F92,F92)</f>
        <v>155</v>
      </c>
      <c r="G93" s="2">
        <f>IF('Tabela de Jogos'!C93&lt;&gt;"",Isa!W93+G92,G92)</f>
        <v>156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153</v>
      </c>
      <c r="C94" s="2">
        <f>IF('Tabela de Jogos'!C94&lt;&gt;"",Arthur!W94+C93,C93)</f>
        <v>155</v>
      </c>
      <c r="D94" s="2">
        <f>IF('Tabela de Jogos'!C94&lt;&gt;"",Dudu!W94+D93,D93)</f>
        <v>136</v>
      </c>
      <c r="E94" s="2">
        <f>IF('Tabela de Jogos'!C94&lt;&gt;"",Carol!W94+E93,E93)</f>
        <v>137</v>
      </c>
      <c r="F94" s="2">
        <f>IF('Tabela de Jogos'!C94&lt;&gt;"",Ana!W94+F93,F93)</f>
        <v>155</v>
      </c>
      <c r="G94" s="2">
        <f>IF('Tabela de Jogos'!C94&lt;&gt;"",Isa!W94+G93,G93)</f>
        <v>156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153</v>
      </c>
      <c r="C95" s="2">
        <f>IF('Tabela de Jogos'!C95&lt;&gt;"",Arthur!W95+C94,C94)</f>
        <v>155</v>
      </c>
      <c r="D95" s="2">
        <f>IF('Tabela de Jogos'!C95&lt;&gt;"",Dudu!W95+D94,D94)</f>
        <v>136</v>
      </c>
      <c r="E95" s="2">
        <f>IF('Tabela de Jogos'!C95&lt;&gt;"",Carol!W95+E94,E94)</f>
        <v>137</v>
      </c>
      <c r="F95" s="2">
        <f>IF('Tabela de Jogos'!C95&lt;&gt;"",Ana!W95+F94,F94)</f>
        <v>155</v>
      </c>
      <c r="G95" s="2">
        <f>IF('Tabela de Jogos'!C95&lt;&gt;"",Isa!W95+G94,G94)</f>
        <v>156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153</v>
      </c>
      <c r="C96" s="2">
        <f>IF('Tabela de Jogos'!C96&lt;&gt;"",Arthur!W96+C95,C95)</f>
        <v>155</v>
      </c>
      <c r="D96" s="2">
        <f>IF('Tabela de Jogos'!C96&lt;&gt;"",Dudu!W96+D95,D95)</f>
        <v>136</v>
      </c>
      <c r="E96" s="2">
        <f>IF('Tabela de Jogos'!C96&lt;&gt;"",Carol!W96+E95,E95)</f>
        <v>137</v>
      </c>
      <c r="F96" s="2">
        <f>IF('Tabela de Jogos'!C96&lt;&gt;"",Ana!W96+F95,F95)</f>
        <v>155</v>
      </c>
      <c r="G96" s="2">
        <f>IF('Tabela de Jogos'!C96&lt;&gt;"",Isa!W96+G95,G95)</f>
        <v>156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153</v>
      </c>
      <c r="C97" s="2">
        <f>IF('Tabela de Jogos'!C97&lt;&gt;"",Arthur!W97+C96,C96)</f>
        <v>155</v>
      </c>
      <c r="D97" s="2">
        <f>IF('Tabela de Jogos'!C97&lt;&gt;"",Dudu!W97+D96,D96)</f>
        <v>136</v>
      </c>
      <c r="E97" s="2">
        <f>IF('Tabela de Jogos'!C97&lt;&gt;"",Carol!W97+E96,E96)</f>
        <v>137</v>
      </c>
      <c r="F97" s="2">
        <f>IF('Tabela de Jogos'!C97&lt;&gt;"",Ana!W97+F96,F96)</f>
        <v>155</v>
      </c>
      <c r="G97" s="2">
        <f>IF('Tabela de Jogos'!C97&lt;&gt;"",Isa!W97+G96,G96)</f>
        <v>156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153</v>
      </c>
      <c r="C98" s="2">
        <f>IF('Tabela de Jogos'!C98&lt;&gt;"",Arthur!W98+C97,C97)</f>
        <v>155</v>
      </c>
      <c r="D98" s="2">
        <f>IF('Tabela de Jogos'!C98&lt;&gt;"",Dudu!W98+D97,D97)</f>
        <v>136</v>
      </c>
      <c r="E98" s="2">
        <f>IF('Tabela de Jogos'!C98&lt;&gt;"",Carol!W98+E97,E97)</f>
        <v>137</v>
      </c>
      <c r="F98" s="2">
        <f>IF('Tabela de Jogos'!C98&lt;&gt;"",Ana!W98+F97,F97)</f>
        <v>155</v>
      </c>
      <c r="G98" s="2">
        <f>IF('Tabela de Jogos'!C98&lt;&gt;"",Isa!W98+G97,G97)</f>
        <v>156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153</v>
      </c>
      <c r="C99" s="2">
        <f>IF('Tabela de Jogos'!C99&lt;&gt;"",Arthur!W99+C98,C98)</f>
        <v>155</v>
      </c>
      <c r="D99" s="2">
        <f>IF('Tabela de Jogos'!C99&lt;&gt;"",Dudu!W99+D98,D98)</f>
        <v>136</v>
      </c>
      <c r="E99" s="2">
        <f>IF('Tabela de Jogos'!C99&lt;&gt;"",Carol!W99+E98,E98)</f>
        <v>137</v>
      </c>
      <c r="F99" s="2">
        <f>IF('Tabela de Jogos'!C99&lt;&gt;"",Ana!W99+F98,F98)</f>
        <v>155</v>
      </c>
      <c r="G99" s="2">
        <f>IF('Tabela de Jogos'!C99&lt;&gt;"",Isa!W99+G98,G98)</f>
        <v>156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153</v>
      </c>
      <c r="C100" s="2">
        <f>IF('Tabela de Jogos'!C100&lt;&gt;"",Arthur!W100+C99,C99)</f>
        <v>155</v>
      </c>
      <c r="D100" s="2">
        <f>IF('Tabela de Jogos'!C100&lt;&gt;"",Dudu!W100+D99,D99)</f>
        <v>136</v>
      </c>
      <c r="E100" s="2">
        <f>IF('Tabela de Jogos'!C100&lt;&gt;"",Carol!W100+E99,E99)</f>
        <v>137</v>
      </c>
      <c r="F100" s="2">
        <f>IF('Tabela de Jogos'!C100&lt;&gt;"",Ana!W100+F99,F99)</f>
        <v>155</v>
      </c>
      <c r="G100" s="2">
        <f>IF('Tabela de Jogos'!C100&lt;&gt;"",Isa!W100+G99,G99)</f>
        <v>156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153</v>
      </c>
      <c r="C101" s="2">
        <f>IF('Tabela de Jogos'!C101&lt;&gt;"",Arthur!W101+C100,C100)</f>
        <v>155</v>
      </c>
      <c r="D101" s="2">
        <f>IF('Tabela de Jogos'!C101&lt;&gt;"",Dudu!W101+D100,D100)</f>
        <v>136</v>
      </c>
      <c r="E101" s="2">
        <f>IF('Tabela de Jogos'!C101&lt;&gt;"",Carol!W101+E100,E100)</f>
        <v>137</v>
      </c>
      <c r="F101" s="2">
        <f>IF('Tabela de Jogos'!C101&lt;&gt;"",Ana!W101+F100,F100)</f>
        <v>155</v>
      </c>
      <c r="G101" s="2">
        <f>IF('Tabela de Jogos'!C101&lt;&gt;"",Isa!W101+G100,G100)</f>
        <v>156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153</v>
      </c>
      <c r="C102" s="2">
        <f>IF('Tabela de Jogos'!C102&lt;&gt;"",Arthur!W102+C101,C101)</f>
        <v>155</v>
      </c>
      <c r="D102" s="2">
        <f>IF('Tabela de Jogos'!C102&lt;&gt;"",Dudu!W102+D101,D101)</f>
        <v>136</v>
      </c>
      <c r="E102" s="2">
        <f>IF('Tabela de Jogos'!C102&lt;&gt;"",Carol!W102+E101,E101)</f>
        <v>137</v>
      </c>
      <c r="F102" s="2">
        <f>IF('Tabela de Jogos'!C102&lt;&gt;"",Ana!W102+F101,F101)</f>
        <v>155</v>
      </c>
      <c r="G102" s="2">
        <f>IF('Tabela de Jogos'!C102&lt;&gt;"",Isa!W102+G101,G101)</f>
        <v>156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153</v>
      </c>
      <c r="C103" s="2">
        <f>IF('Tabela de Jogos'!C103&lt;&gt;"",Arthur!W103+C102,C102)</f>
        <v>155</v>
      </c>
      <c r="D103" s="2">
        <f>IF('Tabela de Jogos'!C103&lt;&gt;"",Dudu!W103+D102,D102)</f>
        <v>136</v>
      </c>
      <c r="E103" s="2">
        <f>IF('Tabela de Jogos'!C103&lt;&gt;"",Carol!W103+E102,E102)</f>
        <v>137</v>
      </c>
      <c r="F103" s="2">
        <f>IF('Tabela de Jogos'!C103&lt;&gt;"",Ana!W103+F102,F102)</f>
        <v>155</v>
      </c>
      <c r="G103" s="2">
        <f>IF('Tabela de Jogos'!C103&lt;&gt;"",Isa!W103+G102,G102)</f>
        <v>156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153</v>
      </c>
      <c r="C104" s="2">
        <f>IF('Tabela de Jogos'!C104&lt;&gt;"",Arthur!W104+C103,C103)</f>
        <v>155</v>
      </c>
      <c r="D104" s="2">
        <f>IF('Tabela de Jogos'!C104&lt;&gt;"",Dudu!W104+D103,D103)</f>
        <v>136</v>
      </c>
      <c r="E104" s="2">
        <f>IF('Tabela de Jogos'!C104&lt;&gt;"",Carol!W104+E103,E103)</f>
        <v>137</v>
      </c>
      <c r="F104" s="2">
        <f>IF('Tabela de Jogos'!C104&lt;&gt;"",Ana!W104+F103,F103)</f>
        <v>155</v>
      </c>
      <c r="G104" s="2">
        <f>IF('Tabela de Jogos'!C104&lt;&gt;"",Isa!W104+G103,G103)</f>
        <v>156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153</v>
      </c>
      <c r="C105" s="2">
        <f>IF('Tabela de Jogos'!C105&lt;&gt;"",Arthur!W105+C104,C104)</f>
        <v>155</v>
      </c>
      <c r="D105" s="2">
        <f>IF('Tabela de Jogos'!C105&lt;&gt;"",Dudu!W105+D104,D104)</f>
        <v>136</v>
      </c>
      <c r="E105" s="2">
        <f>IF('Tabela de Jogos'!C105&lt;&gt;"",Carol!W105+E104,E104)</f>
        <v>137</v>
      </c>
      <c r="F105" s="2">
        <f>IF('Tabela de Jogos'!C105&lt;&gt;"",Ana!W105+F104,F104)</f>
        <v>155</v>
      </c>
      <c r="G105" s="2">
        <f>IF('Tabela de Jogos'!C105&lt;&gt;"",Isa!W105+G104,G104)</f>
        <v>156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153</v>
      </c>
      <c r="C106" s="2">
        <f>IF('Tabela de Jogos'!C106&lt;&gt;"",Arthur!W106+C105,C105)</f>
        <v>155</v>
      </c>
      <c r="D106" s="2">
        <f>IF('Tabela de Jogos'!C106&lt;&gt;"",Dudu!W106+D105,D105)</f>
        <v>136</v>
      </c>
      <c r="E106" s="2">
        <f>IF('Tabela de Jogos'!C106&lt;&gt;"",Carol!W106+E105,E105)</f>
        <v>137</v>
      </c>
      <c r="F106" s="2">
        <f>IF('Tabela de Jogos'!C106&lt;&gt;"",Ana!W106+F105,F105)</f>
        <v>155</v>
      </c>
      <c r="G106" s="2">
        <f>IF('Tabela de Jogos'!C106&lt;&gt;"",Isa!W106+G105,G105)</f>
        <v>156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2026-07-01T00:29:28Z</dcterms:modified>
  <cp:category/>
  <cp:contentStatus/>
</cp:coreProperties>
</file>