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6A66FEE2-85C0-42A5-890D-D0180E7226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91" i="10" l="1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75" i="10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75" i="9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75" i="8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75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75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L69" i="9"/>
  <c r="L72" i="4"/>
  <c r="L65" i="8"/>
  <c r="L60" i="10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3" i="10" a="1"/>
  <c r="W4" i="9" a="1"/>
  <c r="W5" i="9" a="1"/>
  <c r="W6" i="9" a="1"/>
  <c r="W3" i="9" a="1"/>
  <c r="W4" i="8" a="1"/>
  <c r="W5" i="8" a="1"/>
  <c r="W6" i="8" a="1"/>
  <c r="W3" i="8" a="1"/>
  <c r="W4" i="6" a="1"/>
  <c r="W5" i="6" a="1"/>
  <c r="W6" i="6" a="1"/>
  <c r="O19" i="6"/>
  <c r="W3" i="6" a="1"/>
  <c r="W4" i="5" a="1"/>
  <c r="W5" i="5" a="1"/>
  <c r="W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J76" i="10" s="1"/>
  <c r="A76" i="10"/>
  <c r="O75" i="10"/>
  <c r="F75" i="10"/>
  <c r="E75" i="10"/>
  <c r="D75" i="10"/>
  <c r="C75" i="10"/>
  <c r="B75" i="10"/>
  <c r="J75" i="10" s="1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I82" i="9"/>
  <c r="F82" i="9"/>
  <c r="E82" i="9"/>
  <c r="D82" i="9"/>
  <c r="C82" i="9"/>
  <c r="B82" i="9"/>
  <c r="J82" i="9" s="1"/>
  <c r="A82" i="9"/>
  <c r="O81" i="9"/>
  <c r="F81" i="9"/>
  <c r="N81" i="9" s="1"/>
  <c r="W81" i="9" s="1" a="1"/>
  <c r="O81" i="3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J76" i="9" s="1"/>
  <c r="A76" i="9"/>
  <c r="O75" i="9"/>
  <c r="F75" i="9"/>
  <c r="E75" i="9"/>
  <c r="D75" i="9"/>
  <c r="C75" i="9"/>
  <c r="B75" i="9"/>
  <c r="J75" i="9" s="1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W81" i="8" s="1" a="1"/>
  <c r="N81" i="3" s="1"/>
  <c r="E81" i="8"/>
  <c r="D81" i="8"/>
  <c r="C81" i="8"/>
  <c r="B81" i="8"/>
  <c r="A81" i="8"/>
  <c r="O80" i="8"/>
  <c r="F80" i="8"/>
  <c r="N80" i="8" s="1"/>
  <c r="W80" i="8" s="1" a="1"/>
  <c r="N80" i="3" s="1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J76" i="8" s="1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N81" i="7" s="1"/>
  <c r="W81" i="7" s="1" a="1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J76" i="7" s="1"/>
  <c r="A76" i="7"/>
  <c r="O75" i="7"/>
  <c r="F75" i="7"/>
  <c r="E75" i="7"/>
  <c r="D75" i="7"/>
  <c r="C75" i="7"/>
  <c r="B75" i="7"/>
  <c r="J75" i="7" s="1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N81" i="6" s="1"/>
  <c r="W81" i="6" s="1" a="1"/>
  <c r="L81" i="3" s="1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J76" i="6" s="1"/>
  <c r="A76" i="6"/>
  <c r="O75" i="6"/>
  <c r="F75" i="6"/>
  <c r="E75" i="6"/>
  <c r="D75" i="6"/>
  <c r="C75" i="6"/>
  <c r="B75" i="6"/>
  <c r="J75" i="6" s="1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J87" i="5" s="1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N81" i="5" s="1"/>
  <c r="W81" i="5" s="1" a="1"/>
  <c r="K81" i="3" s="1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J76" i="5" s="1"/>
  <c r="A76" i="5"/>
  <c r="O75" i="5"/>
  <c r="F75" i="5"/>
  <c r="E75" i="5"/>
  <c r="D75" i="5"/>
  <c r="C75" i="5"/>
  <c r="B75" i="5"/>
  <c r="J75" i="5" s="1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J87" i="4" s="1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J75" i="4" s="1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N77" i="10"/>
  <c r="L77" i="10"/>
  <c r="J77" i="10"/>
  <c r="I77" i="10"/>
  <c r="N76" i="10"/>
  <c r="L76" i="10"/>
  <c r="I76" i="10"/>
  <c r="N75" i="10"/>
  <c r="L75" i="10"/>
  <c r="I75" i="10"/>
  <c r="N74" i="10"/>
  <c r="L74" i="10"/>
  <c r="J74" i="10"/>
  <c r="I74" i="10"/>
  <c r="N73" i="10"/>
  <c r="L73" i="10"/>
  <c r="J73" i="10"/>
  <c r="I73" i="10"/>
  <c r="N72" i="10"/>
  <c r="L72" i="10"/>
  <c r="J72" i="10"/>
  <c r="I72" i="10"/>
  <c r="N71" i="10"/>
  <c r="L71" i="10"/>
  <c r="J71" i="10"/>
  <c r="I71" i="10"/>
  <c r="N70" i="10"/>
  <c r="L70" i="10"/>
  <c r="J70" i="10"/>
  <c r="I70" i="10"/>
  <c r="N69" i="10"/>
  <c r="L69" i="10"/>
  <c r="J69" i="10"/>
  <c r="I69" i="10"/>
  <c r="N68" i="10"/>
  <c r="L68" i="10"/>
  <c r="J68" i="10"/>
  <c r="I68" i="10"/>
  <c r="N67" i="10"/>
  <c r="L67" i="10"/>
  <c r="J67" i="10"/>
  <c r="I67" i="10"/>
  <c r="N66" i="10"/>
  <c r="L66" i="10"/>
  <c r="J66" i="10"/>
  <c r="I66" i="10"/>
  <c r="N65" i="10"/>
  <c r="L65" i="10"/>
  <c r="J65" i="10"/>
  <c r="I65" i="10"/>
  <c r="N64" i="10"/>
  <c r="L64" i="10"/>
  <c r="J64" i="10"/>
  <c r="I64" i="10"/>
  <c r="N63" i="10"/>
  <c r="L63" i="10"/>
  <c r="J63" i="10"/>
  <c r="I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N89" i="9"/>
  <c r="L89" i="9"/>
  <c r="J89" i="9"/>
  <c r="I89" i="9"/>
  <c r="G89" i="9"/>
  <c r="S89" i="9" s="1"/>
  <c r="N88" i="9"/>
  <c r="L88" i="9"/>
  <c r="J88" i="9"/>
  <c r="I88" i="9"/>
  <c r="G88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G80" i="8"/>
  <c r="N79" i="8"/>
  <c r="L79" i="8"/>
  <c r="J79" i="8"/>
  <c r="I79" i="8"/>
  <c r="G79" i="8"/>
  <c r="I78" i="8"/>
  <c r="N77" i="8"/>
  <c r="L77" i="8"/>
  <c r="J77" i="8"/>
  <c r="I77" i="8"/>
  <c r="N76" i="8"/>
  <c r="L76" i="8"/>
  <c r="I76" i="8"/>
  <c r="N75" i="8"/>
  <c r="L75" i="8"/>
  <c r="J75" i="8"/>
  <c r="I75" i="8"/>
  <c r="N74" i="8"/>
  <c r="L74" i="8"/>
  <c r="J74" i="8"/>
  <c r="I74" i="8"/>
  <c r="I72" i="8"/>
  <c r="N71" i="8"/>
  <c r="L71" i="8"/>
  <c r="J71" i="8"/>
  <c r="I71" i="8"/>
  <c r="N70" i="8"/>
  <c r="L70" i="8"/>
  <c r="J70" i="8"/>
  <c r="I70" i="8"/>
  <c r="J69" i="8"/>
  <c r="J68" i="8"/>
  <c r="I67" i="8"/>
  <c r="N66" i="8"/>
  <c r="L66" i="8"/>
  <c r="J66" i="8"/>
  <c r="I66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N77" i="9"/>
  <c r="L77" i="9"/>
  <c r="J77" i="9"/>
  <c r="I77" i="9"/>
  <c r="N76" i="9"/>
  <c r="L76" i="9"/>
  <c r="I76" i="9"/>
  <c r="N75" i="9"/>
  <c r="L75" i="9"/>
  <c r="I75" i="9"/>
  <c r="N74" i="9"/>
  <c r="L74" i="9"/>
  <c r="J74" i="9"/>
  <c r="I74" i="9"/>
  <c r="N73" i="9"/>
  <c r="L73" i="9"/>
  <c r="J73" i="9"/>
  <c r="I73" i="9"/>
  <c r="N72" i="9"/>
  <c r="L72" i="9"/>
  <c r="J72" i="9"/>
  <c r="I72" i="9"/>
  <c r="N71" i="9"/>
  <c r="L71" i="9"/>
  <c r="J71" i="9"/>
  <c r="I71" i="9"/>
  <c r="N70" i="9"/>
  <c r="L70" i="9"/>
  <c r="J70" i="9"/>
  <c r="I70" i="9"/>
  <c r="N69" i="9"/>
  <c r="J69" i="9"/>
  <c r="I69" i="9"/>
  <c r="N68" i="9"/>
  <c r="L68" i="9"/>
  <c r="J68" i="9"/>
  <c r="I68" i="9"/>
  <c r="N67" i="9"/>
  <c r="L67" i="9"/>
  <c r="J67" i="9"/>
  <c r="I67" i="9"/>
  <c r="N66" i="9"/>
  <c r="L66" i="9"/>
  <c r="J66" i="9"/>
  <c r="I66" i="9"/>
  <c r="N65" i="9"/>
  <c r="L65" i="9"/>
  <c r="J65" i="9"/>
  <c r="I65" i="9"/>
  <c r="N64" i="9"/>
  <c r="L64" i="9"/>
  <c r="J64" i="9"/>
  <c r="I64" i="9"/>
  <c r="N63" i="9"/>
  <c r="L63" i="9"/>
  <c r="J63" i="9"/>
  <c r="I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L78" i="8"/>
  <c r="J78" i="8"/>
  <c r="N73" i="8"/>
  <c r="L73" i="8"/>
  <c r="J73" i="8"/>
  <c r="I73" i="8"/>
  <c r="N72" i="8"/>
  <c r="L72" i="8"/>
  <c r="J72" i="8"/>
  <c r="N69" i="8"/>
  <c r="L69" i="8"/>
  <c r="I69" i="8"/>
  <c r="N68" i="8"/>
  <c r="L68" i="8"/>
  <c r="I68" i="8"/>
  <c r="N67" i="8"/>
  <c r="L67" i="8"/>
  <c r="J67" i="8"/>
  <c r="N65" i="8"/>
  <c r="J65" i="8"/>
  <c r="I65" i="8"/>
  <c r="N64" i="8"/>
  <c r="L64" i="8"/>
  <c r="J64" i="8"/>
  <c r="I64" i="8"/>
  <c r="N63" i="8"/>
  <c r="L63" i="8"/>
  <c r="J63" i="8"/>
  <c r="I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W85" i="7" s="1" a="1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N77" i="7"/>
  <c r="L77" i="7"/>
  <c r="J77" i="7"/>
  <c r="I77" i="7"/>
  <c r="N76" i="7"/>
  <c r="L76" i="7"/>
  <c r="I76" i="7"/>
  <c r="N75" i="7"/>
  <c r="L75" i="7"/>
  <c r="I75" i="7"/>
  <c r="N74" i="7"/>
  <c r="L74" i="7"/>
  <c r="J74" i="7"/>
  <c r="I74" i="7"/>
  <c r="N73" i="7"/>
  <c r="L73" i="7"/>
  <c r="J73" i="7"/>
  <c r="I73" i="7"/>
  <c r="N72" i="7"/>
  <c r="L72" i="7"/>
  <c r="J72" i="7"/>
  <c r="I72" i="7"/>
  <c r="N71" i="7"/>
  <c r="L71" i="7"/>
  <c r="J71" i="7"/>
  <c r="I71" i="7"/>
  <c r="N70" i="7"/>
  <c r="L70" i="7"/>
  <c r="J70" i="7"/>
  <c r="I70" i="7"/>
  <c r="N69" i="7"/>
  <c r="L69" i="7"/>
  <c r="J69" i="7"/>
  <c r="I69" i="7"/>
  <c r="N68" i="7"/>
  <c r="L68" i="7"/>
  <c r="J68" i="7"/>
  <c r="I68" i="7"/>
  <c r="N67" i="7"/>
  <c r="L67" i="7"/>
  <c r="J67" i="7"/>
  <c r="I67" i="7"/>
  <c r="N66" i="7"/>
  <c r="L66" i="7"/>
  <c r="J66" i="7"/>
  <c r="I66" i="7"/>
  <c r="N65" i="7"/>
  <c r="L65" i="7"/>
  <c r="J65" i="7"/>
  <c r="I65" i="7"/>
  <c r="N64" i="7"/>
  <c r="L64" i="7"/>
  <c r="J64" i="7"/>
  <c r="I64" i="7"/>
  <c r="N63" i="7"/>
  <c r="L63" i="7"/>
  <c r="J63" i="7"/>
  <c r="I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W85" i="6" s="1" a="1"/>
  <c r="L85" i="3" s="1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N76" i="6"/>
  <c r="L76" i="6"/>
  <c r="I76" i="6"/>
  <c r="N75" i="6"/>
  <c r="L75" i="6"/>
  <c r="I75" i="6"/>
  <c r="N74" i="6"/>
  <c r="L74" i="6"/>
  <c r="J74" i="6"/>
  <c r="I74" i="6"/>
  <c r="N73" i="6"/>
  <c r="L73" i="6"/>
  <c r="J73" i="6"/>
  <c r="I73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N84" i="5"/>
  <c r="L84" i="5"/>
  <c r="J84" i="5"/>
  <c r="I84" i="5"/>
  <c r="G84" i="5"/>
  <c r="N83" i="5"/>
  <c r="N82" i="5"/>
  <c r="L82" i="5"/>
  <c r="J82" i="5"/>
  <c r="I82" i="5"/>
  <c r="G82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N76" i="5"/>
  <c r="L76" i="5"/>
  <c r="I76" i="5"/>
  <c r="N75" i="5"/>
  <c r="L75" i="5"/>
  <c r="I75" i="5"/>
  <c r="N74" i="5"/>
  <c r="L74" i="5"/>
  <c r="J74" i="5"/>
  <c r="I74" i="5"/>
  <c r="N73" i="5"/>
  <c r="L73" i="5"/>
  <c r="J73" i="5"/>
  <c r="I73" i="5"/>
  <c r="N72" i="5"/>
  <c r="J72" i="5"/>
  <c r="I72" i="5"/>
  <c r="N70" i="5"/>
  <c r="L70" i="5"/>
  <c r="J70" i="5"/>
  <c r="N69" i="5"/>
  <c r="L69" i="5"/>
  <c r="J69" i="5"/>
  <c r="I69" i="5"/>
  <c r="N68" i="5"/>
  <c r="L68" i="5"/>
  <c r="J68" i="5"/>
  <c r="I68" i="5"/>
  <c r="N67" i="5"/>
  <c r="L67" i="5"/>
  <c r="J67" i="5"/>
  <c r="I67" i="5"/>
  <c r="G67" i="5"/>
  <c r="I66" i="5"/>
  <c r="N65" i="5"/>
  <c r="L65" i="5"/>
  <c r="J65" i="5"/>
  <c r="I65" i="5"/>
  <c r="J64" i="5"/>
  <c r="N63" i="5"/>
  <c r="L63" i="5"/>
  <c r="J63" i="5"/>
  <c r="I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N71" i="6"/>
  <c r="L71" i="6"/>
  <c r="J71" i="6"/>
  <c r="I71" i="6"/>
  <c r="N70" i="6"/>
  <c r="L70" i="6"/>
  <c r="J70" i="6"/>
  <c r="I70" i="6"/>
  <c r="N69" i="6"/>
  <c r="L69" i="6"/>
  <c r="J69" i="6"/>
  <c r="I69" i="6"/>
  <c r="N68" i="6"/>
  <c r="L68" i="6"/>
  <c r="J68" i="6"/>
  <c r="I68" i="6"/>
  <c r="N67" i="6"/>
  <c r="L67" i="6"/>
  <c r="J67" i="6"/>
  <c r="I67" i="6"/>
  <c r="G67" i="6"/>
  <c r="N66" i="6"/>
  <c r="L66" i="6"/>
  <c r="J66" i="6"/>
  <c r="I66" i="6"/>
  <c r="N65" i="6"/>
  <c r="L65" i="6"/>
  <c r="J65" i="6"/>
  <c r="I65" i="6"/>
  <c r="N64" i="6"/>
  <c r="L64" i="6"/>
  <c r="J64" i="6"/>
  <c r="I64" i="6"/>
  <c r="N63" i="6"/>
  <c r="L63" i="6"/>
  <c r="J63" i="6"/>
  <c r="I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S88" i="5" s="1"/>
  <c r="Q88" i="5"/>
  <c r="N87" i="5"/>
  <c r="L87" i="5"/>
  <c r="I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I70" i="5"/>
  <c r="N66" i="5"/>
  <c r="L66" i="5"/>
  <c r="J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I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N76" i="4"/>
  <c r="L76" i="4"/>
  <c r="J76" i="4"/>
  <c r="I76" i="4"/>
  <c r="N75" i="4"/>
  <c r="L75" i="4"/>
  <c r="I75" i="4"/>
  <c r="N74" i="4"/>
  <c r="L74" i="4"/>
  <c r="J74" i="4"/>
  <c r="I74" i="4"/>
  <c r="N73" i="4"/>
  <c r="L73" i="4"/>
  <c r="J73" i="4"/>
  <c r="I73" i="4"/>
  <c r="N72" i="4"/>
  <c r="J72" i="4"/>
  <c r="I72" i="4"/>
  <c r="N71" i="4"/>
  <c r="L71" i="4"/>
  <c r="J71" i="4"/>
  <c r="I71" i="4"/>
  <c r="N70" i="4"/>
  <c r="L70" i="4"/>
  <c r="J70" i="4"/>
  <c r="I70" i="4"/>
  <c r="N69" i="4"/>
  <c r="L69" i="4"/>
  <c r="J69" i="4"/>
  <c r="I69" i="4"/>
  <c r="N68" i="4"/>
  <c r="L68" i="4"/>
  <c r="J68" i="4"/>
  <c r="I68" i="4"/>
  <c r="N67" i="4"/>
  <c r="L67" i="4"/>
  <c r="J67" i="4"/>
  <c r="I67" i="4"/>
  <c r="G67" i="4"/>
  <c r="N66" i="4"/>
  <c r="L66" i="4"/>
  <c r="J66" i="4"/>
  <c r="I66" i="4"/>
  <c r="N65" i="4"/>
  <c r="L65" i="4"/>
  <c r="J65" i="4"/>
  <c r="I65" i="4"/>
  <c r="N64" i="4"/>
  <c r="L64" i="4"/>
  <c r="J64" i="4"/>
  <c r="I64" i="4"/>
  <c r="N63" i="4"/>
  <c r="L63" i="4"/>
  <c r="J63" i="4"/>
  <c r="I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6" i="10"/>
  <c r="R86" i="10"/>
  <c r="Q86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S86" i="8"/>
  <c r="Q86" i="8"/>
  <c r="S81" i="8"/>
  <c r="S80" i="8"/>
  <c r="R80" i="8"/>
  <c r="Q80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T82" i="5" s="1"/>
  <c r="U82" i="5" s="1"/>
  <c r="S81" i="5"/>
  <c r="R81" i="5"/>
  <c r="Q81" i="5"/>
  <c r="S80" i="5"/>
  <c r="R80" i="5"/>
  <c r="Q80" i="5"/>
  <c r="S79" i="5"/>
  <c r="R79" i="5"/>
  <c r="Q79" i="5"/>
  <c r="S78" i="5"/>
  <c r="R78" i="5"/>
  <c r="Q78" i="5"/>
  <c r="R67" i="5"/>
  <c r="Q67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T82" i="6" s="1"/>
  <c r="U82" i="6" s="1"/>
  <c r="S81" i="6"/>
  <c r="R81" i="6"/>
  <c r="Q81" i="6"/>
  <c r="S80" i="6"/>
  <c r="R80" i="6"/>
  <c r="Q80" i="6"/>
  <c r="S79" i="6"/>
  <c r="R79" i="6"/>
  <c r="Q79" i="6"/>
  <c r="S78" i="6"/>
  <c r="R78" i="6"/>
  <c r="Q78" i="6"/>
  <c r="S49" i="6"/>
  <c r="R49" i="6"/>
  <c r="Q49" i="6"/>
  <c r="S48" i="6"/>
  <c r="R48" i="6"/>
  <c r="Q48" i="6"/>
  <c r="S86" i="5"/>
  <c r="R86" i="5"/>
  <c r="Q86" i="5"/>
  <c r="S85" i="5"/>
  <c r="R85" i="5"/>
  <c r="Q85" i="5"/>
  <c r="T83" i="5"/>
  <c r="S67" i="5"/>
  <c r="T89" i="4"/>
  <c r="U89" i="4" s="1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T85" i="4" s="1"/>
  <c r="U85" i="4" s="1"/>
  <c r="S84" i="4"/>
  <c r="R84" i="4"/>
  <c r="Q84" i="4"/>
  <c r="S83" i="4"/>
  <c r="R83" i="4"/>
  <c r="Q83" i="4"/>
  <c r="S82" i="4"/>
  <c r="R82" i="4"/>
  <c r="Q82" i="4"/>
  <c r="T82" i="4" s="1"/>
  <c r="U82" i="4" s="1"/>
  <c r="S81" i="4"/>
  <c r="R81" i="4"/>
  <c r="Q81" i="4"/>
  <c r="S80" i="4"/>
  <c r="R80" i="4"/>
  <c r="Q80" i="4"/>
  <c r="S79" i="4"/>
  <c r="R79" i="4"/>
  <c r="Q79" i="4"/>
  <c r="S78" i="4"/>
  <c r="R78" i="4"/>
  <c r="Q78" i="4"/>
  <c r="S67" i="4"/>
  <c r="R67" i="4"/>
  <c r="Q67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6" i="9"/>
  <c r="U104" i="9"/>
  <c r="U95" i="9"/>
  <c r="U94" i="8"/>
  <c r="T102" i="4"/>
  <c r="T96" i="4"/>
  <c r="U104" i="8"/>
  <c r="U101" i="8"/>
  <c r="U99" i="8"/>
  <c r="U93" i="8"/>
  <c r="T98" i="4"/>
  <c r="T90" i="4"/>
  <c r="U101" i="5"/>
  <c r="U100" i="5"/>
  <c r="U98" i="5"/>
  <c r="U97" i="5"/>
  <c r="U96" i="5"/>
  <c r="U94" i="5"/>
  <c r="U83" i="5"/>
  <c r="U95" i="5"/>
  <c r="U92" i="5"/>
  <c r="U97" i="8"/>
  <c r="U3" i="8"/>
  <c r="U99" i="5"/>
  <c r="U91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U90" i="10" s="1"/>
  <c r="T89" i="10"/>
  <c r="U89" i="10" s="1"/>
  <c r="T86" i="10"/>
  <c r="U86" i="10" s="1"/>
  <c r="T84" i="10"/>
  <c r="U84" i="10" s="1"/>
  <c r="T83" i="10"/>
  <c r="U83" i="10" s="1"/>
  <c r="T82" i="10"/>
  <c r="U82" i="10" s="1"/>
  <c r="T81" i="10"/>
  <c r="U81" i="10" s="1"/>
  <c r="T80" i="10"/>
  <c r="U80" i="10" s="1"/>
  <c r="T79" i="10"/>
  <c r="U79" i="10" s="1"/>
  <c r="T83" i="8"/>
  <c r="T104" i="8"/>
  <c r="T90" i="8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U89" i="8" s="1"/>
  <c r="T88" i="9"/>
  <c r="T86" i="9"/>
  <c r="T85" i="9"/>
  <c r="U85" i="9" s="1"/>
  <c r="T84" i="9"/>
  <c r="T83" i="9"/>
  <c r="T82" i="9"/>
  <c r="U82" i="9" s="1"/>
  <c r="T86" i="8"/>
  <c r="T80" i="8"/>
  <c r="T103" i="7"/>
  <c r="T101" i="7"/>
  <c r="T104" i="4"/>
  <c r="T103" i="4"/>
  <c r="T95" i="4"/>
  <c r="T81" i="9"/>
  <c r="T80" i="9"/>
  <c r="T79" i="9"/>
  <c r="T82" i="8"/>
  <c r="U82" i="8" s="1"/>
  <c r="T79" i="8"/>
  <c r="T90" i="5"/>
  <c r="T84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100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4" i="6"/>
  <c r="T9" i="6"/>
  <c r="T8" i="6"/>
  <c r="T3" i="6"/>
  <c r="T94" i="5"/>
  <c r="T86" i="4"/>
  <c r="T83" i="4"/>
  <c r="U83" i="4" s="1"/>
  <c r="T99" i="5"/>
  <c r="T98" i="5"/>
  <c r="T97" i="5"/>
  <c r="T96" i="5"/>
  <c r="T95" i="5"/>
  <c r="T92" i="5"/>
  <c r="T91" i="5"/>
  <c r="T89" i="5"/>
  <c r="U89" i="5" s="1"/>
  <c r="T84" i="5"/>
  <c r="T81" i="5"/>
  <c r="T80" i="5"/>
  <c r="T79" i="5"/>
  <c r="T49" i="5"/>
  <c r="T6" i="6"/>
  <c r="T8" i="5"/>
  <c r="T6" i="5"/>
  <c r="T5" i="5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U89" i="7" s="1"/>
  <c r="T88" i="7"/>
  <c r="T86" i="7"/>
  <c r="T85" i="7"/>
  <c r="T84" i="7"/>
  <c r="T83" i="7"/>
  <c r="T81" i="7"/>
  <c r="T80" i="7"/>
  <c r="T79" i="7"/>
  <c r="T49" i="7"/>
  <c r="T96" i="6"/>
  <c r="T95" i="6"/>
  <c r="T94" i="6"/>
  <c r="T92" i="6"/>
  <c r="T91" i="6"/>
  <c r="T90" i="6"/>
  <c r="T89" i="6"/>
  <c r="U89" i="6" s="1"/>
  <c r="T88" i="6"/>
  <c r="U88" i="6" s="1"/>
  <c r="T86" i="6"/>
  <c r="T85" i="6"/>
  <c r="T84" i="6"/>
  <c r="T79" i="6"/>
  <c r="T86" i="5"/>
  <c r="T10" i="6"/>
  <c r="T93" i="5"/>
  <c r="T4" i="5"/>
  <c r="T78" i="4"/>
  <c r="U78" i="4" s="1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1" i="6"/>
  <c r="T48" i="6"/>
  <c r="T85" i="5"/>
  <c r="U85" i="5" s="1"/>
  <c r="T5" i="6"/>
  <c r="T10" i="5"/>
  <c r="T9" i="5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8" i="9"/>
  <c r="U86" i="9"/>
  <c r="U84" i="9"/>
  <c r="U83" i="9"/>
  <c r="U86" i="8"/>
  <c r="U80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1" i="8"/>
  <c r="U79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1" i="5"/>
  <c r="U80" i="5"/>
  <c r="U7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92" i="7"/>
  <c r="U91" i="7"/>
  <c r="U90" i="7"/>
  <c r="U88" i="7"/>
  <c r="U86" i="7"/>
  <c r="U85" i="7"/>
  <c r="U84" i="7"/>
  <c r="U83" i="7"/>
  <c r="U81" i="7"/>
  <c r="U80" i="7"/>
  <c r="U79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6" i="6"/>
  <c r="U85" i="6"/>
  <c r="U84" i="6"/>
  <c r="U81" i="6"/>
  <c r="U79" i="6"/>
  <c r="U48" i="6"/>
  <c r="U86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4" i="4"/>
  <c r="U81" i="4"/>
  <c r="U80" i="4"/>
  <c r="U79" i="4"/>
  <c r="U103" i="9"/>
  <c r="U93" i="9"/>
  <c r="U10" i="4"/>
  <c r="W10" i="4" a="1"/>
  <c r="U101" i="9"/>
  <c r="U91" i="9"/>
  <c r="U91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78" i="10" l="1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78" i="6"/>
  <c r="T78" i="5"/>
  <c r="U78" i="5" s="1"/>
  <c r="W90" i="7" a="1"/>
  <c r="M90" i="3" s="1"/>
  <c r="W90" i="8" a="1"/>
  <c r="N90" i="3" s="1"/>
  <c r="W90" i="9" a="1"/>
  <c r="O90" i="3" s="1"/>
  <c r="W90" i="6" a="1"/>
  <c r="L90" i="3" s="1"/>
  <c r="W90" i="5" a="1"/>
  <c r="K90" i="3" s="1"/>
  <c r="W90" i="4" a="1"/>
  <c r="J90" i="3" s="1"/>
  <c r="W90" i="10" a="1"/>
  <c r="P90" i="3" s="1"/>
  <c r="W89" i="4" a="1"/>
  <c r="J89" i="3" s="1"/>
  <c r="W89" i="6" a="1"/>
  <c r="L89" i="3" s="1"/>
  <c r="W89" i="7" a="1"/>
  <c r="M89" i="3" s="1"/>
  <c r="T89" i="9"/>
  <c r="U89" i="9" s="1"/>
  <c r="W89" i="9" s="1" a="1"/>
  <c r="O89" i="3" s="1"/>
  <c r="W89" i="10" a="1"/>
  <c r="P89" i="3" s="1"/>
  <c r="W89" i="8" a="1"/>
  <c r="N89" i="3" s="1"/>
  <c r="W89" i="5" a="1"/>
  <c r="K89" i="3" s="1"/>
  <c r="W88" i="6" a="1"/>
  <c r="L88" i="3" s="1"/>
  <c r="W88" i="8" a="1"/>
  <c r="N88" i="3" s="1"/>
  <c r="W88" i="7" a="1"/>
  <c r="M88" i="3" s="1"/>
  <c r="W88" i="9" a="1"/>
  <c r="O88" i="3" s="1"/>
  <c r="S88" i="10"/>
  <c r="R88" i="10"/>
  <c r="Q88" i="10"/>
  <c r="T88" i="5"/>
  <c r="U88" i="5" s="1"/>
  <c r="W88" i="5" s="1" a="1"/>
  <c r="K88" i="3" s="1"/>
  <c r="R87" i="8"/>
  <c r="T87" i="8" s="1"/>
  <c r="S87" i="10"/>
  <c r="R87" i="10"/>
  <c r="Q87" i="10"/>
  <c r="S87" i="9"/>
  <c r="R87" i="9"/>
  <c r="Q87" i="9"/>
  <c r="Q87" i="7"/>
  <c r="R87" i="7"/>
  <c r="S87" i="7"/>
  <c r="T87" i="7" s="1"/>
  <c r="S87" i="6"/>
  <c r="R87" i="6"/>
  <c r="Q87" i="6"/>
  <c r="G87" i="5"/>
  <c r="G87" i="4"/>
  <c r="W86" i="9" a="1"/>
  <c r="O86" i="3" s="1"/>
  <c r="W86" i="6" a="1"/>
  <c r="L86" i="3" s="1"/>
  <c r="W86" i="7" a="1"/>
  <c r="M86" i="3" s="1"/>
  <c r="W86" i="8" a="1"/>
  <c r="N86" i="3" s="1"/>
  <c r="W86" i="5" a="1"/>
  <c r="K86" i="3" s="1"/>
  <c r="W86" i="4" a="1"/>
  <c r="J86" i="3" s="1"/>
  <c r="W86" i="10" a="1"/>
  <c r="P86" i="3" s="1"/>
  <c r="W85" i="5" a="1"/>
  <c r="K85" i="3" s="1"/>
  <c r="W85" i="4" a="1"/>
  <c r="J85" i="3" s="1"/>
  <c r="W85" i="9" a="1"/>
  <c r="O85" i="3" s="1"/>
  <c r="S85" i="10"/>
  <c r="T85" i="10" s="1"/>
  <c r="R85" i="10"/>
  <c r="Q85" i="10"/>
  <c r="R85" i="8"/>
  <c r="S85" i="8"/>
  <c r="Q85" i="8"/>
  <c r="W84" i="8" a="1"/>
  <c r="N84" i="3" s="1"/>
  <c r="W84" i="7" a="1"/>
  <c r="M84" i="3" s="1"/>
  <c r="W84" i="6" a="1"/>
  <c r="L84" i="3" s="1"/>
  <c r="W84" i="5" a="1"/>
  <c r="K84" i="3" s="1"/>
  <c r="W84" i="4" a="1"/>
  <c r="J84" i="3" s="1"/>
  <c r="W84" i="9" a="1"/>
  <c r="O84" i="3" s="1"/>
  <c r="W84" i="10" a="1"/>
  <c r="P84" i="3" s="1"/>
  <c r="W83" i="7" a="1"/>
  <c r="M83" i="3" s="1"/>
  <c r="W83" i="4" a="1"/>
  <c r="J83" i="3" s="1"/>
  <c r="W83" i="5" a="1"/>
  <c r="K83" i="3" s="1"/>
  <c r="W83" i="8" a="1"/>
  <c r="N83" i="3" s="1"/>
  <c r="W83" i="9" a="1"/>
  <c r="O83" i="3" s="1"/>
  <c r="T83" i="6"/>
  <c r="U83" i="6" s="1"/>
  <c r="W83" i="10" a="1"/>
  <c r="P83" i="3" s="1"/>
  <c r="T82" i="7"/>
  <c r="U82" i="7" s="1"/>
  <c r="W82" i="8" a="1"/>
  <c r="N82" i="3" s="1"/>
  <c r="W82" i="9" a="1"/>
  <c r="O82" i="3" s="1"/>
  <c r="W82" i="10" a="1"/>
  <c r="P82" i="3" s="1"/>
  <c r="W82" i="6" a="1"/>
  <c r="L82" i="3" s="1"/>
  <c r="W82" i="5" a="1"/>
  <c r="K82" i="3" s="1"/>
  <c r="W82" i="4" a="1"/>
  <c r="J82" i="3" s="1"/>
  <c r="W82" i="7" a="1"/>
  <c r="M82" i="3" s="1"/>
  <c r="W81" i="4" a="1"/>
  <c r="J81" i="3" s="1"/>
  <c r="W81" i="10" a="1"/>
  <c r="P81" i="3" s="1"/>
  <c r="W80" i="7" a="1"/>
  <c r="M80" i="3" s="1"/>
  <c r="W80" i="9" a="1"/>
  <c r="O80" i="3" s="1"/>
  <c r="W80" i="5" a="1"/>
  <c r="K80" i="3" s="1"/>
  <c r="W80" i="4" a="1"/>
  <c r="J80" i="3" s="1"/>
  <c r="T80" i="6"/>
  <c r="W80" i="10" a="1"/>
  <c r="P80" i="3" s="1"/>
  <c r="W79" i="8" a="1"/>
  <c r="N79" i="3" s="1"/>
  <c r="W79" i="7" a="1"/>
  <c r="M79" i="3" s="1"/>
  <c r="W79" i="6" a="1"/>
  <c r="L79" i="3" s="1"/>
  <c r="W79" i="5" a="1"/>
  <c r="K79" i="3" s="1"/>
  <c r="W79" i="4" a="1"/>
  <c r="J79" i="3" s="1"/>
  <c r="W79" i="9" a="1"/>
  <c r="O79" i="3" s="1"/>
  <c r="W79" i="10" a="1"/>
  <c r="P79" i="3" s="1"/>
  <c r="W78" i="4" a="1"/>
  <c r="J78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T67" i="4"/>
  <c r="U67" i="4" s="1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I97" i="7"/>
  <c r="N32" i="7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81" i="3"/>
  <c r="M85" i="3"/>
  <c r="M91" i="3"/>
  <c r="M92" i="3"/>
  <c r="M93" i="3"/>
  <c r="M94" i="3"/>
  <c r="M95" i="3"/>
  <c r="M96" i="3"/>
  <c r="M97" i="3"/>
  <c r="M98" i="3"/>
  <c r="M101" i="3"/>
  <c r="M103" i="3"/>
  <c r="M105" i="3"/>
  <c r="M106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S78" i="8" l="1"/>
  <c r="R78" i="8"/>
  <c r="Q78" i="8"/>
  <c r="T78" i="8" s="1"/>
  <c r="Q78" i="9"/>
  <c r="R78" i="9"/>
  <c r="S78" i="9"/>
  <c r="S78" i="7"/>
  <c r="Q78" i="7"/>
  <c r="R78" i="7"/>
  <c r="W78" i="5" a="1"/>
  <c r="K78" i="3" s="1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U78" i="8"/>
  <c r="W78" i="8" a="1"/>
  <c r="N78" i="3" s="1"/>
  <c r="U78" i="6"/>
  <c r="W78" i="6" s="1" a="1"/>
  <c r="L78" i="3" s="1"/>
  <c r="T88" i="10"/>
  <c r="U88" i="10"/>
  <c r="T87" i="9"/>
  <c r="U87" i="9" s="1"/>
  <c r="W87" i="9" s="1" a="1"/>
  <c r="O87" i="3" s="1"/>
  <c r="T87" i="10"/>
  <c r="T87" i="6"/>
  <c r="U87" i="8"/>
  <c r="W87" i="8" a="1"/>
  <c r="N87" i="3" s="1"/>
  <c r="W87" i="10" a="1"/>
  <c r="P87" i="3" s="1"/>
  <c r="U87" i="10"/>
  <c r="U87" i="7"/>
  <c r="W87" i="7" s="1" a="1"/>
  <c r="M87" i="3" s="1"/>
  <c r="U87" i="6"/>
  <c r="W87" i="6" s="1" a="1"/>
  <c r="L87" i="3" s="1"/>
  <c r="Q87" i="5"/>
  <c r="R87" i="5"/>
  <c r="T87" i="5" s="1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U80" i="6"/>
  <c r="W80" i="6" s="1" a="1"/>
  <c r="L80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U75" i="8" s="1"/>
  <c r="N75" i="3" s="1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T64" i="8" s="1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R63" i="8"/>
  <c r="S63" i="8"/>
  <c r="R63" i="5"/>
  <c r="Q63" i="5"/>
  <c r="S63" i="5"/>
  <c r="Q63" i="6"/>
  <c r="R63" i="6"/>
  <c r="S63" i="6"/>
  <c r="S63" i="7"/>
  <c r="R63" i="4"/>
  <c r="S63" i="4"/>
  <c r="Q63" i="4"/>
  <c r="T63" i="8"/>
  <c r="Q63" i="7"/>
  <c r="Q67" i="10"/>
  <c r="S67" i="10"/>
  <c r="R67" i="10"/>
  <c r="W67" i="4" a="1"/>
  <c r="J67" i="3" s="1"/>
  <c r="T68" i="10"/>
  <c r="T64" i="10"/>
  <c r="T67" i="8"/>
  <c r="T65" i="8"/>
  <c r="U64" i="8"/>
  <c r="W64" i="8" s="1" a="1"/>
  <c r="N64" i="3" s="1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R34" i="4"/>
  <c r="Q34" i="4"/>
  <c r="S34" i="4"/>
  <c r="S19" i="4"/>
  <c r="Q19" i="4"/>
  <c r="R19" i="4"/>
  <c r="T104" i="7"/>
  <c r="U104" i="7"/>
  <c r="M102" i="3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78" i="7" l="1"/>
  <c r="T78" i="9"/>
  <c r="U78" i="10"/>
  <c r="W78" i="10" a="1"/>
  <c r="P78" i="3" s="1"/>
  <c r="T77" i="10"/>
  <c r="T77" i="8"/>
  <c r="U77" i="8"/>
  <c r="T77" i="6"/>
  <c r="U77" i="6" s="1"/>
  <c r="W77" i="6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W87" i="4" a="1"/>
  <c r="J87" i="3" s="1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T75" i="7"/>
  <c r="U75" i="7" s="1"/>
  <c r="T75" i="5"/>
  <c r="T75" i="4"/>
  <c r="T75" i="10"/>
  <c r="U75" i="10"/>
  <c r="P75" i="3" s="1"/>
  <c r="U75" i="9"/>
  <c r="O75" i="3"/>
  <c r="U75" i="6"/>
  <c r="L75" i="3" s="1"/>
  <c r="U75" i="5"/>
  <c r="W75" i="5" s="1" a="1"/>
  <c r="K75" i="3" s="1"/>
  <c r="U75" i="4"/>
  <c r="J75" i="3" s="1"/>
  <c r="T74" i="7"/>
  <c r="T74" i="9"/>
  <c r="T73" i="7"/>
  <c r="T73" i="6"/>
  <c r="T73" i="5"/>
  <c r="T72" i="8"/>
  <c r="T72" i="7"/>
  <c r="T70" i="7"/>
  <c r="T70" i="5"/>
  <c r="T70" i="8"/>
  <c r="T69" i="6"/>
  <c r="T71" i="8"/>
  <c r="U74" i="9"/>
  <c r="U73" i="10"/>
  <c r="U71" i="6"/>
  <c r="U70" i="10"/>
  <c r="W70" i="10" s="1" a="1"/>
  <c r="P70" i="3" s="1"/>
  <c r="U69" i="4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72" i="8"/>
  <c r="U69" i="8"/>
  <c r="W69" i="8" s="1" a="1"/>
  <c r="N69" i="3" s="1"/>
  <c r="U74" i="7"/>
  <c r="U73" i="7"/>
  <c r="U71" i="7"/>
  <c r="U70" i="7"/>
  <c r="W70" i="7" s="1" a="1"/>
  <c r="M70" i="3" s="1"/>
  <c r="U69" i="7"/>
  <c r="U74" i="6"/>
  <c r="U72" i="6"/>
  <c r="W72" i="6" s="1" a="1"/>
  <c r="L72" i="3" s="1"/>
  <c r="U70" i="6"/>
  <c r="U74" i="5"/>
  <c r="U73" i="5"/>
  <c r="W73" i="5" s="1" a="1"/>
  <c r="K73" i="3" s="1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W69" i="4" a="1"/>
  <c r="J69" i="3" s="1"/>
  <c r="T68" i="6"/>
  <c r="T68" i="5"/>
  <c r="T68" i="7"/>
  <c r="T68" i="9"/>
  <c r="U68" i="9" s="1"/>
  <c r="W68" i="9" s="1" a="1"/>
  <c r="O68" i="3" s="1"/>
  <c r="T68" i="8"/>
  <c r="T68" i="4"/>
  <c r="T67" i="9"/>
  <c r="T67" i="7"/>
  <c r="U67" i="7" s="1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W67" i="7" a="1"/>
  <c r="M67" i="3" s="1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M104" i="3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76" i="10" l="1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W77" i="4" a="1"/>
  <c r="J77" i="3" s="1"/>
  <c r="U77" i="7"/>
  <c r="W77" i="7" a="1"/>
  <c r="M77" i="3" s="1"/>
  <c r="U76" i="9"/>
  <c r="W76" i="9" s="1" a="1"/>
  <c r="U76" i="5"/>
  <c r="W76" i="5" a="1"/>
  <c r="K76" i="3" s="1"/>
  <c r="N76" i="3"/>
  <c r="Y3" i="8"/>
  <c r="M76" i="3"/>
  <c r="Y3" i="7"/>
  <c r="L76" i="3"/>
  <c r="Y3" i="6"/>
  <c r="Y3" i="5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Y3" i="10" l="1"/>
  <c r="P76" i="3"/>
  <c r="Y3" i="9"/>
  <c r="O76" i="3"/>
  <c r="Y3" i="4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60" i="3" l="1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<sst xmlns="http://schemas.openxmlformats.org/spreadsheetml/2006/main" count="426" uniqueCount="78">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</sst>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7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129</c:v>
                </c:pt>
                <c:pt idx="77">
                  <c:v>129</c:v>
                </c:pt>
                <c:pt idx="78">
                  <c:v>129</c:v>
                </c:pt>
                <c:pt idx="79">
                  <c:v>129</c:v>
                </c:pt>
                <c:pt idx="80">
                  <c:v>129</c:v>
                </c:pt>
                <c:pt idx="81">
                  <c:v>129</c:v>
                </c:pt>
                <c:pt idx="82">
                  <c:v>129</c:v>
                </c:pt>
                <c:pt idx="83">
                  <c:v>129</c:v>
                </c:pt>
                <c:pt idx="84">
                  <c:v>129</c:v>
                </c:pt>
                <c:pt idx="85">
                  <c:v>129</c:v>
                </c:pt>
                <c:pt idx="86">
                  <c:v>129</c:v>
                </c:pt>
                <c:pt idx="87">
                  <c:v>129</c:v>
                </c:pt>
                <c:pt idx="88">
                  <c:v>129</c:v>
                </c:pt>
                <c:pt idx="89">
                  <c:v>129</c:v>
                </c:pt>
                <c:pt idx="90">
                  <c:v>129</c:v>
                </c:pt>
                <c:pt idx="91">
                  <c:v>129</c:v>
                </c:pt>
                <c:pt idx="92">
                  <c:v>129</c:v>
                </c:pt>
                <c:pt idx="93">
                  <c:v>129</c:v>
                </c:pt>
                <c:pt idx="94">
                  <c:v>129</c:v>
                </c:pt>
                <c:pt idx="95">
                  <c:v>129</c:v>
                </c:pt>
                <c:pt idx="96">
                  <c:v>129</c:v>
                </c:pt>
                <c:pt idx="97">
                  <c:v>129</c:v>
                </c:pt>
                <c:pt idx="98">
                  <c:v>129</c:v>
                </c:pt>
                <c:pt idx="99">
                  <c:v>129</c:v>
                </c:pt>
                <c:pt idx="100">
                  <c:v>129</c:v>
                </c:pt>
                <c:pt idx="101">
                  <c:v>129</c:v>
                </c:pt>
                <c:pt idx="102">
                  <c:v>129</c:v>
                </c:pt>
                <c:pt idx="103">
                  <c:v>129</c:v>
                </c:pt>
                <c:pt idx="104">
                  <c:v>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141</c:v>
                </c:pt>
                <c:pt idx="78">
                  <c:v>141</c:v>
                </c:pt>
                <c:pt idx="79">
                  <c:v>141</c:v>
                </c:pt>
                <c:pt idx="80">
                  <c:v>141</c:v>
                </c:pt>
                <c:pt idx="81">
                  <c:v>141</c:v>
                </c:pt>
                <c:pt idx="82">
                  <c:v>141</c:v>
                </c:pt>
                <c:pt idx="83">
                  <c:v>141</c:v>
                </c:pt>
                <c:pt idx="84">
                  <c:v>141</c:v>
                </c:pt>
                <c:pt idx="85">
                  <c:v>141</c:v>
                </c:pt>
                <c:pt idx="86">
                  <c:v>141</c:v>
                </c:pt>
                <c:pt idx="87">
                  <c:v>141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141</c:v>
                </c:pt>
                <c:pt idx="92">
                  <c:v>141</c:v>
                </c:pt>
                <c:pt idx="93">
                  <c:v>141</c:v>
                </c:pt>
                <c:pt idx="94">
                  <c:v>141</c:v>
                </c:pt>
                <c:pt idx="95">
                  <c:v>141</c:v>
                </c:pt>
                <c:pt idx="96">
                  <c:v>141</c:v>
                </c:pt>
                <c:pt idx="97">
                  <c:v>141</c:v>
                </c:pt>
                <c:pt idx="98">
                  <c:v>141</c:v>
                </c:pt>
                <c:pt idx="99">
                  <c:v>141</c:v>
                </c:pt>
                <c:pt idx="100">
                  <c:v>141</c:v>
                </c:pt>
                <c:pt idx="101">
                  <c:v>141</c:v>
                </c:pt>
                <c:pt idx="102">
                  <c:v>141</c:v>
                </c:pt>
                <c:pt idx="103">
                  <c:v>141</c:v>
                </c:pt>
                <c:pt idx="104">
                  <c:v>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127</c:v>
                </c:pt>
                <c:pt idx="78">
                  <c:v>127</c:v>
                </c:pt>
                <c:pt idx="79">
                  <c:v>127</c:v>
                </c:pt>
                <c:pt idx="80">
                  <c:v>127</c:v>
                </c:pt>
                <c:pt idx="81">
                  <c:v>127</c:v>
                </c:pt>
                <c:pt idx="82">
                  <c:v>127</c:v>
                </c:pt>
                <c:pt idx="83">
                  <c:v>127</c:v>
                </c:pt>
                <c:pt idx="84">
                  <c:v>127</c:v>
                </c:pt>
                <c:pt idx="85">
                  <c:v>127</c:v>
                </c:pt>
                <c:pt idx="86">
                  <c:v>127</c:v>
                </c:pt>
                <c:pt idx="87">
                  <c:v>127</c:v>
                </c:pt>
                <c:pt idx="88">
                  <c:v>127</c:v>
                </c:pt>
                <c:pt idx="89">
                  <c:v>127</c:v>
                </c:pt>
                <c:pt idx="90">
                  <c:v>127</c:v>
                </c:pt>
                <c:pt idx="91">
                  <c:v>127</c:v>
                </c:pt>
                <c:pt idx="92">
                  <c:v>127</c:v>
                </c:pt>
                <c:pt idx="93">
                  <c:v>127</c:v>
                </c:pt>
                <c:pt idx="94">
                  <c:v>127</c:v>
                </c:pt>
                <c:pt idx="95">
                  <c:v>127</c:v>
                </c:pt>
                <c:pt idx="96">
                  <c:v>127</c:v>
                </c:pt>
                <c:pt idx="97">
                  <c:v>127</c:v>
                </c:pt>
                <c:pt idx="98">
                  <c:v>127</c:v>
                </c:pt>
                <c:pt idx="99">
                  <c:v>127</c:v>
                </c:pt>
                <c:pt idx="100">
                  <c:v>127</c:v>
                </c:pt>
                <c:pt idx="101">
                  <c:v>127</c:v>
                </c:pt>
                <c:pt idx="102">
                  <c:v>127</c:v>
                </c:pt>
                <c:pt idx="103">
                  <c:v>127</c:v>
                </c:pt>
                <c:pt idx="104">
                  <c:v>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119</c:v>
                </c:pt>
                <c:pt idx="78">
                  <c:v>119</c:v>
                </c:pt>
                <c:pt idx="79">
                  <c:v>119</c:v>
                </c:pt>
                <c:pt idx="80">
                  <c:v>119</c:v>
                </c:pt>
                <c:pt idx="81">
                  <c:v>119</c:v>
                </c:pt>
                <c:pt idx="82">
                  <c:v>119</c:v>
                </c:pt>
                <c:pt idx="83">
                  <c:v>119</c:v>
                </c:pt>
                <c:pt idx="84">
                  <c:v>119</c:v>
                </c:pt>
                <c:pt idx="85">
                  <c:v>119</c:v>
                </c:pt>
                <c:pt idx="86">
                  <c:v>119</c:v>
                </c:pt>
                <c:pt idx="87">
                  <c:v>119</c:v>
                </c:pt>
                <c:pt idx="88">
                  <c:v>119</c:v>
                </c:pt>
                <c:pt idx="89">
                  <c:v>119</c:v>
                </c:pt>
                <c:pt idx="90">
                  <c:v>119</c:v>
                </c:pt>
                <c:pt idx="91">
                  <c:v>119</c:v>
                </c:pt>
                <c:pt idx="92">
                  <c:v>119</c:v>
                </c:pt>
                <c:pt idx="93">
                  <c:v>119</c:v>
                </c:pt>
                <c:pt idx="94">
                  <c:v>119</c:v>
                </c:pt>
                <c:pt idx="95">
                  <c:v>119</c:v>
                </c:pt>
                <c:pt idx="96">
                  <c:v>119</c:v>
                </c:pt>
                <c:pt idx="97">
                  <c:v>119</c:v>
                </c:pt>
                <c:pt idx="98">
                  <c:v>119</c:v>
                </c:pt>
                <c:pt idx="99">
                  <c:v>119</c:v>
                </c:pt>
                <c:pt idx="100">
                  <c:v>119</c:v>
                </c:pt>
                <c:pt idx="101">
                  <c:v>119</c:v>
                </c:pt>
                <c:pt idx="102">
                  <c:v>119</c:v>
                </c:pt>
                <c:pt idx="103">
                  <c:v>119</c:v>
                </c:pt>
                <c:pt idx="104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147</c:v>
                </c:pt>
                <c:pt idx="78">
                  <c:v>147</c:v>
                </c:pt>
                <c:pt idx="79">
                  <c:v>147</c:v>
                </c:pt>
                <c:pt idx="80">
                  <c:v>147</c:v>
                </c:pt>
                <c:pt idx="81">
                  <c:v>147</c:v>
                </c:pt>
                <c:pt idx="82">
                  <c:v>147</c:v>
                </c:pt>
                <c:pt idx="83">
                  <c:v>147</c:v>
                </c:pt>
                <c:pt idx="84">
                  <c:v>147</c:v>
                </c:pt>
                <c:pt idx="85">
                  <c:v>147</c:v>
                </c:pt>
                <c:pt idx="86">
                  <c:v>147</c:v>
                </c:pt>
                <c:pt idx="87">
                  <c:v>147</c:v>
                </c:pt>
                <c:pt idx="88">
                  <c:v>147</c:v>
                </c:pt>
                <c:pt idx="89">
                  <c:v>147</c:v>
                </c:pt>
                <c:pt idx="90">
                  <c:v>147</c:v>
                </c:pt>
                <c:pt idx="91">
                  <c:v>147</c:v>
                </c:pt>
                <c:pt idx="92">
                  <c:v>147</c:v>
                </c:pt>
                <c:pt idx="93">
                  <c:v>147</c:v>
                </c:pt>
                <c:pt idx="94">
                  <c:v>147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137</c:v>
                </c:pt>
                <c:pt idx="77">
                  <c:v>137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110</c:v>
                </c:pt>
                <c:pt idx="79">
                  <c:v>110</c:v>
                </c:pt>
                <c:pt idx="80">
                  <c:v>110</c:v>
                </c:pt>
                <c:pt idx="81">
                  <c:v>110</c:v>
                </c:pt>
                <c:pt idx="82">
                  <c:v>110</c:v>
                </c:pt>
                <c:pt idx="83">
                  <c:v>110</c:v>
                </c:pt>
                <c:pt idx="84">
                  <c:v>110</c:v>
                </c:pt>
                <c:pt idx="85">
                  <c:v>110</c:v>
                </c:pt>
                <c:pt idx="86">
                  <c:v>110</c:v>
                </c:pt>
                <c:pt idx="87">
                  <c:v>110</c:v>
                </c:pt>
                <c:pt idx="88">
                  <c:v>110</c:v>
                </c:pt>
                <c:pt idx="89">
                  <c:v>110</c:v>
                </c:pt>
                <c:pt idx="90">
                  <c:v>110</c:v>
                </c:pt>
                <c:pt idx="91">
                  <c:v>110</c:v>
                </c:pt>
                <c:pt idx="92">
                  <c:v>110</c:v>
                </c:pt>
                <c:pt idx="93">
                  <c:v>110</c:v>
                </c:pt>
                <c:pt idx="94">
                  <c:v>110</c:v>
                </c:pt>
                <c:pt idx="95">
                  <c:v>110</c:v>
                </c:pt>
                <c:pt idx="96">
                  <c:v>110</c:v>
                </c:pt>
                <c:pt idx="97">
                  <c:v>110</c:v>
                </c:pt>
                <c:pt idx="98">
                  <c:v>110</c:v>
                </c:pt>
                <c:pt idx="99">
                  <c:v>110</c:v>
                </c:pt>
                <c:pt idx="100">
                  <c:v>110</c:v>
                </c:pt>
                <c:pt idx="101">
                  <c:v>110</c:v>
                </c:pt>
                <c:pt idx="102">
                  <c:v>110</c:v>
                </c:pt>
                <c:pt idx="103">
                  <c:v>110</c:v>
                </c:pt>
                <c:pt idx="104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tabSelected="1" topLeftCell="A60" workbookViewId="0">
      <selection activeCell="C77" sqref="C77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26" width="8.5546875" customWidth="1"/>
  </cols>
  <sheetData>
    <row r="1" spans="1:7" ht="14.25" customHeight="1" x14ac:dyDescent="0.3">
      <c r="A1" s="12" t="s">
        <v>0</v>
      </c>
      <c r="B1" s="13"/>
      <c r="C1" s="13"/>
      <c r="D1" s="13"/>
      <c r="E1" s="13"/>
      <c r="F1" s="13"/>
      <c r="G1" s="13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8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8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8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8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8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8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8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8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8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8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</row>
    <row r="75" spans="1:8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</row>
    <row r="76" spans="1:8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</row>
    <row r="77" spans="1:8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</row>
    <row r="78" spans="1:8" ht="14.25" customHeight="1" x14ac:dyDescent="0.3">
      <c r="A78" s="3">
        <v>76</v>
      </c>
      <c r="B78" s="3" t="s">
        <v>26</v>
      </c>
      <c r="C78" s="3"/>
      <c r="D78" s="3" t="s">
        <v>4</v>
      </c>
      <c r="E78" s="3"/>
      <c r="F78" s="3" t="s">
        <v>19</v>
      </c>
      <c r="G78" s="3" t="str">
        <f t="shared" si="0"/>
        <v>-</v>
      </c>
      <c r="H78" s="9"/>
    </row>
    <row r="79" spans="1:8" ht="14.25" customHeight="1" x14ac:dyDescent="0.3">
      <c r="A79" s="3">
        <v>77</v>
      </c>
      <c r="B79" s="3" t="s">
        <v>28</v>
      </c>
      <c r="C79" s="3"/>
      <c r="D79" s="3" t="s">
        <v>4</v>
      </c>
      <c r="E79" s="3"/>
      <c r="F79" s="3" t="s">
        <v>43</v>
      </c>
      <c r="G79" s="3" t="str">
        <f t="shared" si="0"/>
        <v>-</v>
      </c>
      <c r="H79" s="9"/>
    </row>
    <row r="80" spans="1:8" ht="14.25" customHeight="1" x14ac:dyDescent="0.3">
      <c r="A80" s="3">
        <v>78</v>
      </c>
      <c r="B80" s="3" t="s">
        <v>40</v>
      </c>
      <c r="C80" s="3"/>
      <c r="D80" s="3" t="s">
        <v>4</v>
      </c>
      <c r="E80" s="3"/>
      <c r="F80" s="3" t="s">
        <v>30</v>
      </c>
      <c r="G80" s="3" t="str">
        <f t="shared" si="0"/>
        <v>-</v>
      </c>
      <c r="H80" s="9"/>
    </row>
    <row r="81" spans="1:8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  <c r="H81" s="9"/>
    </row>
    <row r="82" spans="1:8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</row>
    <row r="83" spans="1:8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</row>
    <row r="84" spans="1:8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</row>
    <row r="85" spans="1:8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</row>
    <row r="86" spans="1:8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</row>
    <row r="87" spans="1:8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</row>
    <row r="88" spans="1:8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</row>
    <row r="89" spans="1:8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</row>
    <row r="90" spans="1:8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</row>
    <row r="91" spans="1:8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  <c r="H91" s="9"/>
    </row>
    <row r="92" spans="1:8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  <c r="H92" s="9"/>
    </row>
    <row r="93" spans="1:8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  <c r="H93" s="9"/>
    </row>
    <row r="94" spans="1:8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  <c r="H94" s="9"/>
    </row>
    <row r="95" spans="1:8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</row>
    <row r="96" spans="1:8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</row>
    <row r="97" spans="1:8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</row>
    <row r="98" spans="1:8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</row>
    <row r="99" spans="1:8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</row>
    <row r="100" spans="1:8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</row>
    <row r="101" spans="1:8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</row>
    <row r="102" spans="1:8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</row>
    <row r="103" spans="1:8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</row>
    <row r="104" spans="1:8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</row>
    <row r="105" spans="1:8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</row>
    <row r="106" spans="1:8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1" t="s">
        <v>56</v>
      </c>
      <c r="F1" s="11"/>
      <c r="G1" s="11"/>
      <c r="H1" s="11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129</v>
      </c>
      <c r="C3" s="1">
        <f>Rodrigo!Y3</f>
        <v>5</v>
      </c>
      <c r="E3" s="1">
        <v>1</v>
      </c>
      <c r="F3" s="1" t="str" cm="1">
        <f t="array" ref="F3:H9">_xlfn.SORTBY(A3:C9,B3:B9,-1,C3:C9,-1,A3:A9,1)</f>
        <v>Ana</v>
      </c>
      <c r="G3" s="1">
        <v>147</v>
      </c>
      <c r="H3" s="1">
        <v>5</v>
      </c>
    </row>
    <row r="4" spans="1:8" x14ac:dyDescent="0.45">
      <c r="A4" s="1" t="s">
        <v>62</v>
      </c>
      <c r="B4" s="1">
        <f>Arthur!X3</f>
        <v>141</v>
      </c>
      <c r="C4" s="1">
        <f>Arthur!Y3</f>
        <v>5</v>
      </c>
      <c r="E4" s="1">
        <f>IF(AND(G4=G3,H4=H3),E3,2)</f>
        <v>2</v>
      </c>
      <c r="F4" s="1" t="str">
        <v>Arthur</v>
      </c>
      <c r="G4" s="1">
        <v>141</v>
      </c>
      <c r="H4" s="1">
        <v>5</v>
      </c>
    </row>
    <row r="5" spans="1:8" x14ac:dyDescent="0.45">
      <c r="A5" s="1" t="s">
        <v>63</v>
      </c>
      <c r="B5" s="1">
        <f>Dudu!X3</f>
        <v>127</v>
      </c>
      <c r="C5" s="1">
        <f>Dudu!Y3</f>
        <v>6</v>
      </c>
      <c r="E5" s="1">
        <f>IF(AND(G5=G4,H5=H4),E4,3)</f>
        <v>3</v>
      </c>
      <c r="F5" s="1" t="str">
        <v>Isa</v>
      </c>
      <c r="G5" s="1">
        <v>137</v>
      </c>
      <c r="H5" s="1">
        <v>3</v>
      </c>
    </row>
    <row r="6" spans="1:8" x14ac:dyDescent="0.45">
      <c r="A6" s="1" t="s">
        <v>64</v>
      </c>
      <c r="B6" s="1">
        <f>Carol!X3</f>
        <v>119</v>
      </c>
      <c r="C6" s="1">
        <f>Carol!Y3</f>
        <v>4</v>
      </c>
      <c r="E6" s="1">
        <f>IF(AND(G6=G5,H6=H5),E5,4)</f>
        <v>4</v>
      </c>
      <c r="F6" s="1" t="str">
        <v>Rodrigo</v>
      </c>
      <c r="G6" s="1">
        <v>129</v>
      </c>
      <c r="H6" s="1">
        <v>5</v>
      </c>
    </row>
    <row r="7" spans="1:8" x14ac:dyDescent="0.45">
      <c r="A7" s="1" t="s">
        <v>65</v>
      </c>
      <c r="B7" s="1">
        <f>Ana!X3</f>
        <v>147</v>
      </c>
      <c r="C7" s="1">
        <f>Ana!Y3</f>
        <v>5</v>
      </c>
      <c r="E7" s="1">
        <f>IF(AND(G7=G6,H7=H6),E6,5)</f>
        <v>5</v>
      </c>
      <c r="F7" s="1" t="str">
        <v>Dudu</v>
      </c>
      <c r="G7" s="1">
        <v>127</v>
      </c>
      <c r="H7" s="1">
        <v>6</v>
      </c>
    </row>
    <row r="8" spans="1:8" x14ac:dyDescent="0.45">
      <c r="A8" s="1" t="s">
        <v>66</v>
      </c>
      <c r="B8" s="1">
        <f>Isa!X3</f>
        <v>137</v>
      </c>
      <c r="C8" s="1">
        <f>Isa!Y3</f>
        <v>3</v>
      </c>
      <c r="E8" s="1">
        <f>IF(AND(G8=G7,H8=H7),E7,6)</f>
        <v>6</v>
      </c>
      <c r="F8" s="1" t="str">
        <v>Carol</v>
      </c>
      <c r="G8" s="1">
        <v>119</v>
      </c>
      <c r="H8" s="1">
        <v>4</v>
      </c>
    </row>
    <row r="9" spans="1:8" x14ac:dyDescent="0.45">
      <c r="A9" s="1" t="s">
        <v>67</v>
      </c>
      <c r="B9" s="1">
        <f>Trops!X3</f>
        <v>110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110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65" workbookViewId="0">
      <selection activeCell="K77" sqref="K7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129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5">A63</f>
        <v>61</v>
      </c>
      <c r="J63" s="3" t="str">
        <f t="shared" si="75"/>
        <v>Noruega</v>
      </c>
      <c r="K63" s="3">
        <v>2</v>
      </c>
      <c r="L63" s="3" t="str">
        <f t="shared" si="41"/>
        <v>x</v>
      </c>
      <c r="M63" s="3">
        <v>3</v>
      </c>
      <c r="N63" s="3" t="str">
        <f t="shared" si="42"/>
        <v>França</v>
      </c>
      <c r="O63" s="3" t="str">
        <f t="shared" si="43"/>
        <v>França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1</v>
      </c>
      <c r="U63" s="3" t="b">
        <f t="shared" si="8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6">A64</f>
        <v>62</v>
      </c>
      <c r="J64" s="3" t="str">
        <f t="shared" si="76"/>
        <v>Senegal</v>
      </c>
      <c r="K64" s="3">
        <v>3</v>
      </c>
      <c r="L64" s="3" t="str">
        <f t="shared" si="41"/>
        <v>x</v>
      </c>
      <c r="M64" s="3">
        <v>1</v>
      </c>
      <c r="N64" s="3" t="str">
        <f t="shared" si="42"/>
        <v>Iraque</v>
      </c>
      <c r="O64" s="3" t="str">
        <f t="shared" si="43"/>
        <v>Senegal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1</v>
      </c>
      <c r="U64" s="3" t="b">
        <f t="shared" si="8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7">A65</f>
        <v>63</v>
      </c>
      <c r="J65" s="3" t="str">
        <f t="shared" si="77"/>
        <v>Cabo Verde</v>
      </c>
      <c r="K65" s="3">
        <v>2</v>
      </c>
      <c r="L65" s="3" t="str">
        <f t="shared" si="41"/>
        <v>x</v>
      </c>
      <c r="M65" s="3">
        <v>1</v>
      </c>
      <c r="N65" s="3" t="str">
        <f t="shared" si="42"/>
        <v>Arábia Saudita</v>
      </c>
      <c r="O65" s="3" t="str">
        <f t="shared" si="43"/>
        <v>Cabo Verde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8">A66</f>
        <v>64</v>
      </c>
      <c r="J66" s="3" t="str">
        <f t="shared" si="78"/>
        <v>Uruguai</v>
      </c>
      <c r="K66" s="3">
        <v>1</v>
      </c>
      <c r="L66" s="3" t="str">
        <f t="shared" si="41"/>
        <v>x</v>
      </c>
      <c r="M66" s="3">
        <v>3</v>
      </c>
      <c r="N66" s="3" t="str">
        <f t="shared" si="42"/>
        <v>Espanha</v>
      </c>
      <c r="O66" s="3" t="str">
        <f t="shared" si="43"/>
        <v>Espanha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1</v>
      </c>
      <c r="U66" s="3" t="b">
        <f t="shared" si="8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9">A67</f>
        <v>65</v>
      </c>
      <c r="J67" s="3" t="str">
        <f t="shared" si="79"/>
        <v>Nova Zelândia</v>
      </c>
      <c r="K67" s="3">
        <v>1</v>
      </c>
      <c r="L67" s="3" t="str">
        <f t="shared" ref="L67:L98" si="80">D67</f>
        <v>x</v>
      </c>
      <c r="M67" s="3">
        <v>2</v>
      </c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Bélgica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1</v>
      </c>
      <c r="U67" s="3" t="b">
        <f t="shared" si="8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7">A68</f>
        <v>66</v>
      </c>
      <c r="J68" s="3" t="str">
        <f t="shared" si="87"/>
        <v>Egito</v>
      </c>
      <c r="K68" s="3">
        <v>3</v>
      </c>
      <c r="L68" s="3" t="str">
        <f t="shared" si="80"/>
        <v>x</v>
      </c>
      <c r="M68" s="3">
        <v>2</v>
      </c>
      <c r="N68" s="3" t="str">
        <f t="shared" si="81"/>
        <v>Irã</v>
      </c>
      <c r="O68" s="3" t="str">
        <f t="shared" si="82"/>
        <v>Egito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88">A69</f>
        <v>67</v>
      </c>
      <c r="J69" s="3" t="str">
        <f t="shared" si="88"/>
        <v>Panamá</v>
      </c>
      <c r="K69" s="3">
        <v>0</v>
      </c>
      <c r="L69" s="3" t="str">
        <f t="shared" si="80"/>
        <v>x</v>
      </c>
      <c r="M69" s="3">
        <v>3</v>
      </c>
      <c r="N69" s="3" t="str">
        <f t="shared" si="81"/>
        <v>Inglaterra</v>
      </c>
      <c r="O69" s="3" t="str">
        <f t="shared" si="82"/>
        <v>Inglaterra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1</v>
      </c>
      <c r="U69" s="3" t="b">
        <f t="shared" si="8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89">A70</f>
        <v>68</v>
      </c>
      <c r="J70" s="3" t="str">
        <f t="shared" si="89"/>
        <v>Croácia</v>
      </c>
      <c r="K70" s="3">
        <v>1</v>
      </c>
      <c r="L70" s="3" t="str">
        <f t="shared" si="80"/>
        <v>x</v>
      </c>
      <c r="M70" s="3">
        <v>1</v>
      </c>
      <c r="N70" s="3" t="str">
        <f t="shared" si="81"/>
        <v>Gana</v>
      </c>
      <c r="O70" s="3" t="str">
        <f t="shared" si="82"/>
        <v>Empate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0">A71</f>
        <v>69</v>
      </c>
      <c r="J71" s="3" t="str">
        <f t="shared" si="90"/>
        <v>Colômbia</v>
      </c>
      <c r="K71" s="3">
        <v>1</v>
      </c>
      <c r="L71" s="3" t="str">
        <f t="shared" si="80"/>
        <v>x</v>
      </c>
      <c r="M71" s="3">
        <v>2</v>
      </c>
      <c r="N71" s="3" t="str">
        <f t="shared" si="81"/>
        <v>Portugal</v>
      </c>
      <c r="O71" s="3" t="str">
        <f t="shared" si="82"/>
        <v>Portugal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1">A72</f>
        <v>70</v>
      </c>
      <c r="J72" s="3" t="str">
        <f t="shared" si="91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1"/>
        <v>Uzbequistão</v>
      </c>
      <c r="O72" s="3" t="str">
        <f t="shared" si="82"/>
        <v>RD Congo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1</v>
      </c>
      <c r="T72" s="3" t="b">
        <f t="shared" si="86"/>
        <v>0</v>
      </c>
      <c r="U72" s="3" t="b">
        <f t="shared" si="8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2">A73</f>
        <v>71</v>
      </c>
      <c r="J73" s="3" t="str">
        <f t="shared" si="92"/>
        <v>Argélia</v>
      </c>
      <c r="K73" s="3">
        <v>1</v>
      </c>
      <c r="L73" s="3" t="str">
        <f t="shared" si="80"/>
        <v>x</v>
      </c>
      <c r="M73" s="3">
        <v>2</v>
      </c>
      <c r="N73" s="3" t="str">
        <f t="shared" si="81"/>
        <v>Áustria</v>
      </c>
      <c r="O73" s="3" t="str">
        <f t="shared" si="82"/>
        <v>Áustria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3">A74</f>
        <v>72</v>
      </c>
      <c r="J74" s="3" t="str">
        <f t="shared" si="93"/>
        <v>Jordânia</v>
      </c>
      <c r="K74" s="3">
        <v>0</v>
      </c>
      <c r="L74" s="3" t="str">
        <f t="shared" si="80"/>
        <v>x</v>
      </c>
      <c r="M74" s="3">
        <v>4</v>
      </c>
      <c r="N74" s="3" t="str">
        <f t="shared" si="81"/>
        <v>Argentina</v>
      </c>
      <c r="O74" s="3" t="str">
        <f t="shared" si="82"/>
        <v>Argentina</v>
      </c>
      <c r="P74" s="3" t="s">
        <v>77</v>
      </c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1</v>
      </c>
      <c r="U74" s="3" t="b">
        <f t="shared" si="8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4">A75</f>
        <v>73</v>
      </c>
      <c r="J75" s="3" t="str">
        <f t="shared" si="94"/>
        <v>África do Sul</v>
      </c>
      <c r="K75" s="3">
        <v>1</v>
      </c>
      <c r="L75" s="3" t="str">
        <f t="shared" si="80"/>
        <v>x</v>
      </c>
      <c r="M75" s="3">
        <v>1</v>
      </c>
      <c r="N75" s="3" t="str">
        <f t="shared" si="81"/>
        <v>Canadá</v>
      </c>
      <c r="O75" s="3" t="str">
        <f t="shared" si="82"/>
        <v>Empate</v>
      </c>
      <c r="P75" s="3" t="s">
        <v>12</v>
      </c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5">A76</f>
        <v>74</v>
      </c>
      <c r="J76" s="3" t="str">
        <f t="shared" si="95"/>
        <v>Brasil</v>
      </c>
      <c r="K76" s="3">
        <v>2</v>
      </c>
      <c r="L76" s="3" t="str">
        <f t="shared" si="80"/>
        <v>x</v>
      </c>
      <c r="M76" s="3">
        <v>1</v>
      </c>
      <c r="N76" s="3" t="str">
        <f t="shared" si="81"/>
        <v>Japão</v>
      </c>
      <c r="O76" s="3" t="str">
        <f t="shared" si="82"/>
        <v>Brasil</v>
      </c>
      <c r="P76" s="3" t="s">
        <v>4</v>
      </c>
      <c r="Q76" s="3" t="b">
        <f t="shared" si="83"/>
        <v>1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18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6">A77</f>
        <v>75</v>
      </c>
      <c r="J77" s="3" t="str">
        <f t="shared" si="96"/>
        <v>Alemanha</v>
      </c>
      <c r="K77" s="3">
        <v>3</v>
      </c>
      <c r="L77" s="3" t="str">
        <f t="shared" si="80"/>
        <v>x</v>
      </c>
      <c r="M77" s="3">
        <v>0</v>
      </c>
      <c r="N77" s="3" t="str">
        <f t="shared" si="81"/>
        <v>Paraguai</v>
      </c>
      <c r="O77" s="3" t="str">
        <f t="shared" si="82"/>
        <v>Alemanha</v>
      </c>
      <c r="P77" s="3" t="s">
        <v>4</v>
      </c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97">A78</f>
        <v>76</v>
      </c>
      <c r="J78" s="3" t="str">
        <f t="shared" si="97"/>
        <v>Holanda</v>
      </c>
      <c r="K78" s="3">
        <v>2</v>
      </c>
      <c r="L78" s="3" t="str">
        <f t="shared" si="80"/>
        <v>x</v>
      </c>
      <c r="M78" s="3">
        <v>2</v>
      </c>
      <c r="N78" s="3" t="str">
        <f t="shared" si="81"/>
        <v>Marrocos</v>
      </c>
      <c r="O78" s="3" t="str">
        <f t="shared" si="82"/>
        <v>Empate</v>
      </c>
      <c r="P78" s="3" t="s">
        <v>19</v>
      </c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8">A79</f>
        <v>77</v>
      </c>
      <c r="J79" s="3" t="str">
        <f t="shared" si="98"/>
        <v>Costa do Marfim</v>
      </c>
      <c r="K79" s="3"/>
      <c r="L79" s="3" t="str">
        <f t="shared" si="80"/>
        <v>x</v>
      </c>
      <c r="M79" s="3"/>
      <c r="N79" s="3" t="str">
        <f t="shared" si="81"/>
        <v>Noruega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9">A80</f>
        <v>78</v>
      </c>
      <c r="J80" s="3" t="str">
        <f t="shared" si="99"/>
        <v>França</v>
      </c>
      <c r="K80" s="3"/>
      <c r="L80" s="3" t="str">
        <f t="shared" si="80"/>
        <v>x</v>
      </c>
      <c r="M80" s="3"/>
      <c r="N80" s="3" t="str">
        <f t="shared" si="81"/>
        <v>Suécia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0">A81</f>
        <v>79</v>
      </c>
      <c r="J81" s="3" t="str">
        <f t="shared" si="100"/>
        <v>México</v>
      </c>
      <c r="K81" s="3"/>
      <c r="L81" s="3" t="str">
        <f t="shared" si="80"/>
        <v>x</v>
      </c>
      <c r="M81" s="3"/>
      <c r="N81" s="3" t="str">
        <f t="shared" si="81"/>
        <v>Equador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01">A82</f>
        <v>80</v>
      </c>
      <c r="J82" s="3" t="str">
        <f t="shared" si="101"/>
        <v>Inglaterra</v>
      </c>
      <c r="K82" s="3"/>
      <c r="L82" s="3" t="str">
        <f t="shared" si="80"/>
        <v>x</v>
      </c>
      <c r="M82" s="3"/>
      <c r="N82" s="3" t="str">
        <f t="shared" si="81"/>
        <v>RD Congo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02">A83</f>
        <v>81</v>
      </c>
      <c r="J83" s="3" t="str">
        <f t="shared" si="102"/>
        <v>Bélgica</v>
      </c>
      <c r="K83" s="3"/>
      <c r="L83" s="3" t="str">
        <f t="shared" si="80"/>
        <v>x</v>
      </c>
      <c r="M83" s="3"/>
      <c r="N83" s="3" t="str">
        <f t="shared" si="81"/>
        <v>Senegal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03">A84</f>
        <v>82</v>
      </c>
      <c r="J84" s="3" t="str">
        <f t="shared" si="103"/>
        <v>EUA</v>
      </c>
      <c r="K84" s="3"/>
      <c r="L84" s="3" t="str">
        <f t="shared" si="80"/>
        <v>x</v>
      </c>
      <c r="M84" s="3"/>
      <c r="N84" s="3" t="str">
        <f t="shared" si="81"/>
        <v>Bósnia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4">A85</f>
        <v>83</v>
      </c>
      <c r="J85" s="3" t="str">
        <f t="shared" si="104"/>
        <v>Espanha</v>
      </c>
      <c r="K85" s="3"/>
      <c r="L85" s="3" t="str">
        <f t="shared" si="80"/>
        <v>x</v>
      </c>
      <c r="M85" s="3"/>
      <c r="N85" s="3" t="str">
        <f t="shared" si="81"/>
        <v>Áustria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5">A86</f>
        <v>84</v>
      </c>
      <c r="J86" s="3" t="str">
        <f t="shared" si="105"/>
        <v>Portugal</v>
      </c>
      <c r="K86" s="3"/>
      <c r="L86" s="3" t="str">
        <f t="shared" si="80"/>
        <v>x</v>
      </c>
      <c r="M86" s="3"/>
      <c r="N86" s="3" t="str">
        <f t="shared" si="81"/>
        <v>Croácia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6">A87</f>
        <v>85</v>
      </c>
      <c r="J87" s="3" t="str">
        <f t="shared" si="106"/>
        <v>Suíça</v>
      </c>
      <c r="K87" s="3"/>
      <c r="L87" s="3" t="str">
        <f t="shared" si="80"/>
        <v>x</v>
      </c>
      <c r="M87" s="3"/>
      <c r="N87" s="3" t="str">
        <f t="shared" si="81"/>
        <v>Argélia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7">A88</f>
        <v>86</v>
      </c>
      <c r="J88" s="3" t="str">
        <f t="shared" si="107"/>
        <v>Austrália</v>
      </c>
      <c r="K88" s="3"/>
      <c r="L88" s="3" t="str">
        <f t="shared" si="80"/>
        <v>x</v>
      </c>
      <c r="M88" s="3"/>
      <c r="N88" s="3" t="str">
        <f t="shared" si="81"/>
        <v>Egito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8">A89</f>
        <v>87</v>
      </c>
      <c r="J89" s="3" t="str">
        <f t="shared" si="108"/>
        <v>Argentina</v>
      </c>
      <c r="K89" s="3"/>
      <c r="L89" s="3" t="str">
        <f t="shared" si="80"/>
        <v>x</v>
      </c>
      <c r="M89" s="3"/>
      <c r="N89" s="3" t="str">
        <f t="shared" si="81"/>
        <v>Cabo Verde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9">A90</f>
        <v>88</v>
      </c>
      <c r="J90" s="3" t="str">
        <f t="shared" si="109"/>
        <v>Colômbia</v>
      </c>
      <c r="K90" s="3"/>
      <c r="L90" s="3" t="str">
        <f t="shared" si="80"/>
        <v>x</v>
      </c>
      <c r="M90" s="3"/>
      <c r="N90" s="3" t="str">
        <f t="shared" si="81"/>
        <v>Gana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66" workbookViewId="0">
      <selection activeCell="P79" sqref="P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141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62" workbookViewId="0">
      <selection activeCell="Y81" sqref="Y8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127</v>
      </c>
      <c r="Y3" s="3">
        <f>COUNTIF(W3:W74,6)+COUNTIF(W3:W74,12)+COUNTIF(W75:W106,9)+COUNTIF(W75:W106,18)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68" workbookViewId="0">
      <selection activeCell="Q68" sqref="Q1:V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119</v>
      </c>
      <c r="Y3" s="3">
        <f>COUNTIF(W3:W74,6)+COUNTIF(W3:W74,12)+COUNTIF(W75:W106,9)+COUNTIF(W75:W106,18)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0" workbookViewId="0">
      <selection activeCell="X78" sqref="X7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147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61" workbookViewId="0">
      <selection activeCell="X78" sqref="X7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3" width="8.88671875" customWidth="1"/>
    <col min="24" max="24" width="9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137</v>
      </c>
      <c r="Y3" s="3">
        <f>COUNTIF(W3:W74,6)+COUNTIF(W3:W74,12)+COUNTIF(W75:W106,9)+COUNTIF(W75:W106,18)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70" workbookViewId="0">
      <selection activeCell="Q70" sqref="Q1:V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2" t="str">
        <f>'Tabela de Jogos'!A1</f>
        <v>Tabela de Jogos</v>
      </c>
      <c r="B1" s="13"/>
      <c r="C1" s="13"/>
      <c r="D1" s="13"/>
      <c r="E1" s="13"/>
      <c r="F1" s="13"/>
      <c r="G1" s="13"/>
      <c r="H1" s="3"/>
      <c r="I1" s="12" t="s">
        <v>68</v>
      </c>
      <c r="J1" s="13"/>
      <c r="K1" s="13"/>
      <c r="L1" s="13"/>
      <c r="M1" s="13"/>
      <c r="N1" s="13"/>
      <c r="O1" s="1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110</v>
      </c>
      <c r="Y3" s="3">
        <f>COUNTIF(W3:W74,6)+COUNTIF(W3:W74,12)+COUNTIF(W75:W106,9)+COUNTIF(W75:W106,18)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129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137</v>
      </c>
      <c r="H78" s="2">
        <f>IF('Tabela de Jogos'!C78&lt;&gt;"",Trops!W78+H77,H77)</f>
        <v>110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129</v>
      </c>
      <c r="C79" s="2">
        <f>IF('Tabela de Jogos'!C79&lt;&gt;"",Arthur!W79+C78,C78)</f>
        <v>141</v>
      </c>
      <c r="D79" s="2">
        <f>IF('Tabela de Jogos'!C79&lt;&gt;"",Dudu!W79+D78,D78)</f>
        <v>127</v>
      </c>
      <c r="E79" s="2">
        <f>IF('Tabela de Jogos'!C79&lt;&gt;"",Carol!W79+E78,E78)</f>
        <v>119</v>
      </c>
      <c r="F79" s="2">
        <f>IF('Tabela de Jogos'!C79&lt;&gt;"",Ana!W79+F78,F78)</f>
        <v>147</v>
      </c>
      <c r="G79" s="2">
        <f>IF('Tabela de Jogos'!C79&lt;&gt;"",Isa!W79+G78,G78)</f>
        <v>137</v>
      </c>
      <c r="H79" s="2">
        <f>IF('Tabela de Jogos'!C79&lt;&gt;"",Trops!W79+H78,H78)</f>
        <v>110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129</v>
      </c>
      <c r="C80" s="2">
        <f>IF('Tabela de Jogos'!C80&lt;&gt;"",Arthur!W80+C79,C79)</f>
        <v>141</v>
      </c>
      <c r="D80" s="2">
        <f>IF('Tabela de Jogos'!C80&lt;&gt;"",Dudu!W80+D79,D79)</f>
        <v>127</v>
      </c>
      <c r="E80" s="2">
        <f>IF('Tabela de Jogos'!C80&lt;&gt;"",Carol!W80+E79,E79)</f>
        <v>119</v>
      </c>
      <c r="F80" s="2">
        <f>IF('Tabela de Jogos'!C80&lt;&gt;"",Ana!W80+F79,F79)</f>
        <v>147</v>
      </c>
      <c r="G80" s="2">
        <f>IF('Tabela de Jogos'!C80&lt;&gt;"",Isa!W80+G79,G79)</f>
        <v>137</v>
      </c>
      <c r="H80" s="2">
        <f>IF('Tabela de Jogos'!C80&lt;&gt;"",Trops!W80+H79,H79)</f>
        <v>110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129</v>
      </c>
      <c r="C81" s="2">
        <f>IF('Tabela de Jogos'!C81&lt;&gt;"",Arthur!W81+C80,C80)</f>
        <v>141</v>
      </c>
      <c r="D81" s="2">
        <f>IF('Tabela de Jogos'!C81&lt;&gt;"",Dudu!W81+D80,D80)</f>
        <v>127</v>
      </c>
      <c r="E81" s="2">
        <f>IF('Tabela de Jogos'!C81&lt;&gt;"",Carol!W81+E80,E80)</f>
        <v>119</v>
      </c>
      <c r="F81" s="2">
        <f>IF('Tabela de Jogos'!C81&lt;&gt;"",Ana!W81+F80,F80)</f>
        <v>147</v>
      </c>
      <c r="G81" s="2">
        <f>IF('Tabela de Jogos'!C81&lt;&gt;"",Isa!W81+G80,G80)</f>
        <v>137</v>
      </c>
      <c r="H81" s="2">
        <f>IF('Tabela de Jogos'!C81&lt;&gt;"",Trops!W81+H80,H80)</f>
        <v>110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129</v>
      </c>
      <c r="C82" s="2">
        <f>IF('Tabela de Jogos'!C82&lt;&gt;"",Arthur!W82+C81,C81)</f>
        <v>141</v>
      </c>
      <c r="D82" s="2">
        <f>IF('Tabela de Jogos'!C82&lt;&gt;"",Dudu!W82+D81,D81)</f>
        <v>127</v>
      </c>
      <c r="E82" s="2">
        <f>IF('Tabela de Jogos'!C82&lt;&gt;"",Carol!W82+E81,E81)</f>
        <v>119</v>
      </c>
      <c r="F82" s="2">
        <f>IF('Tabela de Jogos'!C82&lt;&gt;"",Ana!W82+F81,F81)</f>
        <v>147</v>
      </c>
      <c r="G82" s="2">
        <f>IF('Tabela de Jogos'!C82&lt;&gt;"",Isa!W82+G81,G81)</f>
        <v>137</v>
      </c>
      <c r="H82" s="2">
        <f>IF('Tabela de Jogos'!C82&lt;&gt;"",Trops!W82+H81,H81)</f>
        <v>110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129</v>
      </c>
      <c r="C83" s="2">
        <f>IF('Tabela de Jogos'!C83&lt;&gt;"",Arthur!W83+C82,C82)</f>
        <v>141</v>
      </c>
      <c r="D83" s="2">
        <f>IF('Tabela de Jogos'!C83&lt;&gt;"",Dudu!W83+D82,D82)</f>
        <v>127</v>
      </c>
      <c r="E83" s="2">
        <f>IF('Tabela de Jogos'!C83&lt;&gt;"",Carol!W83+E82,E82)</f>
        <v>119</v>
      </c>
      <c r="F83" s="2">
        <f>IF('Tabela de Jogos'!C83&lt;&gt;"",Ana!W83+F82,F82)</f>
        <v>147</v>
      </c>
      <c r="G83" s="2">
        <f>IF('Tabela de Jogos'!C83&lt;&gt;"",Isa!W83+G82,G82)</f>
        <v>137</v>
      </c>
      <c r="H83" s="2">
        <f>IF('Tabela de Jogos'!C83&lt;&gt;"",Trops!W83+H82,H82)</f>
        <v>110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129</v>
      </c>
      <c r="C84" s="2">
        <f>IF('Tabela de Jogos'!C84&lt;&gt;"",Arthur!W84+C83,C83)</f>
        <v>141</v>
      </c>
      <c r="D84" s="2">
        <f>IF('Tabela de Jogos'!C84&lt;&gt;"",Dudu!W84+D83,D83)</f>
        <v>127</v>
      </c>
      <c r="E84" s="2">
        <f>IF('Tabela de Jogos'!C84&lt;&gt;"",Carol!W84+E83,E83)</f>
        <v>119</v>
      </c>
      <c r="F84" s="2">
        <f>IF('Tabela de Jogos'!C84&lt;&gt;"",Ana!W84+F83,F83)</f>
        <v>147</v>
      </c>
      <c r="G84" s="2">
        <f>IF('Tabela de Jogos'!C84&lt;&gt;"",Isa!W84+G83,G83)</f>
        <v>137</v>
      </c>
      <c r="H84" s="2">
        <f>IF('Tabela de Jogos'!C84&lt;&gt;"",Trops!W84+H83,H83)</f>
        <v>110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129</v>
      </c>
      <c r="C85" s="2">
        <f>IF('Tabela de Jogos'!C85&lt;&gt;"",Arthur!W85+C84,C84)</f>
        <v>141</v>
      </c>
      <c r="D85" s="2">
        <f>IF('Tabela de Jogos'!C85&lt;&gt;"",Dudu!W85+D84,D84)</f>
        <v>127</v>
      </c>
      <c r="E85" s="2">
        <f>IF('Tabela de Jogos'!C85&lt;&gt;"",Carol!W85+E84,E84)</f>
        <v>119</v>
      </c>
      <c r="F85" s="2">
        <f>IF('Tabela de Jogos'!C85&lt;&gt;"",Ana!W85+F84,F84)</f>
        <v>147</v>
      </c>
      <c r="G85" s="2">
        <f>IF('Tabela de Jogos'!C85&lt;&gt;"",Isa!W85+G84,G84)</f>
        <v>137</v>
      </c>
      <c r="H85" s="2">
        <f>IF('Tabela de Jogos'!C85&lt;&gt;"",Trops!W85+H84,H84)</f>
        <v>110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129</v>
      </c>
      <c r="C86" s="2">
        <f>IF('Tabela de Jogos'!C86&lt;&gt;"",Arthur!W86+C85,C85)</f>
        <v>141</v>
      </c>
      <c r="D86" s="2">
        <f>IF('Tabela de Jogos'!C86&lt;&gt;"",Dudu!W86+D85,D85)</f>
        <v>127</v>
      </c>
      <c r="E86" s="2">
        <f>IF('Tabela de Jogos'!C86&lt;&gt;"",Carol!W86+E85,E85)</f>
        <v>119</v>
      </c>
      <c r="F86" s="2">
        <f>IF('Tabela de Jogos'!C86&lt;&gt;"",Ana!W86+F85,F85)</f>
        <v>147</v>
      </c>
      <c r="G86" s="2">
        <f>IF('Tabela de Jogos'!C86&lt;&gt;"",Isa!W86+G85,G85)</f>
        <v>137</v>
      </c>
      <c r="H86" s="2">
        <f>IF('Tabela de Jogos'!C86&lt;&gt;"",Trops!W86+H85,H85)</f>
        <v>110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129</v>
      </c>
      <c r="C87" s="2">
        <f>IF('Tabela de Jogos'!C87&lt;&gt;"",Arthur!W87+C86,C86)</f>
        <v>141</v>
      </c>
      <c r="D87" s="2">
        <f>IF('Tabela de Jogos'!C87&lt;&gt;"",Dudu!W87+D86,D86)</f>
        <v>127</v>
      </c>
      <c r="E87" s="2">
        <f>IF('Tabela de Jogos'!C87&lt;&gt;"",Carol!W87+E86,E86)</f>
        <v>119</v>
      </c>
      <c r="F87" s="2">
        <f>IF('Tabela de Jogos'!C87&lt;&gt;"",Ana!W87+F86,F86)</f>
        <v>147</v>
      </c>
      <c r="G87" s="2">
        <f>IF('Tabela de Jogos'!C87&lt;&gt;"",Isa!W87+G86,G86)</f>
        <v>137</v>
      </c>
      <c r="H87" s="2">
        <f>IF('Tabela de Jogos'!C87&lt;&gt;"",Trops!W87+H86,H86)</f>
        <v>110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129</v>
      </c>
      <c r="C88" s="2">
        <f>IF('Tabela de Jogos'!C88&lt;&gt;"",Arthur!W88+C87,C87)</f>
        <v>141</v>
      </c>
      <c r="D88" s="2">
        <f>IF('Tabela de Jogos'!C88&lt;&gt;"",Dudu!W88+D87,D87)</f>
        <v>127</v>
      </c>
      <c r="E88" s="2">
        <f>IF('Tabela de Jogos'!C88&lt;&gt;"",Carol!W88+E87,E87)</f>
        <v>119</v>
      </c>
      <c r="F88" s="2">
        <f>IF('Tabela de Jogos'!C88&lt;&gt;"",Ana!W88+F87,F87)</f>
        <v>147</v>
      </c>
      <c r="G88" s="2">
        <f>IF('Tabela de Jogos'!C88&lt;&gt;"",Isa!W88+G87,G87)</f>
        <v>137</v>
      </c>
      <c r="H88" s="2">
        <f>IF('Tabela de Jogos'!C88&lt;&gt;"",Trops!W88+H87,H87)</f>
        <v>110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129</v>
      </c>
      <c r="C89" s="2">
        <f>IF('Tabela de Jogos'!C89&lt;&gt;"",Arthur!W89+C88,C88)</f>
        <v>141</v>
      </c>
      <c r="D89" s="2">
        <f>IF('Tabela de Jogos'!C89&lt;&gt;"",Dudu!W89+D88,D88)</f>
        <v>127</v>
      </c>
      <c r="E89" s="2">
        <f>IF('Tabela de Jogos'!C89&lt;&gt;"",Carol!W89+E88,E88)</f>
        <v>119</v>
      </c>
      <c r="F89" s="2">
        <f>IF('Tabela de Jogos'!C89&lt;&gt;"",Ana!W89+F88,F88)</f>
        <v>147</v>
      </c>
      <c r="G89" s="2">
        <f>IF('Tabela de Jogos'!C89&lt;&gt;"",Isa!W89+G88,G88)</f>
        <v>137</v>
      </c>
      <c r="H89" s="2">
        <f>IF('Tabela de Jogos'!C89&lt;&gt;"",Trops!W89+H88,H88)</f>
        <v>110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129</v>
      </c>
      <c r="C90" s="2">
        <f>IF('Tabela de Jogos'!C90&lt;&gt;"",Arthur!W90+C89,C89)</f>
        <v>141</v>
      </c>
      <c r="D90" s="2">
        <f>IF('Tabela de Jogos'!C90&lt;&gt;"",Dudu!W90+D89,D89)</f>
        <v>127</v>
      </c>
      <c r="E90" s="2">
        <f>IF('Tabela de Jogos'!C90&lt;&gt;"",Carol!W90+E89,E89)</f>
        <v>119</v>
      </c>
      <c r="F90" s="2">
        <f>IF('Tabela de Jogos'!C90&lt;&gt;"",Ana!W90+F89,F89)</f>
        <v>147</v>
      </c>
      <c r="G90" s="2">
        <f>IF('Tabela de Jogos'!C90&lt;&gt;"",Isa!W90+G89,G89)</f>
        <v>137</v>
      </c>
      <c r="H90" s="2">
        <f>IF('Tabela de Jogos'!C90&lt;&gt;"",Trops!W90+H89,H89)</f>
        <v>110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129</v>
      </c>
      <c r="C91" s="2">
        <f>IF('Tabela de Jogos'!C91&lt;&gt;"",Arthur!W91+C90,C90)</f>
        <v>141</v>
      </c>
      <c r="D91" s="2">
        <f>IF('Tabela de Jogos'!C91&lt;&gt;"",Dudu!W91+D90,D90)</f>
        <v>127</v>
      </c>
      <c r="E91" s="2">
        <f>IF('Tabela de Jogos'!C91&lt;&gt;"",Carol!W91+E90,E90)</f>
        <v>119</v>
      </c>
      <c r="F91" s="2">
        <f>IF('Tabela de Jogos'!C91&lt;&gt;"",Ana!W91+F90,F90)</f>
        <v>147</v>
      </c>
      <c r="G91" s="2">
        <f>IF('Tabela de Jogos'!C91&lt;&gt;"",Isa!W91+G90,G90)</f>
        <v>137</v>
      </c>
      <c r="H91" s="2">
        <f>IF('Tabela de Jogos'!C91&lt;&gt;"",Trops!W91+H90,H90)</f>
        <v>110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129</v>
      </c>
      <c r="C92" s="2">
        <f>IF('Tabela de Jogos'!C92&lt;&gt;"",Arthur!W92+C91,C91)</f>
        <v>141</v>
      </c>
      <c r="D92" s="2">
        <f>IF('Tabela de Jogos'!C92&lt;&gt;"",Dudu!W92+D91,D91)</f>
        <v>127</v>
      </c>
      <c r="E92" s="2">
        <f>IF('Tabela de Jogos'!C92&lt;&gt;"",Carol!W92+E91,E91)</f>
        <v>119</v>
      </c>
      <c r="F92" s="2">
        <f>IF('Tabela de Jogos'!C92&lt;&gt;"",Ana!W92+F91,F91)</f>
        <v>147</v>
      </c>
      <c r="G92" s="2">
        <f>IF('Tabela de Jogos'!C92&lt;&gt;"",Isa!W92+G91,G91)</f>
        <v>137</v>
      </c>
      <c r="H92" s="2">
        <f>IF('Tabela de Jogos'!C92&lt;&gt;"",Trops!W92+H91,H91)</f>
        <v>110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129</v>
      </c>
      <c r="C93" s="2">
        <f>IF('Tabela de Jogos'!C93&lt;&gt;"",Arthur!W93+C92,C92)</f>
        <v>141</v>
      </c>
      <c r="D93" s="2">
        <f>IF('Tabela de Jogos'!C93&lt;&gt;"",Dudu!W93+D92,D92)</f>
        <v>127</v>
      </c>
      <c r="E93" s="2">
        <f>IF('Tabela de Jogos'!C93&lt;&gt;"",Carol!W93+E92,E92)</f>
        <v>119</v>
      </c>
      <c r="F93" s="2">
        <f>IF('Tabela de Jogos'!C93&lt;&gt;"",Ana!W93+F92,F92)</f>
        <v>147</v>
      </c>
      <c r="G93" s="2">
        <f>IF('Tabela de Jogos'!C93&lt;&gt;"",Isa!W93+G92,G92)</f>
        <v>137</v>
      </c>
      <c r="H93" s="2">
        <f>IF('Tabela de Jogos'!C93&lt;&gt;"",Trops!W93+H92,H92)</f>
        <v>110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129</v>
      </c>
      <c r="C94" s="2">
        <f>IF('Tabela de Jogos'!C94&lt;&gt;"",Arthur!W94+C93,C93)</f>
        <v>141</v>
      </c>
      <c r="D94" s="2">
        <f>IF('Tabela de Jogos'!C94&lt;&gt;"",Dudu!W94+D93,D93)</f>
        <v>127</v>
      </c>
      <c r="E94" s="2">
        <f>IF('Tabela de Jogos'!C94&lt;&gt;"",Carol!W94+E93,E93)</f>
        <v>119</v>
      </c>
      <c r="F94" s="2">
        <f>IF('Tabela de Jogos'!C94&lt;&gt;"",Ana!W94+F93,F93)</f>
        <v>147</v>
      </c>
      <c r="G94" s="2">
        <f>IF('Tabela de Jogos'!C94&lt;&gt;"",Isa!W94+G93,G93)</f>
        <v>137</v>
      </c>
      <c r="H94" s="2">
        <f>IF('Tabela de Jogos'!C94&lt;&gt;"",Trops!W94+H93,H93)</f>
        <v>110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129</v>
      </c>
      <c r="C95" s="2">
        <f>IF('Tabela de Jogos'!C95&lt;&gt;"",Arthur!W95+C94,C94)</f>
        <v>141</v>
      </c>
      <c r="D95" s="2">
        <f>IF('Tabela de Jogos'!C95&lt;&gt;"",Dudu!W95+D94,D94)</f>
        <v>127</v>
      </c>
      <c r="E95" s="2">
        <f>IF('Tabela de Jogos'!C95&lt;&gt;"",Carol!W95+E94,E94)</f>
        <v>119</v>
      </c>
      <c r="F95" s="2">
        <f>IF('Tabela de Jogos'!C95&lt;&gt;"",Ana!W95+F94,F94)</f>
        <v>147</v>
      </c>
      <c r="G95" s="2">
        <f>IF('Tabela de Jogos'!C95&lt;&gt;"",Isa!W95+G94,G94)</f>
        <v>137</v>
      </c>
      <c r="H95" s="2">
        <f>IF('Tabela de Jogos'!C95&lt;&gt;"",Trops!W95+H94,H94)</f>
        <v>110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129</v>
      </c>
      <c r="C96" s="2">
        <f>IF('Tabela de Jogos'!C96&lt;&gt;"",Arthur!W96+C95,C95)</f>
        <v>141</v>
      </c>
      <c r="D96" s="2">
        <f>IF('Tabela de Jogos'!C96&lt;&gt;"",Dudu!W96+D95,D95)</f>
        <v>127</v>
      </c>
      <c r="E96" s="2">
        <f>IF('Tabela de Jogos'!C96&lt;&gt;"",Carol!W96+E95,E95)</f>
        <v>119</v>
      </c>
      <c r="F96" s="2">
        <f>IF('Tabela de Jogos'!C96&lt;&gt;"",Ana!W96+F95,F95)</f>
        <v>147</v>
      </c>
      <c r="G96" s="2">
        <f>IF('Tabela de Jogos'!C96&lt;&gt;"",Isa!W96+G95,G95)</f>
        <v>137</v>
      </c>
      <c r="H96" s="2">
        <f>IF('Tabela de Jogos'!C96&lt;&gt;"",Trops!W96+H95,H95)</f>
        <v>110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129</v>
      </c>
      <c r="C97" s="2">
        <f>IF('Tabela de Jogos'!C97&lt;&gt;"",Arthur!W97+C96,C96)</f>
        <v>141</v>
      </c>
      <c r="D97" s="2">
        <f>IF('Tabela de Jogos'!C97&lt;&gt;"",Dudu!W97+D96,D96)</f>
        <v>127</v>
      </c>
      <c r="E97" s="2">
        <f>IF('Tabela de Jogos'!C97&lt;&gt;"",Carol!W97+E96,E96)</f>
        <v>119</v>
      </c>
      <c r="F97" s="2">
        <f>IF('Tabela de Jogos'!C97&lt;&gt;"",Ana!W97+F96,F96)</f>
        <v>147</v>
      </c>
      <c r="G97" s="2">
        <f>IF('Tabela de Jogos'!C97&lt;&gt;"",Isa!W97+G96,G96)</f>
        <v>137</v>
      </c>
      <c r="H97" s="2">
        <f>IF('Tabela de Jogos'!C97&lt;&gt;"",Trops!W97+H96,H96)</f>
        <v>110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129</v>
      </c>
      <c r="C98" s="2">
        <f>IF('Tabela de Jogos'!C98&lt;&gt;"",Arthur!W98+C97,C97)</f>
        <v>141</v>
      </c>
      <c r="D98" s="2">
        <f>IF('Tabela de Jogos'!C98&lt;&gt;"",Dudu!W98+D97,D97)</f>
        <v>127</v>
      </c>
      <c r="E98" s="2">
        <f>IF('Tabela de Jogos'!C98&lt;&gt;"",Carol!W98+E97,E97)</f>
        <v>119</v>
      </c>
      <c r="F98" s="2">
        <f>IF('Tabela de Jogos'!C98&lt;&gt;"",Ana!W98+F97,F97)</f>
        <v>147</v>
      </c>
      <c r="G98" s="2">
        <f>IF('Tabela de Jogos'!C98&lt;&gt;"",Isa!W98+G97,G97)</f>
        <v>137</v>
      </c>
      <c r="H98" s="2">
        <f>IF('Tabela de Jogos'!C98&lt;&gt;"",Trops!W98+H97,H97)</f>
        <v>110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129</v>
      </c>
      <c r="C99" s="2">
        <f>IF('Tabela de Jogos'!C99&lt;&gt;"",Arthur!W99+C98,C98)</f>
        <v>141</v>
      </c>
      <c r="D99" s="2">
        <f>IF('Tabela de Jogos'!C99&lt;&gt;"",Dudu!W99+D98,D98)</f>
        <v>127</v>
      </c>
      <c r="E99" s="2">
        <f>IF('Tabela de Jogos'!C99&lt;&gt;"",Carol!W99+E98,E98)</f>
        <v>119</v>
      </c>
      <c r="F99" s="2">
        <f>IF('Tabela de Jogos'!C99&lt;&gt;"",Ana!W99+F98,F98)</f>
        <v>147</v>
      </c>
      <c r="G99" s="2">
        <f>IF('Tabela de Jogos'!C99&lt;&gt;"",Isa!W99+G98,G98)</f>
        <v>137</v>
      </c>
      <c r="H99" s="2">
        <f>IF('Tabela de Jogos'!C99&lt;&gt;"",Trops!W99+H98,H98)</f>
        <v>110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129</v>
      </c>
      <c r="C100" s="2">
        <f>IF('Tabela de Jogos'!C100&lt;&gt;"",Arthur!W100+C99,C99)</f>
        <v>141</v>
      </c>
      <c r="D100" s="2">
        <f>IF('Tabela de Jogos'!C100&lt;&gt;"",Dudu!W100+D99,D99)</f>
        <v>127</v>
      </c>
      <c r="E100" s="2">
        <f>IF('Tabela de Jogos'!C100&lt;&gt;"",Carol!W100+E99,E99)</f>
        <v>119</v>
      </c>
      <c r="F100" s="2">
        <f>IF('Tabela de Jogos'!C100&lt;&gt;"",Ana!W100+F99,F99)</f>
        <v>147</v>
      </c>
      <c r="G100" s="2">
        <f>IF('Tabela de Jogos'!C100&lt;&gt;"",Isa!W100+G99,G99)</f>
        <v>137</v>
      </c>
      <c r="H100" s="2">
        <f>IF('Tabela de Jogos'!C100&lt;&gt;"",Trops!W100+H99,H99)</f>
        <v>110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129</v>
      </c>
      <c r="C101" s="2">
        <f>IF('Tabela de Jogos'!C101&lt;&gt;"",Arthur!W101+C100,C100)</f>
        <v>141</v>
      </c>
      <c r="D101" s="2">
        <f>IF('Tabela de Jogos'!C101&lt;&gt;"",Dudu!W101+D100,D100)</f>
        <v>127</v>
      </c>
      <c r="E101" s="2">
        <f>IF('Tabela de Jogos'!C101&lt;&gt;"",Carol!W101+E100,E100)</f>
        <v>119</v>
      </c>
      <c r="F101" s="2">
        <f>IF('Tabela de Jogos'!C101&lt;&gt;"",Ana!W101+F100,F100)</f>
        <v>147</v>
      </c>
      <c r="G101" s="2">
        <f>IF('Tabela de Jogos'!C101&lt;&gt;"",Isa!W101+G100,G100)</f>
        <v>137</v>
      </c>
      <c r="H101" s="2">
        <f>IF('Tabela de Jogos'!C101&lt;&gt;"",Trops!W101+H100,H100)</f>
        <v>110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129</v>
      </c>
      <c r="C102" s="2">
        <f>IF('Tabela de Jogos'!C102&lt;&gt;"",Arthur!W102+C101,C101)</f>
        <v>141</v>
      </c>
      <c r="D102" s="2">
        <f>IF('Tabela de Jogos'!C102&lt;&gt;"",Dudu!W102+D101,D101)</f>
        <v>127</v>
      </c>
      <c r="E102" s="2">
        <f>IF('Tabela de Jogos'!C102&lt;&gt;"",Carol!W102+E101,E101)</f>
        <v>119</v>
      </c>
      <c r="F102" s="2">
        <f>IF('Tabela de Jogos'!C102&lt;&gt;"",Ana!W102+F101,F101)</f>
        <v>147</v>
      </c>
      <c r="G102" s="2">
        <f>IF('Tabela de Jogos'!C102&lt;&gt;"",Isa!W102+G101,G101)</f>
        <v>137</v>
      </c>
      <c r="H102" s="2">
        <f>IF('Tabela de Jogos'!C102&lt;&gt;"",Trops!W102+H101,H101)</f>
        <v>110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129</v>
      </c>
      <c r="C103" s="2">
        <f>IF('Tabela de Jogos'!C103&lt;&gt;"",Arthur!W103+C102,C102)</f>
        <v>141</v>
      </c>
      <c r="D103" s="2">
        <f>IF('Tabela de Jogos'!C103&lt;&gt;"",Dudu!W103+D102,D102)</f>
        <v>127</v>
      </c>
      <c r="E103" s="2">
        <f>IF('Tabela de Jogos'!C103&lt;&gt;"",Carol!W103+E102,E102)</f>
        <v>119</v>
      </c>
      <c r="F103" s="2">
        <f>IF('Tabela de Jogos'!C103&lt;&gt;"",Ana!W103+F102,F102)</f>
        <v>147</v>
      </c>
      <c r="G103" s="2">
        <f>IF('Tabela de Jogos'!C103&lt;&gt;"",Isa!W103+G102,G102)</f>
        <v>137</v>
      </c>
      <c r="H103" s="2">
        <f>IF('Tabela de Jogos'!C103&lt;&gt;"",Trops!W103+H102,H102)</f>
        <v>110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129</v>
      </c>
      <c r="C104" s="2">
        <f>IF('Tabela de Jogos'!C104&lt;&gt;"",Arthur!W104+C103,C103)</f>
        <v>141</v>
      </c>
      <c r="D104" s="2">
        <f>IF('Tabela de Jogos'!C104&lt;&gt;"",Dudu!W104+D103,D103)</f>
        <v>127</v>
      </c>
      <c r="E104" s="2">
        <f>IF('Tabela de Jogos'!C104&lt;&gt;"",Carol!W104+E103,E103)</f>
        <v>119</v>
      </c>
      <c r="F104" s="2">
        <f>IF('Tabela de Jogos'!C104&lt;&gt;"",Ana!W104+F103,F103)</f>
        <v>147</v>
      </c>
      <c r="G104" s="2">
        <f>IF('Tabela de Jogos'!C104&lt;&gt;"",Isa!W104+G103,G103)</f>
        <v>137</v>
      </c>
      <c r="H104" s="2">
        <f>IF('Tabela de Jogos'!C104&lt;&gt;"",Trops!W104+H103,H103)</f>
        <v>110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129</v>
      </c>
      <c r="C105" s="2">
        <f>IF('Tabela de Jogos'!C105&lt;&gt;"",Arthur!W105+C104,C104)</f>
        <v>141</v>
      </c>
      <c r="D105" s="2">
        <f>IF('Tabela de Jogos'!C105&lt;&gt;"",Dudu!W105+D104,D104)</f>
        <v>127</v>
      </c>
      <c r="E105" s="2">
        <f>IF('Tabela de Jogos'!C105&lt;&gt;"",Carol!W105+E104,E104)</f>
        <v>119</v>
      </c>
      <c r="F105" s="2">
        <f>IF('Tabela de Jogos'!C105&lt;&gt;"",Ana!W105+F104,F104)</f>
        <v>147</v>
      </c>
      <c r="G105" s="2">
        <f>IF('Tabela de Jogos'!C105&lt;&gt;"",Isa!W105+G104,G104)</f>
        <v>137</v>
      </c>
      <c r="H105" s="2">
        <f>IF('Tabela de Jogos'!C105&lt;&gt;"",Trops!W105+H104,H104)</f>
        <v>110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129</v>
      </c>
      <c r="C106" s="2">
        <f>IF('Tabela de Jogos'!C106&lt;&gt;"",Arthur!W106+C105,C105)</f>
        <v>141</v>
      </c>
      <c r="D106" s="2">
        <f>IF('Tabela de Jogos'!C106&lt;&gt;"",Dudu!W106+D105,D105)</f>
        <v>127</v>
      </c>
      <c r="E106" s="2">
        <f>IF('Tabela de Jogos'!C106&lt;&gt;"",Carol!W106+E105,E105)</f>
        <v>119</v>
      </c>
      <c r="F106" s="2">
        <f>IF('Tabela de Jogos'!C106&lt;&gt;"",Ana!W106+F105,F105)</f>
        <v>147</v>
      </c>
      <c r="G106" s="2">
        <f>IF('Tabela de Jogos'!C106&lt;&gt;"",Isa!W106+G105,G105)</f>
        <v>137</v>
      </c>
      <c r="H106" s="2">
        <f>IF('Tabela de Jogos'!C106&lt;&gt;"",Trops!W106+H105,H105)</f>
        <v>110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2026-06-30T04:08:03Z</dcterms:modified>
  <cp:category/>
  <cp:contentStatus/>
</cp:coreProperties>
</file>