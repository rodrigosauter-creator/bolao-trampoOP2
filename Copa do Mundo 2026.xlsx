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eu Drive\Pessoal\Diversos\"/>
    </mc:Choice>
  </mc:AlternateContent>
  <xr:revisionPtr revIDLastSave="0" documentId="13_ncr:1_{25BA9B7C-94C1-4128-BD73-7C1228293B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ela de Jogos" sheetId="1" r:id="rId1"/>
    <sheet name="Classificação" sheetId="2" r:id="rId2"/>
    <sheet name="Rodrigo" sheetId="4" r:id="rId3"/>
    <sheet name="Arthur" sheetId="5" r:id="rId4"/>
    <sheet name="Dudu" sheetId="6" r:id="rId5"/>
    <sheet name="Carol" sheetId="7" r:id="rId6"/>
    <sheet name="Ana" sheetId="8" r:id="rId7"/>
    <sheet name="Isa" sheetId="9" r:id="rId8"/>
    <sheet name="Trops" sheetId="10" r:id="rId9"/>
    <sheet name="Pontuação por rodada" sheetId="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F08hAZwluewjK3eLZMf7PkPJS1WBxAYRK1FznCsysSY="/>
    </ext>
  </extLst>
</workbook>
</file>

<file path=xl/calcChain.xml><?xml version="1.0" encoding="utf-8"?>
<calcChain xmlns="http://schemas.openxmlformats.org/spreadsheetml/2006/main">
  <c r="L60" i="10" l="1"/>
  <c r="W52" i="9" a="1"/>
  <c r="W53" i="9" a="1"/>
  <c r="W54" i="9" a="1"/>
  <c r="L41" i="10"/>
  <c r="J31" i="5"/>
  <c r="O31" i="7"/>
  <c r="O32" i="7"/>
  <c r="O33" i="7"/>
  <c r="O34" i="7"/>
  <c r="K4" i="3"/>
  <c r="L4" i="3"/>
  <c r="N4" i="3"/>
  <c r="O4" i="3"/>
  <c r="P4" i="3"/>
  <c r="K5" i="3"/>
  <c r="L5" i="3"/>
  <c r="N5" i="3"/>
  <c r="O5" i="3"/>
  <c r="P5" i="3"/>
  <c r="K6" i="3"/>
  <c r="L6" i="3"/>
  <c r="N6" i="3"/>
  <c r="O6" i="3"/>
  <c r="P6" i="3"/>
  <c r="K7" i="3"/>
  <c r="L7" i="3"/>
  <c r="N7" i="3"/>
  <c r="O7" i="3"/>
  <c r="P7" i="3"/>
  <c r="K8" i="3"/>
  <c r="L8" i="3"/>
  <c r="N8" i="3"/>
  <c r="O8" i="3"/>
  <c r="P8" i="3"/>
  <c r="K9" i="3"/>
  <c r="L9" i="3"/>
  <c r="N9" i="3"/>
  <c r="O9" i="3"/>
  <c r="P9" i="3"/>
  <c r="K10" i="3"/>
  <c r="L10" i="3"/>
  <c r="N10" i="3"/>
  <c r="O10" i="3"/>
  <c r="P10" i="3"/>
  <c r="K11" i="3"/>
  <c r="L11" i="3"/>
  <c r="N11" i="3"/>
  <c r="O11" i="3"/>
  <c r="P11" i="3"/>
  <c r="K63" i="3"/>
  <c r="L63" i="3"/>
  <c r="N63" i="3"/>
  <c r="O63" i="3"/>
  <c r="P63" i="3"/>
  <c r="K64" i="3"/>
  <c r="L64" i="3"/>
  <c r="N64" i="3"/>
  <c r="O64" i="3"/>
  <c r="P64" i="3"/>
  <c r="K65" i="3"/>
  <c r="L65" i="3"/>
  <c r="N65" i="3"/>
  <c r="O65" i="3"/>
  <c r="P65" i="3"/>
  <c r="K66" i="3"/>
  <c r="L66" i="3"/>
  <c r="N66" i="3"/>
  <c r="O66" i="3"/>
  <c r="P66" i="3"/>
  <c r="K67" i="3"/>
  <c r="L67" i="3"/>
  <c r="N67" i="3"/>
  <c r="O67" i="3"/>
  <c r="P67" i="3"/>
  <c r="K68" i="3"/>
  <c r="L68" i="3"/>
  <c r="N68" i="3"/>
  <c r="O68" i="3"/>
  <c r="P68" i="3"/>
  <c r="K69" i="3"/>
  <c r="L69" i="3"/>
  <c r="N69" i="3"/>
  <c r="O69" i="3"/>
  <c r="P69" i="3"/>
  <c r="K70" i="3"/>
  <c r="L70" i="3"/>
  <c r="N70" i="3"/>
  <c r="O70" i="3"/>
  <c r="P70" i="3"/>
  <c r="K71" i="3"/>
  <c r="L71" i="3"/>
  <c r="N71" i="3"/>
  <c r="O71" i="3"/>
  <c r="P71" i="3"/>
  <c r="K72" i="3"/>
  <c r="L72" i="3"/>
  <c r="N72" i="3"/>
  <c r="O72" i="3"/>
  <c r="P72" i="3"/>
  <c r="K73" i="3"/>
  <c r="L73" i="3"/>
  <c r="N73" i="3"/>
  <c r="O73" i="3"/>
  <c r="P73" i="3"/>
  <c r="K74" i="3"/>
  <c r="L74" i="3"/>
  <c r="N74" i="3"/>
  <c r="O74" i="3"/>
  <c r="P74" i="3"/>
  <c r="K75" i="3"/>
  <c r="L75" i="3"/>
  <c r="N75" i="3"/>
  <c r="O75" i="3"/>
  <c r="P75" i="3"/>
  <c r="K76" i="3"/>
  <c r="L76" i="3"/>
  <c r="N76" i="3"/>
  <c r="O76" i="3"/>
  <c r="P76" i="3"/>
  <c r="K77" i="3"/>
  <c r="L77" i="3"/>
  <c r="N77" i="3"/>
  <c r="O77" i="3"/>
  <c r="P77" i="3"/>
  <c r="K78" i="3"/>
  <c r="L78" i="3"/>
  <c r="N78" i="3"/>
  <c r="O78" i="3"/>
  <c r="P78" i="3"/>
  <c r="K79" i="3"/>
  <c r="L79" i="3"/>
  <c r="N79" i="3"/>
  <c r="O79" i="3"/>
  <c r="P79" i="3"/>
  <c r="K80" i="3"/>
  <c r="L80" i="3"/>
  <c r="N80" i="3"/>
  <c r="O80" i="3"/>
  <c r="P80" i="3"/>
  <c r="K81" i="3"/>
  <c r="L81" i="3"/>
  <c r="N81" i="3"/>
  <c r="O81" i="3"/>
  <c r="P81" i="3"/>
  <c r="K82" i="3"/>
  <c r="L82" i="3"/>
  <c r="N82" i="3"/>
  <c r="O82" i="3"/>
  <c r="P82" i="3"/>
  <c r="K83" i="3"/>
  <c r="L83" i="3"/>
  <c r="N83" i="3"/>
  <c r="O83" i="3"/>
  <c r="P83" i="3"/>
  <c r="K84" i="3"/>
  <c r="L84" i="3"/>
  <c r="N84" i="3"/>
  <c r="O84" i="3"/>
  <c r="P84" i="3"/>
  <c r="K85" i="3"/>
  <c r="L85" i="3"/>
  <c r="N85" i="3"/>
  <c r="O85" i="3"/>
  <c r="P85" i="3"/>
  <c r="K86" i="3"/>
  <c r="L86" i="3"/>
  <c r="N86" i="3"/>
  <c r="O86" i="3"/>
  <c r="P86" i="3"/>
  <c r="K87" i="3"/>
  <c r="L87" i="3"/>
  <c r="N87" i="3"/>
  <c r="O87" i="3"/>
  <c r="P87" i="3"/>
  <c r="K88" i="3"/>
  <c r="L88" i="3"/>
  <c r="N88" i="3"/>
  <c r="O88" i="3"/>
  <c r="P88" i="3"/>
  <c r="K89" i="3"/>
  <c r="L89" i="3"/>
  <c r="N89" i="3"/>
  <c r="O89" i="3"/>
  <c r="P89" i="3"/>
  <c r="K90" i="3"/>
  <c r="L90" i="3"/>
  <c r="N90" i="3"/>
  <c r="O90" i="3"/>
  <c r="P90" i="3"/>
  <c r="K91" i="3"/>
  <c r="L91" i="3"/>
  <c r="N91" i="3"/>
  <c r="O91" i="3"/>
  <c r="P91" i="3"/>
  <c r="K92" i="3"/>
  <c r="L92" i="3"/>
  <c r="N92" i="3"/>
  <c r="O92" i="3"/>
  <c r="P92" i="3"/>
  <c r="K93" i="3"/>
  <c r="L93" i="3"/>
  <c r="N93" i="3"/>
  <c r="O93" i="3"/>
  <c r="P93" i="3"/>
  <c r="K94" i="3"/>
  <c r="L94" i="3"/>
  <c r="N94" i="3"/>
  <c r="O94" i="3"/>
  <c r="P94" i="3"/>
  <c r="K95" i="3"/>
  <c r="L95" i="3"/>
  <c r="N95" i="3"/>
  <c r="O95" i="3"/>
  <c r="P95" i="3"/>
  <c r="K96" i="3"/>
  <c r="L96" i="3"/>
  <c r="N96" i="3"/>
  <c r="O96" i="3"/>
  <c r="P96" i="3"/>
  <c r="K97" i="3"/>
  <c r="L97" i="3"/>
  <c r="N97" i="3"/>
  <c r="O97" i="3"/>
  <c r="P97" i="3"/>
  <c r="K98" i="3"/>
  <c r="L98" i="3"/>
  <c r="N98" i="3"/>
  <c r="O98" i="3"/>
  <c r="P98" i="3"/>
  <c r="K99" i="3"/>
  <c r="L99" i="3"/>
  <c r="N99" i="3"/>
  <c r="O99" i="3"/>
  <c r="P99" i="3"/>
  <c r="K100" i="3"/>
  <c r="L100" i="3"/>
  <c r="N100" i="3"/>
  <c r="O100" i="3"/>
  <c r="P100" i="3"/>
  <c r="K101" i="3"/>
  <c r="L101" i="3"/>
  <c r="N101" i="3"/>
  <c r="O101" i="3"/>
  <c r="P101" i="3"/>
  <c r="K102" i="3"/>
  <c r="L102" i="3"/>
  <c r="N102" i="3"/>
  <c r="O102" i="3"/>
  <c r="P102" i="3"/>
  <c r="K103" i="3"/>
  <c r="L103" i="3"/>
  <c r="N103" i="3"/>
  <c r="O103" i="3"/>
  <c r="P103" i="3"/>
  <c r="K104" i="3"/>
  <c r="L104" i="3"/>
  <c r="N104" i="3"/>
  <c r="O104" i="3"/>
  <c r="P104" i="3"/>
  <c r="K105" i="3"/>
  <c r="L105" i="3"/>
  <c r="N105" i="3"/>
  <c r="O105" i="3"/>
  <c r="P105" i="3"/>
  <c r="K106" i="3"/>
  <c r="L106" i="3"/>
  <c r="N106" i="3"/>
  <c r="O106" i="3"/>
  <c r="P106" i="3"/>
  <c r="P3" i="3"/>
  <c r="O3" i="3"/>
  <c r="N3" i="3"/>
  <c r="L3" i="3"/>
  <c r="K3" i="3"/>
  <c r="W4" i="10" a="1"/>
  <c r="W5" i="10" a="1"/>
  <c r="W6" i="10" a="1"/>
  <c r="W63" i="10" a="1"/>
  <c r="W64" i="10" a="1"/>
  <c r="W65" i="10" a="1"/>
  <c r="W66" i="10" a="1"/>
  <c r="W67" i="10" a="1"/>
  <c r="W68" i="10" a="1"/>
  <c r="W69" i="10" a="1"/>
  <c r="W70" i="10" a="1"/>
  <c r="W71" i="10" a="1"/>
  <c r="W72" i="10" a="1"/>
  <c r="W73" i="10" a="1"/>
  <c r="W74" i="10" a="1"/>
  <c r="W75" i="10" a="1"/>
  <c r="W76" i="10" a="1"/>
  <c r="W77" i="10" a="1"/>
  <c r="W78" i="10" a="1"/>
  <c r="W79" i="10" a="1"/>
  <c r="W80" i="10" a="1"/>
  <c r="W81" i="10" a="1"/>
  <c r="W82" i="10" a="1"/>
  <c r="W83" i="10" a="1"/>
  <c r="W84" i="10" a="1"/>
  <c r="W85" i="10" a="1"/>
  <c r="W86" i="10" a="1"/>
  <c r="W87" i="10" a="1"/>
  <c r="W88" i="10" a="1"/>
  <c r="W89" i="10" a="1"/>
  <c r="W90" i="10" a="1"/>
  <c r="W91" i="10" a="1"/>
  <c r="W92" i="10" a="1"/>
  <c r="W93" i="10" a="1"/>
  <c r="W94" i="10" a="1"/>
  <c r="W95" i="10" a="1"/>
  <c r="W96" i="10" a="1"/>
  <c r="W97" i="10" a="1"/>
  <c r="W98" i="10" a="1"/>
  <c r="W99" i="10" a="1"/>
  <c r="W100" i="10" a="1"/>
  <c r="W101" i="10" a="1"/>
  <c r="W102" i="10" a="1"/>
  <c r="W103" i="10" a="1"/>
  <c r="W104" i="10" a="1"/>
  <c r="W105" i="10" a="1"/>
  <c r="W106" i="10" a="1"/>
  <c r="W3" i="10" a="1"/>
  <c r="W4" i="9" a="1"/>
  <c r="W5" i="9" a="1"/>
  <c r="W6" i="9" a="1"/>
  <c r="W63" i="9" a="1"/>
  <c r="W64" i="9" a="1"/>
  <c r="W65" i="9" a="1"/>
  <c r="W66" i="9" a="1"/>
  <c r="W67" i="9" a="1"/>
  <c r="W68" i="9" a="1"/>
  <c r="W69" i="9" a="1"/>
  <c r="W70" i="9" a="1"/>
  <c r="W71" i="9" a="1"/>
  <c r="W72" i="9" a="1"/>
  <c r="W73" i="9" a="1"/>
  <c r="W74" i="9" a="1"/>
  <c r="W75" i="9" a="1"/>
  <c r="W76" i="9" a="1"/>
  <c r="W77" i="9" a="1"/>
  <c r="W78" i="9" a="1"/>
  <c r="W79" i="9" a="1"/>
  <c r="W80" i="9" a="1"/>
  <c r="W81" i="9" a="1"/>
  <c r="W82" i="9" a="1"/>
  <c r="W83" i="9" a="1"/>
  <c r="W84" i="9" a="1"/>
  <c r="W85" i="9" a="1"/>
  <c r="W86" i="9" a="1"/>
  <c r="W87" i="9" a="1"/>
  <c r="W88" i="9" a="1"/>
  <c r="W89" i="9" a="1"/>
  <c r="W90" i="9" a="1"/>
  <c r="W91" i="9" a="1"/>
  <c r="W92" i="9" a="1"/>
  <c r="W93" i="9" a="1"/>
  <c r="W94" i="9" a="1"/>
  <c r="W95" i="9" a="1"/>
  <c r="W96" i="9" a="1"/>
  <c r="W97" i="9" a="1"/>
  <c r="W98" i="9" a="1"/>
  <c r="W99" i="9" a="1"/>
  <c r="W100" i="9" a="1"/>
  <c r="W101" i="9" a="1"/>
  <c r="W102" i="9" a="1"/>
  <c r="W103" i="9" a="1"/>
  <c r="W104" i="9" a="1"/>
  <c r="W105" i="9" a="1"/>
  <c r="W106" i="9" a="1"/>
  <c r="W3" i="9" a="1"/>
  <c r="W4" i="8" a="1"/>
  <c r="W5" i="8" a="1"/>
  <c r="W6" i="8" a="1"/>
  <c r="W63" i="8" a="1"/>
  <c r="W64" i="8" a="1"/>
  <c r="W65" i="8" a="1"/>
  <c r="W66" i="8" a="1"/>
  <c r="W67" i="8" a="1"/>
  <c r="W68" i="8" a="1"/>
  <c r="W69" i="8" a="1"/>
  <c r="W70" i="8" a="1"/>
  <c r="W71" i="8" a="1"/>
  <c r="W72" i="8" a="1"/>
  <c r="W73" i="8" a="1"/>
  <c r="W74" i="8" a="1"/>
  <c r="W75" i="8" a="1"/>
  <c r="W76" i="8" a="1"/>
  <c r="W77" i="8" a="1"/>
  <c r="W78" i="8" a="1"/>
  <c r="W79" i="8" a="1"/>
  <c r="W80" i="8" a="1"/>
  <c r="W81" i="8" a="1"/>
  <c r="W82" i="8" a="1"/>
  <c r="W83" i="8" a="1"/>
  <c r="W84" i="8" a="1"/>
  <c r="W85" i="8" a="1"/>
  <c r="W86" i="8" a="1"/>
  <c r="W87" i="8" a="1"/>
  <c r="W88" i="8" a="1"/>
  <c r="W89" i="8" a="1"/>
  <c r="W90" i="8" a="1"/>
  <c r="W91" i="8" a="1"/>
  <c r="W92" i="8" a="1"/>
  <c r="W93" i="8" a="1"/>
  <c r="W94" i="8" a="1"/>
  <c r="W95" i="8" a="1"/>
  <c r="W96" i="8" a="1"/>
  <c r="W97" i="8" a="1"/>
  <c r="W98" i="8" a="1"/>
  <c r="W99" i="8" a="1"/>
  <c r="W100" i="8" a="1"/>
  <c r="W101" i="8" a="1"/>
  <c r="W102" i="8" a="1"/>
  <c r="W103" i="8" a="1"/>
  <c r="W104" i="8" a="1"/>
  <c r="W105" i="8" a="1"/>
  <c r="W106" i="8" a="1"/>
  <c r="W3" i="8" a="1"/>
  <c r="W4" i="6" a="1"/>
  <c r="W5" i="6" a="1"/>
  <c r="W6" i="6" a="1"/>
  <c r="O19" i="6"/>
  <c r="W63" i="6" a="1"/>
  <c r="W64" i="6" a="1"/>
  <c r="W65" i="6" a="1"/>
  <c r="W66" i="6" a="1"/>
  <c r="W67" i="6" a="1"/>
  <c r="W68" i="6" a="1"/>
  <c r="W69" i="6" a="1"/>
  <c r="W70" i="6" a="1"/>
  <c r="W71" i="6" a="1"/>
  <c r="W72" i="6" a="1"/>
  <c r="W73" i="6" a="1"/>
  <c r="W74" i="6" a="1"/>
  <c r="W75" i="6" a="1"/>
  <c r="W76" i="6" a="1"/>
  <c r="W77" i="6" a="1"/>
  <c r="W78" i="6" a="1"/>
  <c r="W79" i="6" a="1"/>
  <c r="W80" i="6" a="1"/>
  <c r="W81" i="6" a="1"/>
  <c r="W82" i="6" a="1"/>
  <c r="W83" i="6" a="1"/>
  <c r="W84" i="6" a="1"/>
  <c r="W85" i="6" a="1"/>
  <c r="W86" i="6" a="1"/>
  <c r="W87" i="6" a="1"/>
  <c r="W88" i="6" a="1"/>
  <c r="W89" i="6" a="1"/>
  <c r="W90" i="6" a="1"/>
  <c r="W91" i="6" a="1"/>
  <c r="W92" i="6" a="1"/>
  <c r="W93" i="6" a="1"/>
  <c r="W94" i="6" a="1"/>
  <c r="W95" i="6" a="1"/>
  <c r="W96" i="6" a="1"/>
  <c r="W97" i="6" a="1"/>
  <c r="W98" i="6" a="1"/>
  <c r="W99" i="6" a="1"/>
  <c r="W100" i="6" a="1"/>
  <c r="W101" i="6" a="1"/>
  <c r="W102" i="6" a="1"/>
  <c r="W103" i="6" a="1"/>
  <c r="W104" i="6" a="1"/>
  <c r="W105" i="6" a="1"/>
  <c r="W106" i="6" a="1"/>
  <c r="W3" i="6" a="1"/>
  <c r="W4" i="5" a="1"/>
  <c r="W5" i="5" a="1"/>
  <c r="W6" i="5" a="1"/>
  <c r="W63" i="5" a="1"/>
  <c r="W64" i="5" a="1"/>
  <c r="W65" i="5" a="1"/>
  <c r="W66" i="5" a="1"/>
  <c r="W67" i="5" a="1"/>
  <c r="W68" i="5" a="1"/>
  <c r="W69" i="5" a="1"/>
  <c r="W70" i="5" a="1"/>
  <c r="W71" i="5" a="1"/>
  <c r="W72" i="5" a="1"/>
  <c r="W73" i="5" a="1"/>
  <c r="W74" i="5" a="1"/>
  <c r="W75" i="5" a="1"/>
  <c r="W76" i="5" a="1"/>
  <c r="W77" i="5" a="1"/>
  <c r="W78" i="5" a="1"/>
  <c r="W79" i="5" a="1"/>
  <c r="W80" i="5" a="1"/>
  <c r="W81" i="5" a="1"/>
  <c r="W82" i="5" a="1"/>
  <c r="W83" i="5" a="1"/>
  <c r="W84" i="5" a="1"/>
  <c r="W85" i="5" a="1"/>
  <c r="W86" i="5" a="1"/>
  <c r="W87" i="5" a="1"/>
  <c r="W88" i="5" a="1"/>
  <c r="W89" i="5" a="1"/>
  <c r="W90" i="5" a="1"/>
  <c r="W91" i="5" a="1"/>
  <c r="W92" i="5" a="1"/>
  <c r="W93" i="5" a="1"/>
  <c r="W94" i="5" a="1"/>
  <c r="W95" i="5" a="1"/>
  <c r="W96" i="5" a="1"/>
  <c r="W97" i="5" a="1"/>
  <c r="W98" i="5" a="1"/>
  <c r="W99" i="5" a="1"/>
  <c r="W100" i="5" a="1"/>
  <c r="W101" i="5" a="1"/>
  <c r="W102" i="5" a="1"/>
  <c r="W103" i="5" a="1"/>
  <c r="W104" i="5" a="1"/>
  <c r="W105" i="5" a="1"/>
  <c r="W106" i="5" a="1"/>
  <c r="W3" i="5" a="1"/>
  <c r="H3" i="3"/>
  <c r="G3" i="3"/>
  <c r="F3" i="3"/>
  <c r="C3" i="3"/>
  <c r="O106" i="10"/>
  <c r="F106" i="10"/>
  <c r="E106" i="10"/>
  <c r="D106" i="10"/>
  <c r="C106" i="10"/>
  <c r="B106" i="10"/>
  <c r="A106" i="10"/>
  <c r="O105" i="10"/>
  <c r="F105" i="10"/>
  <c r="E105" i="10"/>
  <c r="D105" i="10"/>
  <c r="C105" i="10"/>
  <c r="B105" i="10"/>
  <c r="A105" i="10"/>
  <c r="O104" i="10"/>
  <c r="F104" i="10"/>
  <c r="E104" i="10"/>
  <c r="D104" i="10"/>
  <c r="C104" i="10"/>
  <c r="B104" i="10"/>
  <c r="A104" i="10"/>
  <c r="O103" i="10"/>
  <c r="F103" i="10"/>
  <c r="E103" i="10"/>
  <c r="D103" i="10"/>
  <c r="C103" i="10"/>
  <c r="B103" i="10"/>
  <c r="A103" i="10"/>
  <c r="O102" i="10"/>
  <c r="F102" i="10"/>
  <c r="E102" i="10"/>
  <c r="D102" i="10"/>
  <c r="C102" i="10"/>
  <c r="B102" i="10"/>
  <c r="A102" i="10"/>
  <c r="O101" i="10"/>
  <c r="F101" i="10"/>
  <c r="E101" i="10"/>
  <c r="D101" i="10"/>
  <c r="C101" i="10"/>
  <c r="B101" i="10"/>
  <c r="A101" i="10"/>
  <c r="O100" i="10"/>
  <c r="F100" i="10"/>
  <c r="E100" i="10"/>
  <c r="D100" i="10"/>
  <c r="C100" i="10"/>
  <c r="B100" i="10"/>
  <c r="A100" i="10"/>
  <c r="O99" i="10"/>
  <c r="F99" i="10"/>
  <c r="E99" i="10"/>
  <c r="D99" i="10"/>
  <c r="C99" i="10"/>
  <c r="B99" i="10"/>
  <c r="A99" i="10"/>
  <c r="O98" i="10"/>
  <c r="F98" i="10"/>
  <c r="E98" i="10"/>
  <c r="D98" i="10"/>
  <c r="C98" i="10"/>
  <c r="B98" i="10"/>
  <c r="A98" i="10"/>
  <c r="O97" i="10"/>
  <c r="F97" i="10"/>
  <c r="E97" i="10"/>
  <c r="D97" i="10"/>
  <c r="C97" i="10"/>
  <c r="B97" i="10"/>
  <c r="A97" i="10"/>
  <c r="O96" i="10"/>
  <c r="F96" i="10"/>
  <c r="E96" i="10"/>
  <c r="D96" i="10"/>
  <c r="C96" i="10"/>
  <c r="B96" i="10"/>
  <c r="A96" i="10"/>
  <c r="O95" i="10"/>
  <c r="F95" i="10"/>
  <c r="E95" i="10"/>
  <c r="D95" i="10"/>
  <c r="C95" i="10"/>
  <c r="B95" i="10"/>
  <c r="A95" i="10"/>
  <c r="O94" i="10"/>
  <c r="F94" i="10"/>
  <c r="E94" i="10"/>
  <c r="D94" i="10"/>
  <c r="C94" i="10"/>
  <c r="B94" i="10"/>
  <c r="A94" i="10"/>
  <c r="O93" i="10"/>
  <c r="F93" i="10"/>
  <c r="E93" i="10"/>
  <c r="D93" i="10"/>
  <c r="C93" i="10"/>
  <c r="B93" i="10"/>
  <c r="A93" i="10"/>
  <c r="O92" i="10"/>
  <c r="F92" i="10"/>
  <c r="E92" i="10"/>
  <c r="D92" i="10"/>
  <c r="C92" i="10"/>
  <c r="B92" i="10"/>
  <c r="A92" i="10"/>
  <c r="O91" i="10"/>
  <c r="F91" i="10"/>
  <c r="E91" i="10"/>
  <c r="D91" i="10"/>
  <c r="C91" i="10"/>
  <c r="B91" i="10"/>
  <c r="A91" i="10"/>
  <c r="O90" i="10"/>
  <c r="F90" i="10"/>
  <c r="E90" i="10"/>
  <c r="D90" i="10"/>
  <c r="C90" i="10"/>
  <c r="B90" i="10"/>
  <c r="A90" i="10"/>
  <c r="O89" i="10"/>
  <c r="F89" i="10"/>
  <c r="E89" i="10"/>
  <c r="D89" i="10"/>
  <c r="C89" i="10"/>
  <c r="B89" i="10"/>
  <c r="A89" i="10"/>
  <c r="O88" i="10"/>
  <c r="F88" i="10"/>
  <c r="E88" i="10"/>
  <c r="D88" i="10"/>
  <c r="C88" i="10"/>
  <c r="B88" i="10"/>
  <c r="A88" i="10"/>
  <c r="O87" i="10"/>
  <c r="F87" i="10"/>
  <c r="E87" i="10"/>
  <c r="D87" i="10"/>
  <c r="C87" i="10"/>
  <c r="B87" i="10"/>
  <c r="A87" i="10"/>
  <c r="O86" i="10"/>
  <c r="F86" i="10"/>
  <c r="E86" i="10"/>
  <c r="D86" i="10"/>
  <c r="C86" i="10"/>
  <c r="B86" i="10"/>
  <c r="A86" i="10"/>
  <c r="O85" i="10"/>
  <c r="F85" i="10"/>
  <c r="E85" i="10"/>
  <c r="D85" i="10"/>
  <c r="C85" i="10"/>
  <c r="B85" i="10"/>
  <c r="A85" i="10"/>
  <c r="O84" i="10"/>
  <c r="F84" i="10"/>
  <c r="E84" i="10"/>
  <c r="D84" i="10"/>
  <c r="C84" i="10"/>
  <c r="B84" i="10"/>
  <c r="A84" i="10"/>
  <c r="O83" i="10"/>
  <c r="F83" i="10"/>
  <c r="E83" i="10"/>
  <c r="D83" i="10"/>
  <c r="C83" i="10"/>
  <c r="B83" i="10"/>
  <c r="A83" i="10"/>
  <c r="O82" i="10"/>
  <c r="F82" i="10"/>
  <c r="E82" i="10"/>
  <c r="D82" i="10"/>
  <c r="C82" i="10"/>
  <c r="B82" i="10"/>
  <c r="A82" i="10"/>
  <c r="O81" i="10"/>
  <c r="F81" i="10"/>
  <c r="E81" i="10"/>
  <c r="D81" i="10"/>
  <c r="C81" i="10"/>
  <c r="B81" i="10"/>
  <c r="A81" i="10"/>
  <c r="O80" i="10"/>
  <c r="F80" i="10"/>
  <c r="E80" i="10"/>
  <c r="D80" i="10"/>
  <c r="C80" i="10"/>
  <c r="B80" i="10"/>
  <c r="A80" i="10"/>
  <c r="O79" i="10"/>
  <c r="F79" i="10"/>
  <c r="E79" i="10"/>
  <c r="D79" i="10"/>
  <c r="C79" i="10"/>
  <c r="B79" i="10"/>
  <c r="A79" i="10"/>
  <c r="O78" i="10"/>
  <c r="F78" i="10"/>
  <c r="E78" i="10"/>
  <c r="D78" i="10"/>
  <c r="C78" i="10"/>
  <c r="B78" i="10"/>
  <c r="A78" i="10"/>
  <c r="O77" i="10"/>
  <c r="F77" i="10"/>
  <c r="E77" i="10"/>
  <c r="D77" i="10"/>
  <c r="C77" i="10"/>
  <c r="B77" i="10"/>
  <c r="A77" i="10"/>
  <c r="O76" i="10"/>
  <c r="F76" i="10"/>
  <c r="E76" i="10"/>
  <c r="D76" i="10"/>
  <c r="C76" i="10"/>
  <c r="B76" i="10"/>
  <c r="A76" i="10"/>
  <c r="O75" i="10"/>
  <c r="F75" i="10"/>
  <c r="E75" i="10"/>
  <c r="D75" i="10"/>
  <c r="C75" i="10"/>
  <c r="B75" i="10"/>
  <c r="A75" i="10"/>
  <c r="O74" i="10"/>
  <c r="F74" i="10"/>
  <c r="E74" i="10"/>
  <c r="D74" i="10"/>
  <c r="C74" i="10"/>
  <c r="B74" i="10"/>
  <c r="A74" i="10"/>
  <c r="O73" i="10"/>
  <c r="F73" i="10"/>
  <c r="E73" i="10"/>
  <c r="D73" i="10"/>
  <c r="C73" i="10"/>
  <c r="B73" i="10"/>
  <c r="A73" i="10"/>
  <c r="O72" i="10"/>
  <c r="F72" i="10"/>
  <c r="E72" i="10"/>
  <c r="D72" i="10"/>
  <c r="C72" i="10"/>
  <c r="B72" i="10"/>
  <c r="A72" i="10"/>
  <c r="O71" i="10"/>
  <c r="F71" i="10"/>
  <c r="E71" i="10"/>
  <c r="D71" i="10"/>
  <c r="C71" i="10"/>
  <c r="B71" i="10"/>
  <c r="A71" i="10"/>
  <c r="O70" i="10"/>
  <c r="F70" i="10"/>
  <c r="E70" i="10"/>
  <c r="D70" i="10"/>
  <c r="C70" i="10"/>
  <c r="B70" i="10"/>
  <c r="A70" i="10"/>
  <c r="O69" i="10"/>
  <c r="F69" i="10"/>
  <c r="E69" i="10"/>
  <c r="D69" i="10"/>
  <c r="C69" i="10"/>
  <c r="B69" i="10"/>
  <c r="A69" i="10"/>
  <c r="O68" i="10"/>
  <c r="F68" i="10"/>
  <c r="E68" i="10"/>
  <c r="D68" i="10"/>
  <c r="C68" i="10"/>
  <c r="B68" i="10"/>
  <c r="A68" i="10"/>
  <c r="O67" i="10"/>
  <c r="F67" i="10"/>
  <c r="E67" i="10"/>
  <c r="D67" i="10"/>
  <c r="C67" i="10"/>
  <c r="B67" i="10"/>
  <c r="A67" i="10"/>
  <c r="O66" i="10"/>
  <c r="F66" i="10"/>
  <c r="E66" i="10"/>
  <c r="D66" i="10"/>
  <c r="C66" i="10"/>
  <c r="B66" i="10"/>
  <c r="A66" i="10"/>
  <c r="O65" i="10"/>
  <c r="F65" i="10"/>
  <c r="E65" i="10"/>
  <c r="D65" i="10"/>
  <c r="C65" i="10"/>
  <c r="B65" i="10"/>
  <c r="A65" i="10"/>
  <c r="O64" i="10"/>
  <c r="F64" i="10"/>
  <c r="E64" i="10"/>
  <c r="D64" i="10"/>
  <c r="C64" i="10"/>
  <c r="B64" i="10"/>
  <c r="A64" i="10"/>
  <c r="O63" i="10"/>
  <c r="F63" i="10"/>
  <c r="E63" i="10"/>
  <c r="D63" i="10"/>
  <c r="C63" i="10"/>
  <c r="B63" i="10"/>
  <c r="A63" i="10"/>
  <c r="O62" i="10"/>
  <c r="F62" i="10"/>
  <c r="E62" i="10"/>
  <c r="D62" i="10"/>
  <c r="C62" i="10"/>
  <c r="B62" i="10"/>
  <c r="A62" i="10"/>
  <c r="O61" i="10"/>
  <c r="F61" i="10"/>
  <c r="E61" i="10"/>
  <c r="D61" i="10"/>
  <c r="C61" i="10"/>
  <c r="B61" i="10"/>
  <c r="A61" i="10"/>
  <c r="O60" i="10"/>
  <c r="F60" i="10"/>
  <c r="E60" i="10"/>
  <c r="D60" i="10"/>
  <c r="C60" i="10"/>
  <c r="B60" i="10"/>
  <c r="A60" i="10"/>
  <c r="O59" i="10"/>
  <c r="F59" i="10"/>
  <c r="E59" i="10"/>
  <c r="D59" i="10"/>
  <c r="C59" i="10"/>
  <c r="B59" i="10"/>
  <c r="A59" i="10"/>
  <c r="O58" i="10"/>
  <c r="F58" i="10"/>
  <c r="E58" i="10"/>
  <c r="D58" i="10"/>
  <c r="C58" i="10"/>
  <c r="B58" i="10"/>
  <c r="A58" i="10"/>
  <c r="O57" i="10"/>
  <c r="F57" i="10"/>
  <c r="E57" i="10"/>
  <c r="D57" i="10"/>
  <c r="C57" i="10"/>
  <c r="B57" i="10"/>
  <c r="A57" i="10"/>
  <c r="O56" i="10"/>
  <c r="F56" i="10"/>
  <c r="E56" i="10"/>
  <c r="D56" i="10"/>
  <c r="C56" i="10"/>
  <c r="B56" i="10"/>
  <c r="A56" i="10"/>
  <c r="O55" i="10"/>
  <c r="F55" i="10"/>
  <c r="E55" i="10"/>
  <c r="D55" i="10"/>
  <c r="C55" i="10"/>
  <c r="B55" i="10"/>
  <c r="A55" i="10"/>
  <c r="O54" i="10"/>
  <c r="F54" i="10"/>
  <c r="E54" i="10"/>
  <c r="D54" i="10"/>
  <c r="C54" i="10"/>
  <c r="B54" i="10"/>
  <c r="A54" i="10"/>
  <c r="O53" i="10"/>
  <c r="F53" i="10"/>
  <c r="E53" i="10"/>
  <c r="D53" i="10"/>
  <c r="C53" i="10"/>
  <c r="B53" i="10"/>
  <c r="A53" i="10"/>
  <c r="O52" i="10"/>
  <c r="F52" i="10"/>
  <c r="E52" i="10"/>
  <c r="D52" i="10"/>
  <c r="C52" i="10"/>
  <c r="B52" i="10"/>
  <c r="A52" i="10"/>
  <c r="O51" i="10"/>
  <c r="F51" i="10"/>
  <c r="E51" i="10"/>
  <c r="D51" i="10"/>
  <c r="C51" i="10"/>
  <c r="B51" i="10"/>
  <c r="A51" i="10"/>
  <c r="O50" i="10"/>
  <c r="F50" i="10"/>
  <c r="E50" i="10"/>
  <c r="D50" i="10"/>
  <c r="C50" i="10"/>
  <c r="B50" i="10"/>
  <c r="A50" i="10"/>
  <c r="O49" i="10"/>
  <c r="F49" i="10"/>
  <c r="E49" i="10"/>
  <c r="D49" i="10"/>
  <c r="C49" i="10"/>
  <c r="B49" i="10"/>
  <c r="A49" i="10"/>
  <c r="O48" i="10"/>
  <c r="F48" i="10"/>
  <c r="E48" i="10"/>
  <c r="D48" i="10"/>
  <c r="C48" i="10"/>
  <c r="B48" i="10"/>
  <c r="A48" i="10"/>
  <c r="O47" i="10"/>
  <c r="F47" i="10"/>
  <c r="E47" i="10"/>
  <c r="D47" i="10"/>
  <c r="C47" i="10"/>
  <c r="B47" i="10"/>
  <c r="A47" i="10"/>
  <c r="O46" i="10"/>
  <c r="F46" i="10"/>
  <c r="E46" i="10"/>
  <c r="D46" i="10"/>
  <c r="C46" i="10"/>
  <c r="B46" i="10"/>
  <c r="A46" i="10"/>
  <c r="O45" i="10"/>
  <c r="F45" i="10"/>
  <c r="E45" i="10"/>
  <c r="D45" i="10"/>
  <c r="C45" i="10"/>
  <c r="B45" i="10"/>
  <c r="A45" i="10"/>
  <c r="O44" i="10"/>
  <c r="F44" i="10"/>
  <c r="E44" i="10"/>
  <c r="D44" i="10"/>
  <c r="C44" i="10"/>
  <c r="B44" i="10"/>
  <c r="A44" i="10"/>
  <c r="O43" i="10"/>
  <c r="F43" i="10"/>
  <c r="E43" i="10"/>
  <c r="D43" i="10"/>
  <c r="C43" i="10"/>
  <c r="B43" i="10"/>
  <c r="A43" i="10"/>
  <c r="O42" i="10"/>
  <c r="L42" i="10"/>
  <c r="J42" i="10"/>
  <c r="I42" i="10"/>
  <c r="F42" i="10"/>
  <c r="E42" i="10"/>
  <c r="D42" i="10"/>
  <c r="C42" i="10"/>
  <c r="B42" i="10"/>
  <c r="A42" i="10"/>
  <c r="O41" i="10"/>
  <c r="F41" i="10"/>
  <c r="E41" i="10"/>
  <c r="D41" i="10"/>
  <c r="C41" i="10"/>
  <c r="B41" i="10"/>
  <c r="A41" i="10"/>
  <c r="O40" i="10"/>
  <c r="F40" i="10"/>
  <c r="E40" i="10"/>
  <c r="D40" i="10"/>
  <c r="C40" i="10"/>
  <c r="B40" i="10"/>
  <c r="A40" i="10"/>
  <c r="O39" i="10"/>
  <c r="F39" i="10"/>
  <c r="E39" i="10"/>
  <c r="D39" i="10"/>
  <c r="C39" i="10"/>
  <c r="B39" i="10"/>
  <c r="A39" i="10"/>
  <c r="O38" i="10"/>
  <c r="F38" i="10"/>
  <c r="E38" i="10"/>
  <c r="D38" i="10"/>
  <c r="C38" i="10"/>
  <c r="B38" i="10"/>
  <c r="A38" i="10"/>
  <c r="O37" i="10"/>
  <c r="F37" i="10"/>
  <c r="E37" i="10"/>
  <c r="D37" i="10"/>
  <c r="C37" i="10"/>
  <c r="B37" i="10"/>
  <c r="A37" i="10"/>
  <c r="O36" i="10"/>
  <c r="F36" i="10"/>
  <c r="E36" i="10"/>
  <c r="D36" i="10"/>
  <c r="C36" i="10"/>
  <c r="B36" i="10"/>
  <c r="A36" i="10"/>
  <c r="O35" i="10"/>
  <c r="F35" i="10"/>
  <c r="E35" i="10"/>
  <c r="D35" i="10"/>
  <c r="C35" i="10"/>
  <c r="B35" i="10"/>
  <c r="A35" i="10"/>
  <c r="O34" i="10"/>
  <c r="F34" i="10"/>
  <c r="E34" i="10"/>
  <c r="D34" i="10"/>
  <c r="C34" i="10"/>
  <c r="B34" i="10"/>
  <c r="A34" i="10"/>
  <c r="O33" i="10"/>
  <c r="F33" i="10"/>
  <c r="E33" i="10"/>
  <c r="D33" i="10"/>
  <c r="C33" i="10"/>
  <c r="B33" i="10"/>
  <c r="A33" i="10"/>
  <c r="O32" i="10"/>
  <c r="F32" i="10"/>
  <c r="E32" i="10"/>
  <c r="D32" i="10"/>
  <c r="C32" i="10"/>
  <c r="B32" i="10"/>
  <c r="A32" i="10"/>
  <c r="O31" i="10"/>
  <c r="F31" i="10"/>
  <c r="E31" i="10"/>
  <c r="D31" i="10"/>
  <c r="C31" i="10"/>
  <c r="B31" i="10"/>
  <c r="A31" i="10"/>
  <c r="O30" i="10"/>
  <c r="F30" i="10"/>
  <c r="E30" i="10"/>
  <c r="D30" i="10"/>
  <c r="C30" i="10"/>
  <c r="B30" i="10"/>
  <c r="A30" i="10"/>
  <c r="O29" i="10"/>
  <c r="F29" i="10"/>
  <c r="E29" i="10"/>
  <c r="D29" i="10"/>
  <c r="C29" i="10"/>
  <c r="B29" i="10"/>
  <c r="A29" i="10"/>
  <c r="O28" i="10"/>
  <c r="F28" i="10"/>
  <c r="E28" i="10"/>
  <c r="D28" i="10"/>
  <c r="C28" i="10"/>
  <c r="B28" i="10"/>
  <c r="A28" i="10"/>
  <c r="O27" i="10"/>
  <c r="F27" i="10"/>
  <c r="E27" i="10"/>
  <c r="D27" i="10"/>
  <c r="C27" i="10"/>
  <c r="B27" i="10"/>
  <c r="A27" i="10"/>
  <c r="O26" i="10"/>
  <c r="F26" i="10"/>
  <c r="E26" i="10"/>
  <c r="D26" i="10"/>
  <c r="C26" i="10"/>
  <c r="B26" i="10"/>
  <c r="A26" i="10"/>
  <c r="O25" i="10"/>
  <c r="F25" i="10"/>
  <c r="E25" i="10"/>
  <c r="D25" i="10"/>
  <c r="C25" i="10"/>
  <c r="B25" i="10"/>
  <c r="A25" i="10"/>
  <c r="O24" i="10"/>
  <c r="F24" i="10"/>
  <c r="E24" i="10"/>
  <c r="D24" i="10"/>
  <c r="C24" i="10"/>
  <c r="B24" i="10"/>
  <c r="A24" i="10"/>
  <c r="O23" i="10"/>
  <c r="F23" i="10"/>
  <c r="E23" i="10"/>
  <c r="D23" i="10"/>
  <c r="C23" i="10"/>
  <c r="B23" i="10"/>
  <c r="A23" i="10"/>
  <c r="O22" i="10"/>
  <c r="F22" i="10"/>
  <c r="E22" i="10"/>
  <c r="D22" i="10"/>
  <c r="C22" i="10"/>
  <c r="B22" i="10"/>
  <c r="A22" i="10"/>
  <c r="O21" i="10"/>
  <c r="F21" i="10"/>
  <c r="E21" i="10"/>
  <c r="D21" i="10"/>
  <c r="C21" i="10"/>
  <c r="B21" i="10"/>
  <c r="A21" i="10"/>
  <c r="O20" i="10"/>
  <c r="F20" i="10"/>
  <c r="E20" i="10"/>
  <c r="D20" i="10"/>
  <c r="C20" i="10"/>
  <c r="B20" i="10"/>
  <c r="A20" i="10"/>
  <c r="O19" i="10"/>
  <c r="F19" i="10"/>
  <c r="E19" i="10"/>
  <c r="D19" i="10"/>
  <c r="C19" i="10"/>
  <c r="B19" i="10"/>
  <c r="A19" i="10"/>
  <c r="O18" i="10"/>
  <c r="F18" i="10"/>
  <c r="E18" i="10"/>
  <c r="D18" i="10"/>
  <c r="C18" i="10"/>
  <c r="B18" i="10"/>
  <c r="A18" i="10"/>
  <c r="O17" i="10"/>
  <c r="F17" i="10"/>
  <c r="E17" i="10"/>
  <c r="D17" i="10"/>
  <c r="C17" i="10"/>
  <c r="B17" i="10"/>
  <c r="A17" i="10"/>
  <c r="O16" i="10"/>
  <c r="F16" i="10"/>
  <c r="E16" i="10"/>
  <c r="D16" i="10"/>
  <c r="C16" i="10"/>
  <c r="B16" i="10"/>
  <c r="A16" i="10"/>
  <c r="O15" i="10"/>
  <c r="F15" i="10"/>
  <c r="E15" i="10"/>
  <c r="D15" i="10"/>
  <c r="C15" i="10"/>
  <c r="B15" i="10"/>
  <c r="A15" i="10"/>
  <c r="O14" i="10"/>
  <c r="F14" i="10"/>
  <c r="E14" i="10"/>
  <c r="D14" i="10"/>
  <c r="C14" i="10"/>
  <c r="B14" i="10"/>
  <c r="A14" i="10"/>
  <c r="O13" i="10"/>
  <c r="F13" i="10"/>
  <c r="E13" i="10"/>
  <c r="D13" i="10"/>
  <c r="C13" i="10"/>
  <c r="B13" i="10"/>
  <c r="A13" i="10"/>
  <c r="O12" i="10"/>
  <c r="F12" i="10"/>
  <c r="E12" i="10"/>
  <c r="D12" i="10"/>
  <c r="C12" i="10"/>
  <c r="B12" i="10"/>
  <c r="A12" i="10"/>
  <c r="O11" i="10"/>
  <c r="F11" i="10"/>
  <c r="E11" i="10"/>
  <c r="D11" i="10"/>
  <c r="C11" i="10"/>
  <c r="B11" i="10"/>
  <c r="A11" i="10"/>
  <c r="O10" i="10"/>
  <c r="F10" i="10"/>
  <c r="E10" i="10"/>
  <c r="D10" i="10"/>
  <c r="C10" i="10"/>
  <c r="B10" i="10"/>
  <c r="A10" i="10"/>
  <c r="O9" i="10"/>
  <c r="F9" i="10"/>
  <c r="E9" i="10"/>
  <c r="D9" i="10"/>
  <c r="C9" i="10"/>
  <c r="B9" i="10"/>
  <c r="A9" i="10"/>
  <c r="O8" i="10"/>
  <c r="F8" i="10"/>
  <c r="E8" i="10"/>
  <c r="D8" i="10"/>
  <c r="C8" i="10"/>
  <c r="B8" i="10"/>
  <c r="A8" i="10"/>
  <c r="O7" i="10"/>
  <c r="F7" i="10"/>
  <c r="E7" i="10"/>
  <c r="D7" i="10"/>
  <c r="C7" i="10"/>
  <c r="B7" i="10"/>
  <c r="A7" i="10"/>
  <c r="O6" i="10"/>
  <c r="F6" i="10"/>
  <c r="E6" i="10"/>
  <c r="D6" i="10"/>
  <c r="C6" i="10"/>
  <c r="B6" i="10"/>
  <c r="A6" i="10"/>
  <c r="O5" i="10"/>
  <c r="F5" i="10"/>
  <c r="E5" i="10"/>
  <c r="D5" i="10"/>
  <c r="C5" i="10"/>
  <c r="B5" i="10"/>
  <c r="A5" i="10"/>
  <c r="O4" i="10"/>
  <c r="F4" i="10"/>
  <c r="E4" i="10"/>
  <c r="D4" i="10"/>
  <c r="C4" i="10"/>
  <c r="B4" i="10"/>
  <c r="A4" i="10"/>
  <c r="O3" i="10"/>
  <c r="F3" i="10"/>
  <c r="E3" i="10"/>
  <c r="D3" i="10"/>
  <c r="C3" i="10"/>
  <c r="B3" i="10"/>
  <c r="A3" i="10"/>
  <c r="G2" i="10"/>
  <c r="F2" i="10"/>
  <c r="E2" i="10"/>
  <c r="D2" i="10"/>
  <c r="C2" i="10"/>
  <c r="B2" i="10"/>
  <c r="A2" i="10"/>
  <c r="A1" i="10"/>
  <c r="O106" i="9"/>
  <c r="F106" i="9"/>
  <c r="E106" i="9"/>
  <c r="D106" i="9"/>
  <c r="C106" i="9"/>
  <c r="B106" i="9"/>
  <c r="A106" i="9"/>
  <c r="O105" i="9"/>
  <c r="F105" i="9"/>
  <c r="E105" i="9"/>
  <c r="D105" i="9"/>
  <c r="C105" i="9"/>
  <c r="B105" i="9"/>
  <c r="A105" i="9"/>
  <c r="O104" i="9"/>
  <c r="F104" i="9"/>
  <c r="E104" i="9"/>
  <c r="D104" i="9"/>
  <c r="C104" i="9"/>
  <c r="B104" i="9"/>
  <c r="A104" i="9"/>
  <c r="O103" i="9"/>
  <c r="F103" i="9"/>
  <c r="E103" i="9"/>
  <c r="D103" i="9"/>
  <c r="C103" i="9"/>
  <c r="B103" i="9"/>
  <c r="A103" i="9"/>
  <c r="O102" i="9"/>
  <c r="F102" i="9"/>
  <c r="E102" i="9"/>
  <c r="D102" i="9"/>
  <c r="C102" i="9"/>
  <c r="B102" i="9"/>
  <c r="A102" i="9"/>
  <c r="O101" i="9"/>
  <c r="F101" i="9"/>
  <c r="E101" i="9"/>
  <c r="D101" i="9"/>
  <c r="C101" i="9"/>
  <c r="B101" i="9"/>
  <c r="A101" i="9"/>
  <c r="O100" i="9"/>
  <c r="F100" i="9"/>
  <c r="E100" i="9"/>
  <c r="D100" i="9"/>
  <c r="C100" i="9"/>
  <c r="B100" i="9"/>
  <c r="A100" i="9"/>
  <c r="O99" i="9"/>
  <c r="F99" i="9"/>
  <c r="E99" i="9"/>
  <c r="D99" i="9"/>
  <c r="C99" i="9"/>
  <c r="B99" i="9"/>
  <c r="A99" i="9"/>
  <c r="O98" i="9"/>
  <c r="F98" i="9"/>
  <c r="E98" i="9"/>
  <c r="D98" i="9"/>
  <c r="C98" i="9"/>
  <c r="B98" i="9"/>
  <c r="A98" i="9"/>
  <c r="O97" i="9"/>
  <c r="F97" i="9"/>
  <c r="E97" i="9"/>
  <c r="D97" i="9"/>
  <c r="C97" i="9"/>
  <c r="B97" i="9"/>
  <c r="A97" i="9"/>
  <c r="O96" i="9"/>
  <c r="F96" i="9"/>
  <c r="E96" i="9"/>
  <c r="D96" i="9"/>
  <c r="C96" i="9"/>
  <c r="B96" i="9"/>
  <c r="A96" i="9"/>
  <c r="O95" i="9"/>
  <c r="F95" i="9"/>
  <c r="E95" i="9"/>
  <c r="D95" i="9"/>
  <c r="C95" i="9"/>
  <c r="B95" i="9"/>
  <c r="A95" i="9"/>
  <c r="O94" i="9"/>
  <c r="F94" i="9"/>
  <c r="E94" i="9"/>
  <c r="D94" i="9"/>
  <c r="C94" i="9"/>
  <c r="B94" i="9"/>
  <c r="A94" i="9"/>
  <c r="O93" i="9"/>
  <c r="F93" i="9"/>
  <c r="E93" i="9"/>
  <c r="D93" i="9"/>
  <c r="C93" i="9"/>
  <c r="B93" i="9"/>
  <c r="A93" i="9"/>
  <c r="O92" i="9"/>
  <c r="F92" i="9"/>
  <c r="E92" i="9"/>
  <c r="D92" i="9"/>
  <c r="C92" i="9"/>
  <c r="B92" i="9"/>
  <c r="A92" i="9"/>
  <c r="O91" i="9"/>
  <c r="F91" i="9"/>
  <c r="E91" i="9"/>
  <c r="D91" i="9"/>
  <c r="C91" i="9"/>
  <c r="B91" i="9"/>
  <c r="A91" i="9"/>
  <c r="O90" i="9"/>
  <c r="F90" i="9"/>
  <c r="E90" i="9"/>
  <c r="D90" i="9"/>
  <c r="C90" i="9"/>
  <c r="B90" i="9"/>
  <c r="A90" i="9"/>
  <c r="O89" i="9"/>
  <c r="F89" i="9"/>
  <c r="E89" i="9"/>
  <c r="D89" i="9"/>
  <c r="C89" i="9"/>
  <c r="B89" i="9"/>
  <c r="A89" i="9"/>
  <c r="O88" i="9"/>
  <c r="F88" i="9"/>
  <c r="E88" i="9"/>
  <c r="D88" i="9"/>
  <c r="C88" i="9"/>
  <c r="B88" i="9"/>
  <c r="A88" i="9"/>
  <c r="O87" i="9"/>
  <c r="F87" i="9"/>
  <c r="E87" i="9"/>
  <c r="D87" i="9"/>
  <c r="C87" i="9"/>
  <c r="B87" i="9"/>
  <c r="A87" i="9"/>
  <c r="O86" i="9"/>
  <c r="F86" i="9"/>
  <c r="E86" i="9"/>
  <c r="D86" i="9"/>
  <c r="C86" i="9"/>
  <c r="B86" i="9"/>
  <c r="A86" i="9"/>
  <c r="O85" i="9"/>
  <c r="F85" i="9"/>
  <c r="E85" i="9"/>
  <c r="D85" i="9"/>
  <c r="C85" i="9"/>
  <c r="B85" i="9"/>
  <c r="A85" i="9"/>
  <c r="O84" i="9"/>
  <c r="F84" i="9"/>
  <c r="E84" i="9"/>
  <c r="D84" i="9"/>
  <c r="C84" i="9"/>
  <c r="B84" i="9"/>
  <c r="A84" i="9"/>
  <c r="O83" i="9"/>
  <c r="F83" i="9"/>
  <c r="E83" i="9"/>
  <c r="D83" i="9"/>
  <c r="C83" i="9"/>
  <c r="B83" i="9"/>
  <c r="A83" i="9"/>
  <c r="O82" i="9"/>
  <c r="J82" i="9"/>
  <c r="I82" i="9"/>
  <c r="F82" i="9"/>
  <c r="E82" i="9"/>
  <c r="D82" i="9"/>
  <c r="C82" i="9"/>
  <c r="B82" i="9"/>
  <c r="A82" i="9"/>
  <c r="O81" i="9"/>
  <c r="F81" i="9"/>
  <c r="E81" i="9"/>
  <c r="D81" i="9"/>
  <c r="C81" i="9"/>
  <c r="B81" i="9"/>
  <c r="A81" i="9"/>
  <c r="O80" i="9"/>
  <c r="F80" i="9"/>
  <c r="E80" i="9"/>
  <c r="D80" i="9"/>
  <c r="C80" i="9"/>
  <c r="B80" i="9"/>
  <c r="A80" i="9"/>
  <c r="O79" i="9"/>
  <c r="F79" i="9"/>
  <c r="E79" i="9"/>
  <c r="D79" i="9"/>
  <c r="C79" i="9"/>
  <c r="B79" i="9"/>
  <c r="A79" i="9"/>
  <c r="O78" i="9"/>
  <c r="F78" i="9"/>
  <c r="E78" i="9"/>
  <c r="D78" i="9"/>
  <c r="C78" i="9"/>
  <c r="B78" i="9"/>
  <c r="A78" i="9"/>
  <c r="O77" i="9"/>
  <c r="F77" i="9"/>
  <c r="E77" i="9"/>
  <c r="D77" i="9"/>
  <c r="C77" i="9"/>
  <c r="B77" i="9"/>
  <c r="A77" i="9"/>
  <c r="O76" i="9"/>
  <c r="F76" i="9"/>
  <c r="E76" i="9"/>
  <c r="D76" i="9"/>
  <c r="C76" i="9"/>
  <c r="B76" i="9"/>
  <c r="A76" i="9"/>
  <c r="O75" i="9"/>
  <c r="F75" i="9"/>
  <c r="E75" i="9"/>
  <c r="D75" i="9"/>
  <c r="C75" i="9"/>
  <c r="B75" i="9"/>
  <c r="A75" i="9"/>
  <c r="O74" i="9"/>
  <c r="F74" i="9"/>
  <c r="E74" i="9"/>
  <c r="D74" i="9"/>
  <c r="C74" i="9"/>
  <c r="B74" i="9"/>
  <c r="A74" i="9"/>
  <c r="O73" i="9"/>
  <c r="F73" i="9"/>
  <c r="E73" i="9"/>
  <c r="D73" i="9"/>
  <c r="C73" i="9"/>
  <c r="B73" i="9"/>
  <c r="A73" i="9"/>
  <c r="O72" i="9"/>
  <c r="F72" i="9"/>
  <c r="E72" i="9"/>
  <c r="D72" i="9"/>
  <c r="C72" i="9"/>
  <c r="B72" i="9"/>
  <c r="A72" i="9"/>
  <c r="O71" i="9"/>
  <c r="F71" i="9"/>
  <c r="E71" i="9"/>
  <c r="D71" i="9"/>
  <c r="C71" i="9"/>
  <c r="B71" i="9"/>
  <c r="A71" i="9"/>
  <c r="O70" i="9"/>
  <c r="F70" i="9"/>
  <c r="E70" i="9"/>
  <c r="D70" i="9"/>
  <c r="C70" i="9"/>
  <c r="B70" i="9"/>
  <c r="A70" i="9"/>
  <c r="O69" i="9"/>
  <c r="F69" i="9"/>
  <c r="E69" i="9"/>
  <c r="D69" i="9"/>
  <c r="C69" i="9"/>
  <c r="B69" i="9"/>
  <c r="A69" i="9"/>
  <c r="O68" i="9"/>
  <c r="F68" i="9"/>
  <c r="E68" i="9"/>
  <c r="D68" i="9"/>
  <c r="C68" i="9"/>
  <c r="B68" i="9"/>
  <c r="A68" i="9"/>
  <c r="O67" i="9"/>
  <c r="F67" i="9"/>
  <c r="E67" i="9"/>
  <c r="D67" i="9"/>
  <c r="C67" i="9"/>
  <c r="B67" i="9"/>
  <c r="A67" i="9"/>
  <c r="O66" i="9"/>
  <c r="F66" i="9"/>
  <c r="E66" i="9"/>
  <c r="D66" i="9"/>
  <c r="C66" i="9"/>
  <c r="B66" i="9"/>
  <c r="A66" i="9"/>
  <c r="O65" i="9"/>
  <c r="F65" i="9"/>
  <c r="E65" i="9"/>
  <c r="D65" i="9"/>
  <c r="C65" i="9"/>
  <c r="B65" i="9"/>
  <c r="A65" i="9"/>
  <c r="O64" i="9"/>
  <c r="F64" i="9"/>
  <c r="E64" i="9"/>
  <c r="D64" i="9"/>
  <c r="C64" i="9"/>
  <c r="B64" i="9"/>
  <c r="A64" i="9"/>
  <c r="O63" i="9"/>
  <c r="F63" i="9"/>
  <c r="E63" i="9"/>
  <c r="D63" i="9"/>
  <c r="C63" i="9"/>
  <c r="B63" i="9"/>
  <c r="A63" i="9"/>
  <c r="O62" i="9"/>
  <c r="F62" i="9"/>
  <c r="E62" i="9"/>
  <c r="D62" i="9"/>
  <c r="C62" i="9"/>
  <c r="B62" i="9"/>
  <c r="A62" i="9"/>
  <c r="O61" i="9"/>
  <c r="F61" i="9"/>
  <c r="E61" i="9"/>
  <c r="D61" i="9"/>
  <c r="C61" i="9"/>
  <c r="B61" i="9"/>
  <c r="A61" i="9"/>
  <c r="O60" i="9"/>
  <c r="F60" i="9"/>
  <c r="E60" i="9"/>
  <c r="D60" i="9"/>
  <c r="C60" i="9"/>
  <c r="B60" i="9"/>
  <c r="A60" i="9"/>
  <c r="O59" i="9"/>
  <c r="F59" i="9"/>
  <c r="E59" i="9"/>
  <c r="D59" i="9"/>
  <c r="C59" i="9"/>
  <c r="B59" i="9"/>
  <c r="A59" i="9"/>
  <c r="O58" i="9"/>
  <c r="F58" i="9"/>
  <c r="E58" i="9"/>
  <c r="D58" i="9"/>
  <c r="C58" i="9"/>
  <c r="B58" i="9"/>
  <c r="A58" i="9"/>
  <c r="O57" i="9"/>
  <c r="F57" i="9"/>
  <c r="E57" i="9"/>
  <c r="D57" i="9"/>
  <c r="C57" i="9"/>
  <c r="B57" i="9"/>
  <c r="A57" i="9"/>
  <c r="O56" i="9"/>
  <c r="F56" i="9"/>
  <c r="E56" i="9"/>
  <c r="C56" i="9"/>
  <c r="B56" i="9"/>
  <c r="A56" i="9"/>
  <c r="O55" i="9"/>
  <c r="F55" i="9"/>
  <c r="E55" i="9"/>
  <c r="C55" i="9"/>
  <c r="B55" i="9"/>
  <c r="A55" i="9"/>
  <c r="O54" i="9"/>
  <c r="F54" i="9"/>
  <c r="E54" i="9"/>
  <c r="C54" i="9"/>
  <c r="B54" i="9"/>
  <c r="A54" i="9"/>
  <c r="O53" i="9"/>
  <c r="F53" i="9"/>
  <c r="E53" i="9"/>
  <c r="C53" i="9"/>
  <c r="B53" i="9"/>
  <c r="A53" i="9"/>
  <c r="O52" i="9"/>
  <c r="F52" i="9"/>
  <c r="E52" i="9"/>
  <c r="C52" i="9"/>
  <c r="B52" i="9"/>
  <c r="A52" i="9"/>
  <c r="O51" i="9"/>
  <c r="F51" i="9"/>
  <c r="E51" i="9"/>
  <c r="C51" i="9"/>
  <c r="B51" i="9"/>
  <c r="A51" i="9"/>
  <c r="O50" i="9"/>
  <c r="F50" i="9"/>
  <c r="E50" i="9"/>
  <c r="D50" i="9"/>
  <c r="C50" i="9"/>
  <c r="B50" i="9"/>
  <c r="A50" i="9"/>
  <c r="O49" i="9"/>
  <c r="F49" i="9"/>
  <c r="E49" i="9"/>
  <c r="D49" i="9"/>
  <c r="C49" i="9"/>
  <c r="B49" i="9"/>
  <c r="A49" i="9"/>
  <c r="O48" i="9"/>
  <c r="F48" i="9"/>
  <c r="E48" i="9"/>
  <c r="D48" i="9"/>
  <c r="C48" i="9"/>
  <c r="B48" i="9"/>
  <c r="A48" i="9"/>
  <c r="O47" i="9"/>
  <c r="F47" i="9"/>
  <c r="E47" i="9"/>
  <c r="D47" i="9"/>
  <c r="C47" i="9"/>
  <c r="B47" i="9"/>
  <c r="A47" i="9"/>
  <c r="O46" i="9"/>
  <c r="F46" i="9"/>
  <c r="E46" i="9"/>
  <c r="D46" i="9"/>
  <c r="C46" i="9"/>
  <c r="B46" i="9"/>
  <c r="A46" i="9"/>
  <c r="O45" i="9"/>
  <c r="F45" i="9"/>
  <c r="E45" i="9"/>
  <c r="D45" i="9"/>
  <c r="C45" i="9"/>
  <c r="B45" i="9"/>
  <c r="A45" i="9"/>
  <c r="O44" i="9"/>
  <c r="F44" i="9"/>
  <c r="E44" i="9"/>
  <c r="D44" i="9"/>
  <c r="C44" i="9"/>
  <c r="B44" i="9"/>
  <c r="A44" i="9"/>
  <c r="O43" i="9"/>
  <c r="F43" i="9"/>
  <c r="E43" i="9"/>
  <c r="D43" i="9"/>
  <c r="C43" i="9"/>
  <c r="B43" i="9"/>
  <c r="A43" i="9"/>
  <c r="O42" i="9"/>
  <c r="F42" i="9"/>
  <c r="E42" i="9"/>
  <c r="D42" i="9"/>
  <c r="C42" i="9"/>
  <c r="B42" i="9"/>
  <c r="A42" i="9"/>
  <c r="O41" i="9"/>
  <c r="F41" i="9"/>
  <c r="E41" i="9"/>
  <c r="D41" i="9"/>
  <c r="C41" i="9"/>
  <c r="B41" i="9"/>
  <c r="A41" i="9"/>
  <c r="O40" i="9"/>
  <c r="F40" i="9"/>
  <c r="E40" i="9"/>
  <c r="D40" i="9"/>
  <c r="C40" i="9"/>
  <c r="B40" i="9"/>
  <c r="A40" i="9"/>
  <c r="O39" i="9"/>
  <c r="F39" i="9"/>
  <c r="E39" i="9"/>
  <c r="D39" i="9"/>
  <c r="C39" i="9"/>
  <c r="B39" i="9"/>
  <c r="A39" i="9"/>
  <c r="O38" i="9"/>
  <c r="F38" i="9"/>
  <c r="E38" i="9"/>
  <c r="D38" i="9"/>
  <c r="C38" i="9"/>
  <c r="B38" i="9"/>
  <c r="A38" i="9"/>
  <c r="O37" i="9"/>
  <c r="F37" i="9"/>
  <c r="E37" i="9"/>
  <c r="D37" i="9"/>
  <c r="C37" i="9"/>
  <c r="B37" i="9"/>
  <c r="A37" i="9"/>
  <c r="O36" i="9"/>
  <c r="F36" i="9"/>
  <c r="E36" i="9"/>
  <c r="D36" i="9"/>
  <c r="C36" i="9"/>
  <c r="B36" i="9"/>
  <c r="A36" i="9"/>
  <c r="O35" i="9"/>
  <c r="F35" i="9"/>
  <c r="E35" i="9"/>
  <c r="D35" i="9"/>
  <c r="C35" i="9"/>
  <c r="B35" i="9"/>
  <c r="A35" i="9"/>
  <c r="O34" i="9"/>
  <c r="F34" i="9"/>
  <c r="E34" i="9"/>
  <c r="D34" i="9"/>
  <c r="C34" i="9"/>
  <c r="B34" i="9"/>
  <c r="A34" i="9"/>
  <c r="O33" i="9"/>
  <c r="F33" i="9"/>
  <c r="E33" i="9"/>
  <c r="D33" i="9"/>
  <c r="C33" i="9"/>
  <c r="B33" i="9"/>
  <c r="A33" i="9"/>
  <c r="O32" i="9"/>
  <c r="F32" i="9"/>
  <c r="E32" i="9"/>
  <c r="D32" i="9"/>
  <c r="C32" i="9"/>
  <c r="B32" i="9"/>
  <c r="A32" i="9"/>
  <c r="O31" i="9"/>
  <c r="F31" i="9"/>
  <c r="E31" i="9"/>
  <c r="D31" i="9"/>
  <c r="C31" i="9"/>
  <c r="B31" i="9"/>
  <c r="A31" i="9"/>
  <c r="O30" i="9"/>
  <c r="F30" i="9"/>
  <c r="E30" i="9"/>
  <c r="D30" i="9"/>
  <c r="C30" i="9"/>
  <c r="B30" i="9"/>
  <c r="A30" i="9"/>
  <c r="O29" i="9"/>
  <c r="F29" i="9"/>
  <c r="E29" i="9"/>
  <c r="D29" i="9"/>
  <c r="C29" i="9"/>
  <c r="B29" i="9"/>
  <c r="A29" i="9"/>
  <c r="O28" i="9"/>
  <c r="F28" i="9"/>
  <c r="E28" i="9"/>
  <c r="D28" i="9"/>
  <c r="C28" i="9"/>
  <c r="B28" i="9"/>
  <c r="A28" i="9"/>
  <c r="O27" i="9"/>
  <c r="F27" i="9"/>
  <c r="E27" i="9"/>
  <c r="D27" i="9"/>
  <c r="C27" i="9"/>
  <c r="B27" i="9"/>
  <c r="A27" i="9"/>
  <c r="O26" i="9"/>
  <c r="F26" i="9"/>
  <c r="E26" i="9"/>
  <c r="D26" i="9"/>
  <c r="C26" i="9"/>
  <c r="B26" i="9"/>
  <c r="A26" i="9"/>
  <c r="O25" i="9"/>
  <c r="F25" i="9"/>
  <c r="E25" i="9"/>
  <c r="D25" i="9"/>
  <c r="C25" i="9"/>
  <c r="B25" i="9"/>
  <c r="A25" i="9"/>
  <c r="O24" i="9"/>
  <c r="F24" i="9"/>
  <c r="E24" i="9"/>
  <c r="D24" i="9"/>
  <c r="C24" i="9"/>
  <c r="B24" i="9"/>
  <c r="A24" i="9"/>
  <c r="O23" i="9"/>
  <c r="F23" i="9"/>
  <c r="E23" i="9"/>
  <c r="D23" i="9"/>
  <c r="C23" i="9"/>
  <c r="B23" i="9"/>
  <c r="A23" i="9"/>
  <c r="O22" i="9"/>
  <c r="F22" i="9"/>
  <c r="E22" i="9"/>
  <c r="D22" i="9"/>
  <c r="C22" i="9"/>
  <c r="B22" i="9"/>
  <c r="A22" i="9"/>
  <c r="O21" i="9"/>
  <c r="F21" i="9"/>
  <c r="E21" i="9"/>
  <c r="D21" i="9"/>
  <c r="C21" i="9"/>
  <c r="B21" i="9"/>
  <c r="A21" i="9"/>
  <c r="O20" i="9"/>
  <c r="F20" i="9"/>
  <c r="E20" i="9"/>
  <c r="D20" i="9"/>
  <c r="C20" i="9"/>
  <c r="B20" i="9"/>
  <c r="A20" i="9"/>
  <c r="O19" i="9"/>
  <c r="F19" i="9"/>
  <c r="E19" i="9"/>
  <c r="D19" i="9"/>
  <c r="C19" i="9"/>
  <c r="B19" i="9"/>
  <c r="A19" i="9"/>
  <c r="O18" i="9"/>
  <c r="F18" i="9"/>
  <c r="E18" i="9"/>
  <c r="D18" i="9"/>
  <c r="C18" i="9"/>
  <c r="B18" i="9"/>
  <c r="A18" i="9"/>
  <c r="O17" i="9"/>
  <c r="N17" i="9"/>
  <c r="L17" i="9"/>
  <c r="J17" i="9"/>
  <c r="I17" i="9"/>
  <c r="F17" i="9"/>
  <c r="E17" i="9"/>
  <c r="D17" i="9"/>
  <c r="C17" i="9"/>
  <c r="B17" i="9"/>
  <c r="A17" i="9"/>
  <c r="O16" i="9"/>
  <c r="F16" i="9"/>
  <c r="E16" i="9"/>
  <c r="D16" i="9"/>
  <c r="C16" i="9"/>
  <c r="B16" i="9"/>
  <c r="A16" i="9"/>
  <c r="O15" i="9"/>
  <c r="F15" i="9"/>
  <c r="E15" i="9"/>
  <c r="D15" i="9"/>
  <c r="C15" i="9"/>
  <c r="B15" i="9"/>
  <c r="A15" i="9"/>
  <c r="O14" i="9"/>
  <c r="F14" i="9"/>
  <c r="E14" i="9"/>
  <c r="D14" i="9"/>
  <c r="C14" i="9"/>
  <c r="B14" i="9"/>
  <c r="A14" i="9"/>
  <c r="O13" i="9"/>
  <c r="F13" i="9"/>
  <c r="E13" i="9"/>
  <c r="D13" i="9"/>
  <c r="C13" i="9"/>
  <c r="B13" i="9"/>
  <c r="A13" i="9"/>
  <c r="O12" i="9"/>
  <c r="F12" i="9"/>
  <c r="E12" i="9"/>
  <c r="D12" i="9"/>
  <c r="C12" i="9"/>
  <c r="B12" i="9"/>
  <c r="A12" i="9"/>
  <c r="O11" i="9"/>
  <c r="F11" i="9"/>
  <c r="E11" i="9"/>
  <c r="D11" i="9"/>
  <c r="C11" i="9"/>
  <c r="B11" i="9"/>
  <c r="A11" i="9"/>
  <c r="O10" i="9"/>
  <c r="F10" i="9"/>
  <c r="E10" i="9"/>
  <c r="D10" i="9"/>
  <c r="C10" i="9"/>
  <c r="B10" i="9"/>
  <c r="A10" i="9"/>
  <c r="O9" i="9"/>
  <c r="F9" i="9"/>
  <c r="E9" i="9"/>
  <c r="D9" i="9"/>
  <c r="C9" i="9"/>
  <c r="B9" i="9"/>
  <c r="A9" i="9"/>
  <c r="O8" i="9"/>
  <c r="F8" i="9"/>
  <c r="E8" i="9"/>
  <c r="D8" i="9"/>
  <c r="C8" i="9"/>
  <c r="B8" i="9"/>
  <c r="A8" i="9"/>
  <c r="O7" i="9"/>
  <c r="F7" i="9"/>
  <c r="E7" i="9"/>
  <c r="D7" i="9"/>
  <c r="C7" i="9"/>
  <c r="B7" i="9"/>
  <c r="A7" i="9"/>
  <c r="O6" i="9"/>
  <c r="F6" i="9"/>
  <c r="E6" i="9"/>
  <c r="D6" i="9"/>
  <c r="C6" i="9"/>
  <c r="B6" i="9"/>
  <c r="A6" i="9"/>
  <c r="O5" i="9"/>
  <c r="F5" i="9"/>
  <c r="E5" i="9"/>
  <c r="D5" i="9"/>
  <c r="C5" i="9"/>
  <c r="B5" i="9"/>
  <c r="A5" i="9"/>
  <c r="O4" i="9"/>
  <c r="F4" i="9"/>
  <c r="E4" i="9"/>
  <c r="D4" i="9"/>
  <c r="C4" i="9"/>
  <c r="B4" i="9"/>
  <c r="A4" i="9"/>
  <c r="O3" i="9"/>
  <c r="F3" i="9"/>
  <c r="E3" i="9"/>
  <c r="D3" i="9"/>
  <c r="C3" i="9"/>
  <c r="B3" i="9"/>
  <c r="A3" i="9"/>
  <c r="G2" i="9"/>
  <c r="F2" i="9"/>
  <c r="E2" i="9"/>
  <c r="D2" i="9"/>
  <c r="C2" i="9"/>
  <c r="B2" i="9"/>
  <c r="A2" i="9"/>
  <c r="A1" i="9"/>
  <c r="O106" i="8"/>
  <c r="F106" i="8"/>
  <c r="E106" i="8"/>
  <c r="D106" i="8"/>
  <c r="C106" i="8"/>
  <c r="B106" i="8"/>
  <c r="A106" i="8"/>
  <c r="O105" i="8"/>
  <c r="F105" i="8"/>
  <c r="E105" i="8"/>
  <c r="D105" i="8"/>
  <c r="C105" i="8"/>
  <c r="B105" i="8"/>
  <c r="A105" i="8"/>
  <c r="O104" i="8"/>
  <c r="F104" i="8"/>
  <c r="E104" i="8"/>
  <c r="D104" i="8"/>
  <c r="C104" i="8"/>
  <c r="B104" i="8"/>
  <c r="A104" i="8"/>
  <c r="O103" i="8"/>
  <c r="F103" i="8"/>
  <c r="E103" i="8"/>
  <c r="D103" i="8"/>
  <c r="C103" i="8"/>
  <c r="B103" i="8"/>
  <c r="A103" i="8"/>
  <c r="O102" i="8"/>
  <c r="F102" i="8"/>
  <c r="E102" i="8"/>
  <c r="D102" i="8"/>
  <c r="C102" i="8"/>
  <c r="B102" i="8"/>
  <c r="A102" i="8"/>
  <c r="O101" i="8"/>
  <c r="F101" i="8"/>
  <c r="E101" i="8"/>
  <c r="D101" i="8"/>
  <c r="C101" i="8"/>
  <c r="B101" i="8"/>
  <c r="A101" i="8"/>
  <c r="O100" i="8"/>
  <c r="F100" i="8"/>
  <c r="E100" i="8"/>
  <c r="D100" i="8"/>
  <c r="C100" i="8"/>
  <c r="B100" i="8"/>
  <c r="A100" i="8"/>
  <c r="O99" i="8"/>
  <c r="F99" i="8"/>
  <c r="E99" i="8"/>
  <c r="D99" i="8"/>
  <c r="C99" i="8"/>
  <c r="B99" i="8"/>
  <c r="A99" i="8"/>
  <c r="O98" i="8"/>
  <c r="F98" i="8"/>
  <c r="E98" i="8"/>
  <c r="D98" i="8"/>
  <c r="C98" i="8"/>
  <c r="B98" i="8"/>
  <c r="A98" i="8"/>
  <c r="O97" i="8"/>
  <c r="F97" i="8"/>
  <c r="E97" i="8"/>
  <c r="D97" i="8"/>
  <c r="C97" i="8"/>
  <c r="B97" i="8"/>
  <c r="A97" i="8"/>
  <c r="O96" i="8"/>
  <c r="F96" i="8"/>
  <c r="E96" i="8"/>
  <c r="D96" i="8"/>
  <c r="C96" i="8"/>
  <c r="B96" i="8"/>
  <c r="A96" i="8"/>
  <c r="O95" i="8"/>
  <c r="F95" i="8"/>
  <c r="E95" i="8"/>
  <c r="D95" i="8"/>
  <c r="C95" i="8"/>
  <c r="B95" i="8"/>
  <c r="A95" i="8"/>
  <c r="O94" i="8"/>
  <c r="F94" i="8"/>
  <c r="E94" i="8"/>
  <c r="D94" i="8"/>
  <c r="C94" i="8"/>
  <c r="B94" i="8"/>
  <c r="A94" i="8"/>
  <c r="O93" i="8"/>
  <c r="F93" i="8"/>
  <c r="E93" i="8"/>
  <c r="D93" i="8"/>
  <c r="C93" i="8"/>
  <c r="B93" i="8"/>
  <c r="A93" i="8"/>
  <c r="O92" i="8"/>
  <c r="F92" i="8"/>
  <c r="E92" i="8"/>
  <c r="D92" i="8"/>
  <c r="C92" i="8"/>
  <c r="B92" i="8"/>
  <c r="A92" i="8"/>
  <c r="O91" i="8"/>
  <c r="F91" i="8"/>
  <c r="E91" i="8"/>
  <c r="D91" i="8"/>
  <c r="C91" i="8"/>
  <c r="B91" i="8"/>
  <c r="A91" i="8"/>
  <c r="O90" i="8"/>
  <c r="F90" i="8"/>
  <c r="E90" i="8"/>
  <c r="D90" i="8"/>
  <c r="C90" i="8"/>
  <c r="B90" i="8"/>
  <c r="A90" i="8"/>
  <c r="O89" i="8"/>
  <c r="F89" i="8"/>
  <c r="E89" i="8"/>
  <c r="D89" i="8"/>
  <c r="C89" i="8"/>
  <c r="B89" i="8"/>
  <c r="A89" i="8"/>
  <c r="O88" i="8"/>
  <c r="F88" i="8"/>
  <c r="E88" i="8"/>
  <c r="D88" i="8"/>
  <c r="C88" i="8"/>
  <c r="B88" i="8"/>
  <c r="A88" i="8"/>
  <c r="O87" i="8"/>
  <c r="F87" i="8"/>
  <c r="E87" i="8"/>
  <c r="D87" i="8"/>
  <c r="C87" i="8"/>
  <c r="B87" i="8"/>
  <c r="A87" i="8"/>
  <c r="O86" i="8"/>
  <c r="F86" i="8"/>
  <c r="E86" i="8"/>
  <c r="D86" i="8"/>
  <c r="C86" i="8"/>
  <c r="B86" i="8"/>
  <c r="A86" i="8"/>
  <c r="O85" i="8"/>
  <c r="F85" i="8"/>
  <c r="E85" i="8"/>
  <c r="D85" i="8"/>
  <c r="C85" i="8"/>
  <c r="B85" i="8"/>
  <c r="A85" i="8"/>
  <c r="O84" i="8"/>
  <c r="F84" i="8"/>
  <c r="E84" i="8"/>
  <c r="D84" i="8"/>
  <c r="C84" i="8"/>
  <c r="B84" i="8"/>
  <c r="A84" i="8"/>
  <c r="O83" i="8"/>
  <c r="F83" i="8"/>
  <c r="E83" i="8"/>
  <c r="D83" i="8"/>
  <c r="C83" i="8"/>
  <c r="B83" i="8"/>
  <c r="A83" i="8"/>
  <c r="O82" i="8"/>
  <c r="F82" i="8"/>
  <c r="E82" i="8"/>
  <c r="D82" i="8"/>
  <c r="C82" i="8"/>
  <c r="B82" i="8"/>
  <c r="A82" i="8"/>
  <c r="O81" i="8"/>
  <c r="F81" i="8"/>
  <c r="E81" i="8"/>
  <c r="D81" i="8"/>
  <c r="C81" i="8"/>
  <c r="B81" i="8"/>
  <c r="A81" i="8"/>
  <c r="O80" i="8"/>
  <c r="F80" i="8"/>
  <c r="E80" i="8"/>
  <c r="D80" i="8"/>
  <c r="C80" i="8"/>
  <c r="B80" i="8"/>
  <c r="A80" i="8"/>
  <c r="O79" i="8"/>
  <c r="F79" i="8"/>
  <c r="E79" i="8"/>
  <c r="D79" i="8"/>
  <c r="C79" i="8"/>
  <c r="B79" i="8"/>
  <c r="A79" i="8"/>
  <c r="O78" i="8"/>
  <c r="F78" i="8"/>
  <c r="E78" i="8"/>
  <c r="D78" i="8"/>
  <c r="C78" i="8"/>
  <c r="B78" i="8"/>
  <c r="A78" i="8"/>
  <c r="O77" i="8"/>
  <c r="F77" i="8"/>
  <c r="E77" i="8"/>
  <c r="D77" i="8"/>
  <c r="C77" i="8"/>
  <c r="B77" i="8"/>
  <c r="A77" i="8"/>
  <c r="O76" i="8"/>
  <c r="F76" i="8"/>
  <c r="E76" i="8"/>
  <c r="D76" i="8"/>
  <c r="C76" i="8"/>
  <c r="B76" i="8"/>
  <c r="A76" i="8"/>
  <c r="O75" i="8"/>
  <c r="F75" i="8"/>
  <c r="E75" i="8"/>
  <c r="D75" i="8"/>
  <c r="C75" i="8"/>
  <c r="B75" i="8"/>
  <c r="A75" i="8"/>
  <c r="O74" i="8"/>
  <c r="F74" i="8"/>
  <c r="E74" i="8"/>
  <c r="D74" i="8"/>
  <c r="C74" i="8"/>
  <c r="B74" i="8"/>
  <c r="A74" i="8"/>
  <c r="O73" i="8"/>
  <c r="F73" i="8"/>
  <c r="E73" i="8"/>
  <c r="D73" i="8"/>
  <c r="C73" i="8"/>
  <c r="B73" i="8"/>
  <c r="A73" i="8"/>
  <c r="O72" i="8"/>
  <c r="F72" i="8"/>
  <c r="E72" i="8"/>
  <c r="D72" i="8"/>
  <c r="C72" i="8"/>
  <c r="B72" i="8"/>
  <c r="A72" i="8"/>
  <c r="O71" i="8"/>
  <c r="F71" i="8"/>
  <c r="E71" i="8"/>
  <c r="D71" i="8"/>
  <c r="C71" i="8"/>
  <c r="B71" i="8"/>
  <c r="A71" i="8"/>
  <c r="O70" i="8"/>
  <c r="F70" i="8"/>
  <c r="E70" i="8"/>
  <c r="D70" i="8"/>
  <c r="C70" i="8"/>
  <c r="B70" i="8"/>
  <c r="A70" i="8"/>
  <c r="O69" i="8"/>
  <c r="F69" i="8"/>
  <c r="E69" i="8"/>
  <c r="D69" i="8"/>
  <c r="C69" i="8"/>
  <c r="B69" i="8"/>
  <c r="A69" i="8"/>
  <c r="O68" i="8"/>
  <c r="F68" i="8"/>
  <c r="E68" i="8"/>
  <c r="D68" i="8"/>
  <c r="C68" i="8"/>
  <c r="B68" i="8"/>
  <c r="A68" i="8"/>
  <c r="O67" i="8"/>
  <c r="F67" i="8"/>
  <c r="E67" i="8"/>
  <c r="D67" i="8"/>
  <c r="C67" i="8"/>
  <c r="B67" i="8"/>
  <c r="A67" i="8"/>
  <c r="O66" i="8"/>
  <c r="F66" i="8"/>
  <c r="E66" i="8"/>
  <c r="D66" i="8"/>
  <c r="C66" i="8"/>
  <c r="B66" i="8"/>
  <c r="A66" i="8"/>
  <c r="O65" i="8"/>
  <c r="F65" i="8"/>
  <c r="E65" i="8"/>
  <c r="D65" i="8"/>
  <c r="C65" i="8"/>
  <c r="B65" i="8"/>
  <c r="A65" i="8"/>
  <c r="O64" i="8"/>
  <c r="F64" i="8"/>
  <c r="E64" i="8"/>
  <c r="D64" i="8"/>
  <c r="C64" i="8"/>
  <c r="B64" i="8"/>
  <c r="A64" i="8"/>
  <c r="O63" i="8"/>
  <c r="F63" i="8"/>
  <c r="E63" i="8"/>
  <c r="D63" i="8"/>
  <c r="C63" i="8"/>
  <c r="B63" i="8"/>
  <c r="A63" i="8"/>
  <c r="O62" i="8"/>
  <c r="F62" i="8"/>
  <c r="E62" i="8"/>
  <c r="D62" i="8"/>
  <c r="C62" i="8"/>
  <c r="B62" i="8"/>
  <c r="A62" i="8"/>
  <c r="O61" i="8"/>
  <c r="F61" i="8"/>
  <c r="E61" i="8"/>
  <c r="D61" i="8"/>
  <c r="C61" i="8"/>
  <c r="B61" i="8"/>
  <c r="A61" i="8"/>
  <c r="O60" i="8"/>
  <c r="F60" i="8"/>
  <c r="E60" i="8"/>
  <c r="D60" i="8"/>
  <c r="C60" i="8"/>
  <c r="B60" i="8"/>
  <c r="A60" i="8"/>
  <c r="O59" i="8"/>
  <c r="F59" i="8"/>
  <c r="E59" i="8"/>
  <c r="D59" i="8"/>
  <c r="C59" i="8"/>
  <c r="B59" i="8"/>
  <c r="A59" i="8"/>
  <c r="O58" i="8"/>
  <c r="F58" i="8"/>
  <c r="E58" i="8"/>
  <c r="D58" i="8"/>
  <c r="C58" i="8"/>
  <c r="B58" i="8"/>
  <c r="A58" i="8"/>
  <c r="O57" i="8"/>
  <c r="N57" i="8"/>
  <c r="L57" i="8"/>
  <c r="J57" i="8"/>
  <c r="I57" i="8"/>
  <c r="F57" i="8"/>
  <c r="E57" i="8"/>
  <c r="D57" i="8"/>
  <c r="C57" i="8"/>
  <c r="B57" i="8"/>
  <c r="A57" i="8"/>
  <c r="O56" i="8"/>
  <c r="F56" i="8"/>
  <c r="E56" i="8"/>
  <c r="C56" i="8"/>
  <c r="B56" i="8"/>
  <c r="A56" i="8"/>
  <c r="O55" i="8"/>
  <c r="F55" i="8"/>
  <c r="E55" i="8"/>
  <c r="C55" i="8"/>
  <c r="B55" i="8"/>
  <c r="A55" i="8"/>
  <c r="O54" i="8"/>
  <c r="F54" i="8"/>
  <c r="E54" i="8"/>
  <c r="C54" i="8"/>
  <c r="B54" i="8"/>
  <c r="A54" i="8"/>
  <c r="O53" i="8"/>
  <c r="F53" i="8"/>
  <c r="E53" i="8"/>
  <c r="C53" i="8"/>
  <c r="B53" i="8"/>
  <c r="A53" i="8"/>
  <c r="O52" i="8"/>
  <c r="F52" i="8"/>
  <c r="E52" i="8"/>
  <c r="C52" i="8"/>
  <c r="B52" i="8"/>
  <c r="A52" i="8"/>
  <c r="O51" i="8"/>
  <c r="F51" i="8"/>
  <c r="E51" i="8"/>
  <c r="C51" i="8"/>
  <c r="B51" i="8"/>
  <c r="A51" i="8"/>
  <c r="O50" i="8"/>
  <c r="F50" i="8"/>
  <c r="E50" i="8"/>
  <c r="D50" i="8"/>
  <c r="C50" i="8"/>
  <c r="B50" i="8"/>
  <c r="A50" i="8"/>
  <c r="O49" i="8"/>
  <c r="F49" i="8"/>
  <c r="E49" i="8"/>
  <c r="D49" i="8"/>
  <c r="C49" i="8"/>
  <c r="B49" i="8"/>
  <c r="A49" i="8"/>
  <c r="O48" i="8"/>
  <c r="F48" i="8"/>
  <c r="E48" i="8"/>
  <c r="D48" i="8"/>
  <c r="C48" i="8"/>
  <c r="B48" i="8"/>
  <c r="A48" i="8"/>
  <c r="O47" i="8"/>
  <c r="F47" i="8"/>
  <c r="E47" i="8"/>
  <c r="D47" i="8"/>
  <c r="C47" i="8"/>
  <c r="B47" i="8"/>
  <c r="A47" i="8"/>
  <c r="O46" i="8"/>
  <c r="F46" i="8"/>
  <c r="E46" i="8"/>
  <c r="D46" i="8"/>
  <c r="C46" i="8"/>
  <c r="B46" i="8"/>
  <c r="A46" i="8"/>
  <c r="O45" i="8"/>
  <c r="F45" i="8"/>
  <c r="E45" i="8"/>
  <c r="D45" i="8"/>
  <c r="C45" i="8"/>
  <c r="B45" i="8"/>
  <c r="A45" i="8"/>
  <c r="O44" i="8"/>
  <c r="F44" i="8"/>
  <c r="E44" i="8"/>
  <c r="D44" i="8"/>
  <c r="C44" i="8"/>
  <c r="B44" i="8"/>
  <c r="A44" i="8"/>
  <c r="O43" i="8"/>
  <c r="F43" i="8"/>
  <c r="E43" i="8"/>
  <c r="D43" i="8"/>
  <c r="C43" i="8"/>
  <c r="B43" i="8"/>
  <c r="A43" i="8"/>
  <c r="O42" i="8"/>
  <c r="F42" i="8"/>
  <c r="E42" i="8"/>
  <c r="D42" i="8"/>
  <c r="C42" i="8"/>
  <c r="B42" i="8"/>
  <c r="A42" i="8"/>
  <c r="O41" i="8"/>
  <c r="F41" i="8"/>
  <c r="E41" i="8"/>
  <c r="D41" i="8"/>
  <c r="C41" i="8"/>
  <c r="B41" i="8"/>
  <c r="A41" i="8"/>
  <c r="O40" i="8"/>
  <c r="F40" i="8"/>
  <c r="E40" i="8"/>
  <c r="D40" i="8"/>
  <c r="C40" i="8"/>
  <c r="B40" i="8"/>
  <c r="A40" i="8"/>
  <c r="O39" i="8"/>
  <c r="F39" i="8"/>
  <c r="E39" i="8"/>
  <c r="D39" i="8"/>
  <c r="C39" i="8"/>
  <c r="B39" i="8"/>
  <c r="A39" i="8"/>
  <c r="O38" i="8"/>
  <c r="F38" i="8"/>
  <c r="E38" i="8"/>
  <c r="D38" i="8"/>
  <c r="C38" i="8"/>
  <c r="B38" i="8"/>
  <c r="A38" i="8"/>
  <c r="O37" i="8"/>
  <c r="F37" i="8"/>
  <c r="E37" i="8"/>
  <c r="D37" i="8"/>
  <c r="C37" i="8"/>
  <c r="B37" i="8"/>
  <c r="A37" i="8"/>
  <c r="O36" i="8"/>
  <c r="F36" i="8"/>
  <c r="E36" i="8"/>
  <c r="D36" i="8"/>
  <c r="C36" i="8"/>
  <c r="B36" i="8"/>
  <c r="A36" i="8"/>
  <c r="O35" i="8"/>
  <c r="F35" i="8"/>
  <c r="E35" i="8"/>
  <c r="D35" i="8"/>
  <c r="C35" i="8"/>
  <c r="B35" i="8"/>
  <c r="A35" i="8"/>
  <c r="O34" i="8"/>
  <c r="F34" i="8"/>
  <c r="E34" i="8"/>
  <c r="D34" i="8"/>
  <c r="C34" i="8"/>
  <c r="B34" i="8"/>
  <c r="A34" i="8"/>
  <c r="O33" i="8"/>
  <c r="F33" i="8"/>
  <c r="E33" i="8"/>
  <c r="D33" i="8"/>
  <c r="C33" i="8"/>
  <c r="B33" i="8"/>
  <c r="A33" i="8"/>
  <c r="O32" i="8"/>
  <c r="F32" i="8"/>
  <c r="E32" i="8"/>
  <c r="D32" i="8"/>
  <c r="C32" i="8"/>
  <c r="B32" i="8"/>
  <c r="A32" i="8"/>
  <c r="O31" i="8"/>
  <c r="F31" i="8"/>
  <c r="E31" i="8"/>
  <c r="D31" i="8"/>
  <c r="C31" i="8"/>
  <c r="B31" i="8"/>
  <c r="A31" i="8"/>
  <c r="O30" i="8"/>
  <c r="F30" i="8"/>
  <c r="E30" i="8"/>
  <c r="D30" i="8"/>
  <c r="C30" i="8"/>
  <c r="B30" i="8"/>
  <c r="A30" i="8"/>
  <c r="O29" i="8"/>
  <c r="F29" i="8"/>
  <c r="E29" i="8"/>
  <c r="D29" i="8"/>
  <c r="C29" i="8"/>
  <c r="B29" i="8"/>
  <c r="A29" i="8"/>
  <c r="O28" i="8"/>
  <c r="F28" i="8"/>
  <c r="E28" i="8"/>
  <c r="D28" i="8"/>
  <c r="C28" i="8"/>
  <c r="B28" i="8"/>
  <c r="A28" i="8"/>
  <c r="O27" i="8"/>
  <c r="F27" i="8"/>
  <c r="E27" i="8"/>
  <c r="D27" i="8"/>
  <c r="C27" i="8"/>
  <c r="B27" i="8"/>
  <c r="A27" i="8"/>
  <c r="O26" i="8"/>
  <c r="F26" i="8"/>
  <c r="E26" i="8"/>
  <c r="D26" i="8"/>
  <c r="C26" i="8"/>
  <c r="B26" i="8"/>
  <c r="A26" i="8"/>
  <c r="O25" i="8"/>
  <c r="F25" i="8"/>
  <c r="E25" i="8"/>
  <c r="D25" i="8"/>
  <c r="C25" i="8"/>
  <c r="B25" i="8"/>
  <c r="A25" i="8"/>
  <c r="O24" i="8"/>
  <c r="F24" i="8"/>
  <c r="E24" i="8"/>
  <c r="D24" i="8"/>
  <c r="C24" i="8"/>
  <c r="B24" i="8"/>
  <c r="A24" i="8"/>
  <c r="O23" i="8"/>
  <c r="F23" i="8"/>
  <c r="E23" i="8"/>
  <c r="D23" i="8"/>
  <c r="C23" i="8"/>
  <c r="B23" i="8"/>
  <c r="A23" i="8"/>
  <c r="O22" i="8"/>
  <c r="F22" i="8"/>
  <c r="E22" i="8"/>
  <c r="D22" i="8"/>
  <c r="C22" i="8"/>
  <c r="B22" i="8"/>
  <c r="A22" i="8"/>
  <c r="O21" i="8"/>
  <c r="F21" i="8"/>
  <c r="E21" i="8"/>
  <c r="D21" i="8"/>
  <c r="C21" i="8"/>
  <c r="B21" i="8"/>
  <c r="A21" i="8"/>
  <c r="O20" i="8"/>
  <c r="F20" i="8"/>
  <c r="E20" i="8"/>
  <c r="D20" i="8"/>
  <c r="C20" i="8"/>
  <c r="B20" i="8"/>
  <c r="A20" i="8"/>
  <c r="O19" i="8"/>
  <c r="F19" i="8"/>
  <c r="E19" i="8"/>
  <c r="D19" i="8"/>
  <c r="C19" i="8"/>
  <c r="B19" i="8"/>
  <c r="A19" i="8"/>
  <c r="O18" i="8"/>
  <c r="F18" i="8"/>
  <c r="E18" i="8"/>
  <c r="D18" i="8"/>
  <c r="C18" i="8"/>
  <c r="B18" i="8"/>
  <c r="A18" i="8"/>
  <c r="O17" i="8"/>
  <c r="F17" i="8"/>
  <c r="E17" i="8"/>
  <c r="D17" i="8"/>
  <c r="C17" i="8"/>
  <c r="B17" i="8"/>
  <c r="A17" i="8"/>
  <c r="O16" i="8"/>
  <c r="F16" i="8"/>
  <c r="E16" i="8"/>
  <c r="D16" i="8"/>
  <c r="C16" i="8"/>
  <c r="B16" i="8"/>
  <c r="A16" i="8"/>
  <c r="O15" i="8"/>
  <c r="F15" i="8"/>
  <c r="E15" i="8"/>
  <c r="D15" i="8"/>
  <c r="C15" i="8"/>
  <c r="B15" i="8"/>
  <c r="A15" i="8"/>
  <c r="O14" i="8"/>
  <c r="F14" i="8"/>
  <c r="E14" i="8"/>
  <c r="D14" i="8"/>
  <c r="C14" i="8"/>
  <c r="B14" i="8"/>
  <c r="A14" i="8"/>
  <c r="O13" i="8"/>
  <c r="F13" i="8"/>
  <c r="E13" i="8"/>
  <c r="D13" i="8"/>
  <c r="C13" i="8"/>
  <c r="B13" i="8"/>
  <c r="A13" i="8"/>
  <c r="O12" i="8"/>
  <c r="F12" i="8"/>
  <c r="E12" i="8"/>
  <c r="D12" i="8"/>
  <c r="C12" i="8"/>
  <c r="B12" i="8"/>
  <c r="A12" i="8"/>
  <c r="O11" i="8"/>
  <c r="F11" i="8"/>
  <c r="E11" i="8"/>
  <c r="D11" i="8"/>
  <c r="C11" i="8"/>
  <c r="B11" i="8"/>
  <c r="A11" i="8"/>
  <c r="O10" i="8"/>
  <c r="F10" i="8"/>
  <c r="E10" i="8"/>
  <c r="D10" i="8"/>
  <c r="C10" i="8"/>
  <c r="B10" i="8"/>
  <c r="A10" i="8"/>
  <c r="O9" i="8"/>
  <c r="F9" i="8"/>
  <c r="E9" i="8"/>
  <c r="D9" i="8"/>
  <c r="C9" i="8"/>
  <c r="B9" i="8"/>
  <c r="A9" i="8"/>
  <c r="O8" i="8"/>
  <c r="F8" i="8"/>
  <c r="E8" i="8"/>
  <c r="D8" i="8"/>
  <c r="C8" i="8"/>
  <c r="B8" i="8"/>
  <c r="A8" i="8"/>
  <c r="O7" i="8"/>
  <c r="F7" i="8"/>
  <c r="E7" i="8"/>
  <c r="D7" i="8"/>
  <c r="C7" i="8"/>
  <c r="B7" i="8"/>
  <c r="A7" i="8"/>
  <c r="O6" i="8"/>
  <c r="F6" i="8"/>
  <c r="E6" i="8"/>
  <c r="D6" i="8"/>
  <c r="C6" i="8"/>
  <c r="B6" i="8"/>
  <c r="A6" i="8"/>
  <c r="O5" i="8"/>
  <c r="F5" i="8"/>
  <c r="E5" i="8"/>
  <c r="D5" i="8"/>
  <c r="C5" i="8"/>
  <c r="B5" i="8"/>
  <c r="A5" i="8"/>
  <c r="O4" i="8"/>
  <c r="F4" i="8"/>
  <c r="E4" i="8"/>
  <c r="D4" i="8"/>
  <c r="C4" i="8"/>
  <c r="B4" i="8"/>
  <c r="A4" i="8"/>
  <c r="O3" i="8"/>
  <c r="F3" i="8"/>
  <c r="E3" i="8"/>
  <c r="D3" i="8"/>
  <c r="C3" i="8"/>
  <c r="B3" i="8"/>
  <c r="A3" i="8"/>
  <c r="G2" i="8"/>
  <c r="F2" i="8"/>
  <c r="E2" i="8"/>
  <c r="D2" i="8"/>
  <c r="C2" i="8"/>
  <c r="B2" i="8"/>
  <c r="A2" i="8"/>
  <c r="A1" i="8"/>
  <c r="O106" i="7"/>
  <c r="F106" i="7"/>
  <c r="E106" i="7"/>
  <c r="D106" i="7"/>
  <c r="C106" i="7"/>
  <c r="B106" i="7"/>
  <c r="A106" i="7"/>
  <c r="O105" i="7"/>
  <c r="F105" i="7"/>
  <c r="E105" i="7"/>
  <c r="D105" i="7"/>
  <c r="C105" i="7"/>
  <c r="B105" i="7"/>
  <c r="A105" i="7"/>
  <c r="O104" i="7"/>
  <c r="F104" i="7"/>
  <c r="E104" i="7"/>
  <c r="D104" i="7"/>
  <c r="C104" i="7"/>
  <c r="B104" i="7"/>
  <c r="A104" i="7"/>
  <c r="O103" i="7"/>
  <c r="F103" i="7"/>
  <c r="E103" i="7"/>
  <c r="D103" i="7"/>
  <c r="C103" i="7"/>
  <c r="B103" i="7"/>
  <c r="A103" i="7"/>
  <c r="O102" i="7"/>
  <c r="F102" i="7"/>
  <c r="E102" i="7"/>
  <c r="D102" i="7"/>
  <c r="C102" i="7"/>
  <c r="B102" i="7"/>
  <c r="A102" i="7"/>
  <c r="O101" i="7"/>
  <c r="F101" i="7"/>
  <c r="E101" i="7"/>
  <c r="D101" i="7"/>
  <c r="C101" i="7"/>
  <c r="B101" i="7"/>
  <c r="A101" i="7"/>
  <c r="O100" i="7"/>
  <c r="F100" i="7"/>
  <c r="E100" i="7"/>
  <c r="D100" i="7"/>
  <c r="C100" i="7"/>
  <c r="B100" i="7"/>
  <c r="A100" i="7"/>
  <c r="O99" i="7"/>
  <c r="F99" i="7"/>
  <c r="E99" i="7"/>
  <c r="D99" i="7"/>
  <c r="C99" i="7"/>
  <c r="B99" i="7"/>
  <c r="A99" i="7"/>
  <c r="O98" i="7"/>
  <c r="F98" i="7"/>
  <c r="E98" i="7"/>
  <c r="D98" i="7"/>
  <c r="C98" i="7"/>
  <c r="B98" i="7"/>
  <c r="A98" i="7"/>
  <c r="O97" i="7"/>
  <c r="F97" i="7"/>
  <c r="E97" i="7"/>
  <c r="D97" i="7"/>
  <c r="C97" i="7"/>
  <c r="B97" i="7"/>
  <c r="A97" i="7"/>
  <c r="O96" i="7"/>
  <c r="F96" i="7"/>
  <c r="E96" i="7"/>
  <c r="D96" i="7"/>
  <c r="C96" i="7"/>
  <c r="B96" i="7"/>
  <c r="A96" i="7"/>
  <c r="O95" i="7"/>
  <c r="F95" i="7"/>
  <c r="E95" i="7"/>
  <c r="D95" i="7"/>
  <c r="C95" i="7"/>
  <c r="B95" i="7"/>
  <c r="A95" i="7"/>
  <c r="O94" i="7"/>
  <c r="F94" i="7"/>
  <c r="E94" i="7"/>
  <c r="D94" i="7"/>
  <c r="C94" i="7"/>
  <c r="B94" i="7"/>
  <c r="A94" i="7"/>
  <c r="O93" i="7"/>
  <c r="F93" i="7"/>
  <c r="E93" i="7"/>
  <c r="D93" i="7"/>
  <c r="C93" i="7"/>
  <c r="B93" i="7"/>
  <c r="A93" i="7"/>
  <c r="O92" i="7"/>
  <c r="F92" i="7"/>
  <c r="E92" i="7"/>
  <c r="D92" i="7"/>
  <c r="C92" i="7"/>
  <c r="B92" i="7"/>
  <c r="A92" i="7"/>
  <c r="O91" i="7"/>
  <c r="F91" i="7"/>
  <c r="E91" i="7"/>
  <c r="D91" i="7"/>
  <c r="C91" i="7"/>
  <c r="B91" i="7"/>
  <c r="A91" i="7"/>
  <c r="O90" i="7"/>
  <c r="F90" i="7"/>
  <c r="E90" i="7"/>
  <c r="D90" i="7"/>
  <c r="C90" i="7"/>
  <c r="B90" i="7"/>
  <c r="A90" i="7"/>
  <c r="O89" i="7"/>
  <c r="F89" i="7"/>
  <c r="E89" i="7"/>
  <c r="D89" i="7"/>
  <c r="C89" i="7"/>
  <c r="B89" i="7"/>
  <c r="A89" i="7"/>
  <c r="O88" i="7"/>
  <c r="F88" i="7"/>
  <c r="E88" i="7"/>
  <c r="D88" i="7"/>
  <c r="C88" i="7"/>
  <c r="B88" i="7"/>
  <c r="A88" i="7"/>
  <c r="O87" i="7"/>
  <c r="F87" i="7"/>
  <c r="E87" i="7"/>
  <c r="D87" i="7"/>
  <c r="C87" i="7"/>
  <c r="B87" i="7"/>
  <c r="A87" i="7"/>
  <c r="O86" i="7"/>
  <c r="F86" i="7"/>
  <c r="E86" i="7"/>
  <c r="D86" i="7"/>
  <c r="C86" i="7"/>
  <c r="B86" i="7"/>
  <c r="A86" i="7"/>
  <c r="O85" i="7"/>
  <c r="F85" i="7"/>
  <c r="E85" i="7"/>
  <c r="D85" i="7"/>
  <c r="C85" i="7"/>
  <c r="B85" i="7"/>
  <c r="A85" i="7"/>
  <c r="O84" i="7"/>
  <c r="F84" i="7"/>
  <c r="E84" i="7"/>
  <c r="D84" i="7"/>
  <c r="C84" i="7"/>
  <c r="B84" i="7"/>
  <c r="A84" i="7"/>
  <c r="O83" i="7"/>
  <c r="F83" i="7"/>
  <c r="E83" i="7"/>
  <c r="D83" i="7"/>
  <c r="C83" i="7"/>
  <c r="B83" i="7"/>
  <c r="A83" i="7"/>
  <c r="O82" i="7"/>
  <c r="F82" i="7"/>
  <c r="E82" i="7"/>
  <c r="D82" i="7"/>
  <c r="C82" i="7"/>
  <c r="B82" i="7"/>
  <c r="A82" i="7"/>
  <c r="O81" i="7"/>
  <c r="F81" i="7"/>
  <c r="E81" i="7"/>
  <c r="D81" i="7"/>
  <c r="C81" i="7"/>
  <c r="B81" i="7"/>
  <c r="A81" i="7"/>
  <c r="O80" i="7"/>
  <c r="F80" i="7"/>
  <c r="E80" i="7"/>
  <c r="D80" i="7"/>
  <c r="C80" i="7"/>
  <c r="B80" i="7"/>
  <c r="A80" i="7"/>
  <c r="O79" i="7"/>
  <c r="F79" i="7"/>
  <c r="E79" i="7"/>
  <c r="D79" i="7"/>
  <c r="C79" i="7"/>
  <c r="B79" i="7"/>
  <c r="A79" i="7"/>
  <c r="O78" i="7"/>
  <c r="F78" i="7"/>
  <c r="E78" i="7"/>
  <c r="D78" i="7"/>
  <c r="C78" i="7"/>
  <c r="B78" i="7"/>
  <c r="A78" i="7"/>
  <c r="O77" i="7"/>
  <c r="F77" i="7"/>
  <c r="E77" i="7"/>
  <c r="D77" i="7"/>
  <c r="C77" i="7"/>
  <c r="B77" i="7"/>
  <c r="A77" i="7"/>
  <c r="O76" i="7"/>
  <c r="F76" i="7"/>
  <c r="E76" i="7"/>
  <c r="D76" i="7"/>
  <c r="C76" i="7"/>
  <c r="B76" i="7"/>
  <c r="A76" i="7"/>
  <c r="O75" i="7"/>
  <c r="F75" i="7"/>
  <c r="E75" i="7"/>
  <c r="D75" i="7"/>
  <c r="C75" i="7"/>
  <c r="B75" i="7"/>
  <c r="A75" i="7"/>
  <c r="O74" i="7"/>
  <c r="F74" i="7"/>
  <c r="E74" i="7"/>
  <c r="D74" i="7"/>
  <c r="C74" i="7"/>
  <c r="B74" i="7"/>
  <c r="A74" i="7"/>
  <c r="O73" i="7"/>
  <c r="F73" i="7"/>
  <c r="E73" i="7"/>
  <c r="D73" i="7"/>
  <c r="C73" i="7"/>
  <c r="B73" i="7"/>
  <c r="A73" i="7"/>
  <c r="O72" i="7"/>
  <c r="F72" i="7"/>
  <c r="E72" i="7"/>
  <c r="D72" i="7"/>
  <c r="C72" i="7"/>
  <c r="B72" i="7"/>
  <c r="A72" i="7"/>
  <c r="O71" i="7"/>
  <c r="F71" i="7"/>
  <c r="E71" i="7"/>
  <c r="D71" i="7"/>
  <c r="C71" i="7"/>
  <c r="B71" i="7"/>
  <c r="A71" i="7"/>
  <c r="O70" i="7"/>
  <c r="F70" i="7"/>
  <c r="E70" i="7"/>
  <c r="D70" i="7"/>
  <c r="C70" i="7"/>
  <c r="B70" i="7"/>
  <c r="A70" i="7"/>
  <c r="O69" i="7"/>
  <c r="F69" i="7"/>
  <c r="E69" i="7"/>
  <c r="D69" i="7"/>
  <c r="C69" i="7"/>
  <c r="B69" i="7"/>
  <c r="A69" i="7"/>
  <c r="O68" i="7"/>
  <c r="F68" i="7"/>
  <c r="E68" i="7"/>
  <c r="D68" i="7"/>
  <c r="C68" i="7"/>
  <c r="B68" i="7"/>
  <c r="A68" i="7"/>
  <c r="O67" i="7"/>
  <c r="F67" i="7"/>
  <c r="E67" i="7"/>
  <c r="D67" i="7"/>
  <c r="C67" i="7"/>
  <c r="B67" i="7"/>
  <c r="A67" i="7"/>
  <c r="O66" i="7"/>
  <c r="F66" i="7"/>
  <c r="E66" i="7"/>
  <c r="D66" i="7"/>
  <c r="C66" i="7"/>
  <c r="B66" i="7"/>
  <c r="A66" i="7"/>
  <c r="O65" i="7"/>
  <c r="F65" i="7"/>
  <c r="E65" i="7"/>
  <c r="D65" i="7"/>
  <c r="C65" i="7"/>
  <c r="B65" i="7"/>
  <c r="A65" i="7"/>
  <c r="O64" i="7"/>
  <c r="F64" i="7"/>
  <c r="E64" i="7"/>
  <c r="D64" i="7"/>
  <c r="C64" i="7"/>
  <c r="B64" i="7"/>
  <c r="A64" i="7"/>
  <c r="O63" i="7"/>
  <c r="F63" i="7"/>
  <c r="E63" i="7"/>
  <c r="D63" i="7"/>
  <c r="C63" i="7"/>
  <c r="B63" i="7"/>
  <c r="A63" i="7"/>
  <c r="O62" i="7"/>
  <c r="F62" i="7"/>
  <c r="E62" i="7"/>
  <c r="D62" i="7"/>
  <c r="C62" i="7"/>
  <c r="B62" i="7"/>
  <c r="A62" i="7"/>
  <c r="O61" i="7"/>
  <c r="F61" i="7"/>
  <c r="E61" i="7"/>
  <c r="D61" i="7"/>
  <c r="C61" i="7"/>
  <c r="B61" i="7"/>
  <c r="A61" i="7"/>
  <c r="O60" i="7"/>
  <c r="F60" i="7"/>
  <c r="E60" i="7"/>
  <c r="D60" i="7"/>
  <c r="C60" i="7"/>
  <c r="B60" i="7"/>
  <c r="A60" i="7"/>
  <c r="O59" i="7"/>
  <c r="F59" i="7"/>
  <c r="E59" i="7"/>
  <c r="D59" i="7"/>
  <c r="C59" i="7"/>
  <c r="B59" i="7"/>
  <c r="A59" i="7"/>
  <c r="O58" i="7"/>
  <c r="F58" i="7"/>
  <c r="E58" i="7"/>
  <c r="D58" i="7"/>
  <c r="C58" i="7"/>
  <c r="B58" i="7"/>
  <c r="A58" i="7"/>
  <c r="O57" i="7"/>
  <c r="F57" i="7"/>
  <c r="E57" i="7"/>
  <c r="D57" i="7"/>
  <c r="C57" i="7"/>
  <c r="B57" i="7"/>
  <c r="A57" i="7"/>
  <c r="O56" i="7"/>
  <c r="F56" i="7"/>
  <c r="E56" i="7"/>
  <c r="C56" i="7"/>
  <c r="B56" i="7"/>
  <c r="A56" i="7"/>
  <c r="O55" i="7"/>
  <c r="F55" i="7"/>
  <c r="E55" i="7"/>
  <c r="C55" i="7"/>
  <c r="B55" i="7"/>
  <c r="A55" i="7"/>
  <c r="O54" i="7"/>
  <c r="F54" i="7"/>
  <c r="E54" i="7"/>
  <c r="C54" i="7"/>
  <c r="B54" i="7"/>
  <c r="A54" i="7"/>
  <c r="O53" i="7"/>
  <c r="F53" i="7"/>
  <c r="E53" i="7"/>
  <c r="C53" i="7"/>
  <c r="B53" i="7"/>
  <c r="A53" i="7"/>
  <c r="O52" i="7"/>
  <c r="F52" i="7"/>
  <c r="E52" i="7"/>
  <c r="C52" i="7"/>
  <c r="B52" i="7"/>
  <c r="A52" i="7"/>
  <c r="O51" i="7"/>
  <c r="F51" i="7"/>
  <c r="E51" i="7"/>
  <c r="C51" i="7"/>
  <c r="B51" i="7"/>
  <c r="A51" i="7"/>
  <c r="O50" i="7"/>
  <c r="F50" i="7"/>
  <c r="E50" i="7"/>
  <c r="D50" i="7"/>
  <c r="C50" i="7"/>
  <c r="B50" i="7"/>
  <c r="A50" i="7"/>
  <c r="O49" i="7"/>
  <c r="F49" i="7"/>
  <c r="E49" i="7"/>
  <c r="D49" i="7"/>
  <c r="C49" i="7"/>
  <c r="B49" i="7"/>
  <c r="A49" i="7"/>
  <c r="O48" i="7"/>
  <c r="F48" i="7"/>
  <c r="E48" i="7"/>
  <c r="D48" i="7"/>
  <c r="C48" i="7"/>
  <c r="B48" i="7"/>
  <c r="A48" i="7"/>
  <c r="O47" i="7"/>
  <c r="F47" i="7"/>
  <c r="E47" i="7"/>
  <c r="D47" i="7"/>
  <c r="C47" i="7"/>
  <c r="B47" i="7"/>
  <c r="A47" i="7"/>
  <c r="O46" i="7"/>
  <c r="F46" i="7"/>
  <c r="E46" i="7"/>
  <c r="D46" i="7"/>
  <c r="C46" i="7"/>
  <c r="B46" i="7"/>
  <c r="A46" i="7"/>
  <c r="O45" i="7"/>
  <c r="F45" i="7"/>
  <c r="E45" i="7"/>
  <c r="D45" i="7"/>
  <c r="C45" i="7"/>
  <c r="B45" i="7"/>
  <c r="A45" i="7"/>
  <c r="O44" i="7"/>
  <c r="F44" i="7"/>
  <c r="E44" i="7"/>
  <c r="D44" i="7"/>
  <c r="C44" i="7"/>
  <c r="B44" i="7"/>
  <c r="A44" i="7"/>
  <c r="O43" i="7"/>
  <c r="F43" i="7"/>
  <c r="E43" i="7"/>
  <c r="D43" i="7"/>
  <c r="C43" i="7"/>
  <c r="B43" i="7"/>
  <c r="A43" i="7"/>
  <c r="O42" i="7"/>
  <c r="F42" i="7"/>
  <c r="E42" i="7"/>
  <c r="D42" i="7"/>
  <c r="C42" i="7"/>
  <c r="B42" i="7"/>
  <c r="A42" i="7"/>
  <c r="O41" i="7"/>
  <c r="F41" i="7"/>
  <c r="E41" i="7"/>
  <c r="D41" i="7"/>
  <c r="C41" i="7"/>
  <c r="B41" i="7"/>
  <c r="A41" i="7"/>
  <c r="O40" i="7"/>
  <c r="F40" i="7"/>
  <c r="E40" i="7"/>
  <c r="D40" i="7"/>
  <c r="C40" i="7"/>
  <c r="B40" i="7"/>
  <c r="A40" i="7"/>
  <c r="O39" i="7"/>
  <c r="F39" i="7"/>
  <c r="E39" i="7"/>
  <c r="D39" i="7"/>
  <c r="C39" i="7"/>
  <c r="B39" i="7"/>
  <c r="A39" i="7"/>
  <c r="O38" i="7"/>
  <c r="F38" i="7"/>
  <c r="E38" i="7"/>
  <c r="D38" i="7"/>
  <c r="C38" i="7"/>
  <c r="B38" i="7"/>
  <c r="A38" i="7"/>
  <c r="O37" i="7"/>
  <c r="F37" i="7"/>
  <c r="E37" i="7"/>
  <c r="D37" i="7"/>
  <c r="C37" i="7"/>
  <c r="B37" i="7"/>
  <c r="A37" i="7"/>
  <c r="O36" i="7"/>
  <c r="F36" i="7"/>
  <c r="E36" i="7"/>
  <c r="D36" i="7"/>
  <c r="C36" i="7"/>
  <c r="B36" i="7"/>
  <c r="A36" i="7"/>
  <c r="O35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O25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O22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O18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O14" i="7"/>
  <c r="F14" i="7"/>
  <c r="E14" i="7"/>
  <c r="D14" i="7"/>
  <c r="C14" i="7"/>
  <c r="B14" i="7"/>
  <c r="A14" i="7"/>
  <c r="O13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O7" i="7"/>
  <c r="F7" i="7"/>
  <c r="E7" i="7"/>
  <c r="D7" i="7"/>
  <c r="C7" i="7"/>
  <c r="B7" i="7"/>
  <c r="A7" i="7"/>
  <c r="F6" i="7"/>
  <c r="E6" i="7"/>
  <c r="D6" i="7"/>
  <c r="C6" i="7"/>
  <c r="B6" i="7"/>
  <c r="A6" i="7"/>
  <c r="F5" i="7"/>
  <c r="E5" i="7"/>
  <c r="D5" i="7"/>
  <c r="C5" i="7"/>
  <c r="B5" i="7"/>
  <c r="A5" i="7"/>
  <c r="O4" i="7"/>
  <c r="F4" i="7"/>
  <c r="E4" i="7"/>
  <c r="D4" i="7"/>
  <c r="C4" i="7"/>
  <c r="B4" i="7"/>
  <c r="A4" i="7"/>
  <c r="F3" i="7"/>
  <c r="E3" i="7"/>
  <c r="D3" i="7"/>
  <c r="C3" i="7"/>
  <c r="B3" i="7"/>
  <c r="A3" i="7"/>
  <c r="G2" i="7"/>
  <c r="F2" i="7"/>
  <c r="E2" i="7"/>
  <c r="D2" i="7"/>
  <c r="C2" i="7"/>
  <c r="B2" i="7"/>
  <c r="A2" i="7"/>
  <c r="A1" i="7"/>
  <c r="O106" i="6"/>
  <c r="F106" i="6"/>
  <c r="E106" i="6"/>
  <c r="D106" i="6"/>
  <c r="C106" i="6"/>
  <c r="B106" i="6"/>
  <c r="A106" i="6"/>
  <c r="O105" i="6"/>
  <c r="F105" i="6"/>
  <c r="E105" i="6"/>
  <c r="D105" i="6"/>
  <c r="C105" i="6"/>
  <c r="B105" i="6"/>
  <c r="A105" i="6"/>
  <c r="O104" i="6"/>
  <c r="F104" i="6"/>
  <c r="E104" i="6"/>
  <c r="D104" i="6"/>
  <c r="C104" i="6"/>
  <c r="B104" i="6"/>
  <c r="A104" i="6"/>
  <c r="O103" i="6"/>
  <c r="F103" i="6"/>
  <c r="E103" i="6"/>
  <c r="D103" i="6"/>
  <c r="C103" i="6"/>
  <c r="B103" i="6"/>
  <c r="A103" i="6"/>
  <c r="O102" i="6"/>
  <c r="F102" i="6"/>
  <c r="E102" i="6"/>
  <c r="D102" i="6"/>
  <c r="C102" i="6"/>
  <c r="B102" i="6"/>
  <c r="A102" i="6"/>
  <c r="O101" i="6"/>
  <c r="F101" i="6"/>
  <c r="E101" i="6"/>
  <c r="D101" i="6"/>
  <c r="C101" i="6"/>
  <c r="B101" i="6"/>
  <c r="A101" i="6"/>
  <c r="O100" i="6"/>
  <c r="F100" i="6"/>
  <c r="E100" i="6"/>
  <c r="D100" i="6"/>
  <c r="C100" i="6"/>
  <c r="B100" i="6"/>
  <c r="A100" i="6"/>
  <c r="O99" i="6"/>
  <c r="F99" i="6"/>
  <c r="E99" i="6"/>
  <c r="D99" i="6"/>
  <c r="C99" i="6"/>
  <c r="B99" i="6"/>
  <c r="A99" i="6"/>
  <c r="O98" i="6"/>
  <c r="F98" i="6"/>
  <c r="E98" i="6"/>
  <c r="D98" i="6"/>
  <c r="C98" i="6"/>
  <c r="B98" i="6"/>
  <c r="A98" i="6"/>
  <c r="O97" i="6"/>
  <c r="F97" i="6"/>
  <c r="E97" i="6"/>
  <c r="D97" i="6"/>
  <c r="C97" i="6"/>
  <c r="B97" i="6"/>
  <c r="A97" i="6"/>
  <c r="O96" i="6"/>
  <c r="F96" i="6"/>
  <c r="E96" i="6"/>
  <c r="D96" i="6"/>
  <c r="C96" i="6"/>
  <c r="B96" i="6"/>
  <c r="A96" i="6"/>
  <c r="O95" i="6"/>
  <c r="F95" i="6"/>
  <c r="E95" i="6"/>
  <c r="D95" i="6"/>
  <c r="C95" i="6"/>
  <c r="B95" i="6"/>
  <c r="A95" i="6"/>
  <c r="O94" i="6"/>
  <c r="F94" i="6"/>
  <c r="E94" i="6"/>
  <c r="D94" i="6"/>
  <c r="C94" i="6"/>
  <c r="B94" i="6"/>
  <c r="A94" i="6"/>
  <c r="O93" i="6"/>
  <c r="F93" i="6"/>
  <c r="E93" i="6"/>
  <c r="D93" i="6"/>
  <c r="C93" i="6"/>
  <c r="B93" i="6"/>
  <c r="A93" i="6"/>
  <c r="O92" i="6"/>
  <c r="F92" i="6"/>
  <c r="E92" i="6"/>
  <c r="D92" i="6"/>
  <c r="C92" i="6"/>
  <c r="B92" i="6"/>
  <c r="A92" i="6"/>
  <c r="O91" i="6"/>
  <c r="F91" i="6"/>
  <c r="E91" i="6"/>
  <c r="D91" i="6"/>
  <c r="C91" i="6"/>
  <c r="B91" i="6"/>
  <c r="A91" i="6"/>
  <c r="O90" i="6"/>
  <c r="F90" i="6"/>
  <c r="E90" i="6"/>
  <c r="D90" i="6"/>
  <c r="C90" i="6"/>
  <c r="B90" i="6"/>
  <c r="A90" i="6"/>
  <c r="O89" i="6"/>
  <c r="F89" i="6"/>
  <c r="E89" i="6"/>
  <c r="D89" i="6"/>
  <c r="C89" i="6"/>
  <c r="B89" i="6"/>
  <c r="A89" i="6"/>
  <c r="O88" i="6"/>
  <c r="F88" i="6"/>
  <c r="E88" i="6"/>
  <c r="D88" i="6"/>
  <c r="C88" i="6"/>
  <c r="B88" i="6"/>
  <c r="A88" i="6"/>
  <c r="O87" i="6"/>
  <c r="F87" i="6"/>
  <c r="E87" i="6"/>
  <c r="D87" i="6"/>
  <c r="C87" i="6"/>
  <c r="B87" i="6"/>
  <c r="A87" i="6"/>
  <c r="O86" i="6"/>
  <c r="F86" i="6"/>
  <c r="E86" i="6"/>
  <c r="D86" i="6"/>
  <c r="C86" i="6"/>
  <c r="B86" i="6"/>
  <c r="A86" i="6"/>
  <c r="O85" i="6"/>
  <c r="F85" i="6"/>
  <c r="E85" i="6"/>
  <c r="D85" i="6"/>
  <c r="C85" i="6"/>
  <c r="B85" i="6"/>
  <c r="A85" i="6"/>
  <c r="O84" i="6"/>
  <c r="F84" i="6"/>
  <c r="E84" i="6"/>
  <c r="D84" i="6"/>
  <c r="C84" i="6"/>
  <c r="B84" i="6"/>
  <c r="A84" i="6"/>
  <c r="O83" i="6"/>
  <c r="F83" i="6"/>
  <c r="E83" i="6"/>
  <c r="D83" i="6"/>
  <c r="C83" i="6"/>
  <c r="B83" i="6"/>
  <c r="A83" i="6"/>
  <c r="O82" i="6"/>
  <c r="F82" i="6"/>
  <c r="E82" i="6"/>
  <c r="D82" i="6"/>
  <c r="C82" i="6"/>
  <c r="B82" i="6"/>
  <c r="A82" i="6"/>
  <c r="O81" i="6"/>
  <c r="F81" i="6"/>
  <c r="E81" i="6"/>
  <c r="D81" i="6"/>
  <c r="C81" i="6"/>
  <c r="B81" i="6"/>
  <c r="A81" i="6"/>
  <c r="O80" i="6"/>
  <c r="F80" i="6"/>
  <c r="E80" i="6"/>
  <c r="D80" i="6"/>
  <c r="C80" i="6"/>
  <c r="B80" i="6"/>
  <c r="A80" i="6"/>
  <c r="O79" i="6"/>
  <c r="F79" i="6"/>
  <c r="E79" i="6"/>
  <c r="D79" i="6"/>
  <c r="C79" i="6"/>
  <c r="B79" i="6"/>
  <c r="A79" i="6"/>
  <c r="O78" i="6"/>
  <c r="F78" i="6"/>
  <c r="E78" i="6"/>
  <c r="D78" i="6"/>
  <c r="C78" i="6"/>
  <c r="B78" i="6"/>
  <c r="A78" i="6"/>
  <c r="O77" i="6"/>
  <c r="F77" i="6"/>
  <c r="E77" i="6"/>
  <c r="D77" i="6"/>
  <c r="C77" i="6"/>
  <c r="B77" i="6"/>
  <c r="A77" i="6"/>
  <c r="O76" i="6"/>
  <c r="F76" i="6"/>
  <c r="E76" i="6"/>
  <c r="D76" i="6"/>
  <c r="C76" i="6"/>
  <c r="B76" i="6"/>
  <c r="A76" i="6"/>
  <c r="O75" i="6"/>
  <c r="F75" i="6"/>
  <c r="E75" i="6"/>
  <c r="D75" i="6"/>
  <c r="C75" i="6"/>
  <c r="B75" i="6"/>
  <c r="A75" i="6"/>
  <c r="O74" i="6"/>
  <c r="F74" i="6"/>
  <c r="E74" i="6"/>
  <c r="D74" i="6"/>
  <c r="C74" i="6"/>
  <c r="B74" i="6"/>
  <c r="A74" i="6"/>
  <c r="O73" i="6"/>
  <c r="F73" i="6"/>
  <c r="E73" i="6"/>
  <c r="D73" i="6"/>
  <c r="C73" i="6"/>
  <c r="B73" i="6"/>
  <c r="A73" i="6"/>
  <c r="O72" i="6"/>
  <c r="N72" i="6"/>
  <c r="L72" i="6"/>
  <c r="F72" i="6"/>
  <c r="E72" i="6"/>
  <c r="D72" i="6"/>
  <c r="C72" i="6"/>
  <c r="B72" i="6"/>
  <c r="A72" i="6"/>
  <c r="O71" i="6"/>
  <c r="F71" i="6"/>
  <c r="E71" i="6"/>
  <c r="D71" i="6"/>
  <c r="C71" i="6"/>
  <c r="B71" i="6"/>
  <c r="A71" i="6"/>
  <c r="O70" i="6"/>
  <c r="F70" i="6"/>
  <c r="E70" i="6"/>
  <c r="D70" i="6"/>
  <c r="C70" i="6"/>
  <c r="B70" i="6"/>
  <c r="A70" i="6"/>
  <c r="O69" i="6"/>
  <c r="F69" i="6"/>
  <c r="E69" i="6"/>
  <c r="D69" i="6"/>
  <c r="C69" i="6"/>
  <c r="B69" i="6"/>
  <c r="A69" i="6"/>
  <c r="O68" i="6"/>
  <c r="F68" i="6"/>
  <c r="E68" i="6"/>
  <c r="D68" i="6"/>
  <c r="C68" i="6"/>
  <c r="B68" i="6"/>
  <c r="A68" i="6"/>
  <c r="O67" i="6"/>
  <c r="F67" i="6"/>
  <c r="E67" i="6"/>
  <c r="D67" i="6"/>
  <c r="C67" i="6"/>
  <c r="B67" i="6"/>
  <c r="A67" i="6"/>
  <c r="O66" i="6"/>
  <c r="F66" i="6"/>
  <c r="E66" i="6"/>
  <c r="D66" i="6"/>
  <c r="C66" i="6"/>
  <c r="B66" i="6"/>
  <c r="A66" i="6"/>
  <c r="O65" i="6"/>
  <c r="F65" i="6"/>
  <c r="E65" i="6"/>
  <c r="D65" i="6"/>
  <c r="C65" i="6"/>
  <c r="B65" i="6"/>
  <c r="A65" i="6"/>
  <c r="O64" i="6"/>
  <c r="F64" i="6"/>
  <c r="E64" i="6"/>
  <c r="D64" i="6"/>
  <c r="C64" i="6"/>
  <c r="B64" i="6"/>
  <c r="A64" i="6"/>
  <c r="O63" i="6"/>
  <c r="F63" i="6"/>
  <c r="E63" i="6"/>
  <c r="D63" i="6"/>
  <c r="C63" i="6"/>
  <c r="B63" i="6"/>
  <c r="A63" i="6"/>
  <c r="O62" i="6"/>
  <c r="F62" i="6"/>
  <c r="E62" i="6"/>
  <c r="D62" i="6"/>
  <c r="C62" i="6"/>
  <c r="B62" i="6"/>
  <c r="A62" i="6"/>
  <c r="O61" i="6"/>
  <c r="F61" i="6"/>
  <c r="E61" i="6"/>
  <c r="D61" i="6"/>
  <c r="C61" i="6"/>
  <c r="B61" i="6"/>
  <c r="A61" i="6"/>
  <c r="O60" i="6"/>
  <c r="F60" i="6"/>
  <c r="E60" i="6"/>
  <c r="D60" i="6"/>
  <c r="C60" i="6"/>
  <c r="B60" i="6"/>
  <c r="A60" i="6"/>
  <c r="O59" i="6"/>
  <c r="F59" i="6"/>
  <c r="E59" i="6"/>
  <c r="D59" i="6"/>
  <c r="C59" i="6"/>
  <c r="B59" i="6"/>
  <c r="A59" i="6"/>
  <c r="O58" i="6"/>
  <c r="F58" i="6"/>
  <c r="E58" i="6"/>
  <c r="D58" i="6"/>
  <c r="C58" i="6"/>
  <c r="B58" i="6"/>
  <c r="A58" i="6"/>
  <c r="O57" i="6"/>
  <c r="F57" i="6"/>
  <c r="E57" i="6"/>
  <c r="D57" i="6"/>
  <c r="C57" i="6"/>
  <c r="B57" i="6"/>
  <c r="A57" i="6"/>
  <c r="O56" i="6"/>
  <c r="F56" i="6"/>
  <c r="E56" i="6"/>
  <c r="C56" i="6"/>
  <c r="B56" i="6"/>
  <c r="A56" i="6"/>
  <c r="O55" i="6"/>
  <c r="F55" i="6"/>
  <c r="E55" i="6"/>
  <c r="C55" i="6"/>
  <c r="B55" i="6"/>
  <c r="A55" i="6"/>
  <c r="O54" i="6"/>
  <c r="F54" i="6"/>
  <c r="E54" i="6"/>
  <c r="C54" i="6"/>
  <c r="B54" i="6"/>
  <c r="A54" i="6"/>
  <c r="O53" i="6"/>
  <c r="F53" i="6"/>
  <c r="E53" i="6"/>
  <c r="C53" i="6"/>
  <c r="B53" i="6"/>
  <c r="A53" i="6"/>
  <c r="O52" i="6"/>
  <c r="F52" i="6"/>
  <c r="E52" i="6"/>
  <c r="C52" i="6"/>
  <c r="B52" i="6"/>
  <c r="A52" i="6"/>
  <c r="O51" i="6"/>
  <c r="F51" i="6"/>
  <c r="E51" i="6"/>
  <c r="C51" i="6"/>
  <c r="B51" i="6"/>
  <c r="A51" i="6"/>
  <c r="O50" i="6"/>
  <c r="F50" i="6"/>
  <c r="E50" i="6"/>
  <c r="D50" i="6"/>
  <c r="C50" i="6"/>
  <c r="B50" i="6"/>
  <c r="A50" i="6"/>
  <c r="O49" i="6"/>
  <c r="F49" i="6"/>
  <c r="E49" i="6"/>
  <c r="D49" i="6"/>
  <c r="C49" i="6"/>
  <c r="B49" i="6"/>
  <c r="A49" i="6"/>
  <c r="O48" i="6"/>
  <c r="F48" i="6"/>
  <c r="E48" i="6"/>
  <c r="D48" i="6"/>
  <c r="C48" i="6"/>
  <c r="B48" i="6"/>
  <c r="A48" i="6"/>
  <c r="O47" i="6"/>
  <c r="F47" i="6"/>
  <c r="E47" i="6"/>
  <c r="D47" i="6"/>
  <c r="C47" i="6"/>
  <c r="B47" i="6"/>
  <c r="A47" i="6"/>
  <c r="O46" i="6"/>
  <c r="F46" i="6"/>
  <c r="E46" i="6"/>
  <c r="D46" i="6"/>
  <c r="C46" i="6"/>
  <c r="B46" i="6"/>
  <c r="A46" i="6"/>
  <c r="O45" i="6"/>
  <c r="F45" i="6"/>
  <c r="E45" i="6"/>
  <c r="D45" i="6"/>
  <c r="C45" i="6"/>
  <c r="B45" i="6"/>
  <c r="A45" i="6"/>
  <c r="O44" i="6"/>
  <c r="F44" i="6"/>
  <c r="E44" i="6"/>
  <c r="D44" i="6"/>
  <c r="C44" i="6"/>
  <c r="B44" i="6"/>
  <c r="A44" i="6"/>
  <c r="O43" i="6"/>
  <c r="F43" i="6"/>
  <c r="E43" i="6"/>
  <c r="D43" i="6"/>
  <c r="C43" i="6"/>
  <c r="B43" i="6"/>
  <c r="A43" i="6"/>
  <c r="O42" i="6"/>
  <c r="F42" i="6"/>
  <c r="E42" i="6"/>
  <c r="D42" i="6"/>
  <c r="C42" i="6"/>
  <c r="B42" i="6"/>
  <c r="A42" i="6"/>
  <c r="O41" i="6"/>
  <c r="F41" i="6"/>
  <c r="E41" i="6"/>
  <c r="D41" i="6"/>
  <c r="C41" i="6"/>
  <c r="B41" i="6"/>
  <c r="A41" i="6"/>
  <c r="O40" i="6"/>
  <c r="F40" i="6"/>
  <c r="E40" i="6"/>
  <c r="D40" i="6"/>
  <c r="C40" i="6"/>
  <c r="B40" i="6"/>
  <c r="A40" i="6"/>
  <c r="O39" i="6"/>
  <c r="F39" i="6"/>
  <c r="E39" i="6"/>
  <c r="D39" i="6"/>
  <c r="C39" i="6"/>
  <c r="B39" i="6"/>
  <c r="A39" i="6"/>
  <c r="O38" i="6"/>
  <c r="F38" i="6"/>
  <c r="E38" i="6"/>
  <c r="D38" i="6"/>
  <c r="C38" i="6"/>
  <c r="B38" i="6"/>
  <c r="A38" i="6"/>
  <c r="O37" i="6"/>
  <c r="F37" i="6"/>
  <c r="E37" i="6"/>
  <c r="D37" i="6"/>
  <c r="C37" i="6"/>
  <c r="B37" i="6"/>
  <c r="A37" i="6"/>
  <c r="O36" i="6"/>
  <c r="F36" i="6"/>
  <c r="E36" i="6"/>
  <c r="D36" i="6"/>
  <c r="C36" i="6"/>
  <c r="B36" i="6"/>
  <c r="A36" i="6"/>
  <c r="O35" i="6"/>
  <c r="F35" i="6"/>
  <c r="E35" i="6"/>
  <c r="D35" i="6"/>
  <c r="C35" i="6"/>
  <c r="B35" i="6"/>
  <c r="A35" i="6"/>
  <c r="O34" i="6"/>
  <c r="F34" i="6"/>
  <c r="E34" i="6"/>
  <c r="D34" i="6"/>
  <c r="C34" i="6"/>
  <c r="B34" i="6"/>
  <c r="A34" i="6"/>
  <c r="O33" i="6"/>
  <c r="F33" i="6"/>
  <c r="E33" i="6"/>
  <c r="D33" i="6"/>
  <c r="C33" i="6"/>
  <c r="B33" i="6"/>
  <c r="A33" i="6"/>
  <c r="O32" i="6"/>
  <c r="F32" i="6"/>
  <c r="E32" i="6"/>
  <c r="D32" i="6"/>
  <c r="C32" i="6"/>
  <c r="B32" i="6"/>
  <c r="A32" i="6"/>
  <c r="O31" i="6"/>
  <c r="F31" i="6"/>
  <c r="E31" i="6"/>
  <c r="D31" i="6"/>
  <c r="C31" i="6"/>
  <c r="B31" i="6"/>
  <c r="A31" i="6"/>
  <c r="O30" i="6"/>
  <c r="F30" i="6"/>
  <c r="E30" i="6"/>
  <c r="D30" i="6"/>
  <c r="C30" i="6"/>
  <c r="B30" i="6"/>
  <c r="A30" i="6"/>
  <c r="O29" i="6"/>
  <c r="F29" i="6"/>
  <c r="E29" i="6"/>
  <c r="D29" i="6"/>
  <c r="C29" i="6"/>
  <c r="B29" i="6"/>
  <c r="A29" i="6"/>
  <c r="O28" i="6"/>
  <c r="F28" i="6"/>
  <c r="E28" i="6"/>
  <c r="D28" i="6"/>
  <c r="C28" i="6"/>
  <c r="B28" i="6"/>
  <c r="A28" i="6"/>
  <c r="O27" i="6"/>
  <c r="F27" i="6"/>
  <c r="E27" i="6"/>
  <c r="D27" i="6"/>
  <c r="C27" i="6"/>
  <c r="B27" i="6"/>
  <c r="A27" i="6"/>
  <c r="O26" i="6"/>
  <c r="F26" i="6"/>
  <c r="E26" i="6"/>
  <c r="D26" i="6"/>
  <c r="C26" i="6"/>
  <c r="B26" i="6"/>
  <c r="A26" i="6"/>
  <c r="O25" i="6"/>
  <c r="F25" i="6"/>
  <c r="E25" i="6"/>
  <c r="D25" i="6"/>
  <c r="C25" i="6"/>
  <c r="B25" i="6"/>
  <c r="A25" i="6"/>
  <c r="O24" i="6"/>
  <c r="F24" i="6"/>
  <c r="E24" i="6"/>
  <c r="D24" i="6"/>
  <c r="C24" i="6"/>
  <c r="B24" i="6"/>
  <c r="A24" i="6"/>
  <c r="O23" i="6"/>
  <c r="F23" i="6"/>
  <c r="E23" i="6"/>
  <c r="D23" i="6"/>
  <c r="C23" i="6"/>
  <c r="B23" i="6"/>
  <c r="A23" i="6"/>
  <c r="O22" i="6"/>
  <c r="F22" i="6"/>
  <c r="E22" i="6"/>
  <c r="D22" i="6"/>
  <c r="C22" i="6"/>
  <c r="B22" i="6"/>
  <c r="A22" i="6"/>
  <c r="O21" i="6"/>
  <c r="F21" i="6"/>
  <c r="E21" i="6"/>
  <c r="D21" i="6"/>
  <c r="C21" i="6"/>
  <c r="B21" i="6"/>
  <c r="A21" i="6"/>
  <c r="O20" i="6"/>
  <c r="F20" i="6"/>
  <c r="E20" i="6"/>
  <c r="D20" i="6"/>
  <c r="C20" i="6"/>
  <c r="B20" i="6"/>
  <c r="A20" i="6"/>
  <c r="F19" i="6"/>
  <c r="E19" i="6"/>
  <c r="D19" i="6"/>
  <c r="C19" i="6"/>
  <c r="B19" i="6"/>
  <c r="A19" i="6"/>
  <c r="O18" i="6"/>
  <c r="F18" i="6"/>
  <c r="E18" i="6"/>
  <c r="D18" i="6"/>
  <c r="C18" i="6"/>
  <c r="B18" i="6"/>
  <c r="A18" i="6"/>
  <c r="O17" i="6"/>
  <c r="F17" i="6"/>
  <c r="E17" i="6"/>
  <c r="D17" i="6"/>
  <c r="C17" i="6"/>
  <c r="B17" i="6"/>
  <c r="A17" i="6"/>
  <c r="O16" i="6"/>
  <c r="F16" i="6"/>
  <c r="E16" i="6"/>
  <c r="D16" i="6"/>
  <c r="C16" i="6"/>
  <c r="B16" i="6"/>
  <c r="A16" i="6"/>
  <c r="O15" i="6"/>
  <c r="F15" i="6"/>
  <c r="E15" i="6"/>
  <c r="D15" i="6"/>
  <c r="C15" i="6"/>
  <c r="B15" i="6"/>
  <c r="A15" i="6"/>
  <c r="O14" i="6"/>
  <c r="F14" i="6"/>
  <c r="E14" i="6"/>
  <c r="D14" i="6"/>
  <c r="C14" i="6"/>
  <c r="B14" i="6"/>
  <c r="A14" i="6"/>
  <c r="O13" i="6"/>
  <c r="F13" i="6"/>
  <c r="E13" i="6"/>
  <c r="D13" i="6"/>
  <c r="C13" i="6"/>
  <c r="B13" i="6"/>
  <c r="A13" i="6"/>
  <c r="O12" i="6"/>
  <c r="F12" i="6"/>
  <c r="E12" i="6"/>
  <c r="D12" i="6"/>
  <c r="C12" i="6"/>
  <c r="B12" i="6"/>
  <c r="A12" i="6"/>
  <c r="O11" i="6"/>
  <c r="F11" i="6"/>
  <c r="E11" i="6"/>
  <c r="D11" i="6"/>
  <c r="C11" i="6"/>
  <c r="B11" i="6"/>
  <c r="A11" i="6"/>
  <c r="O10" i="6"/>
  <c r="F10" i="6"/>
  <c r="E10" i="6"/>
  <c r="D10" i="6"/>
  <c r="C10" i="6"/>
  <c r="B10" i="6"/>
  <c r="A10" i="6"/>
  <c r="O9" i="6"/>
  <c r="F9" i="6"/>
  <c r="E9" i="6"/>
  <c r="D9" i="6"/>
  <c r="C9" i="6"/>
  <c r="B9" i="6"/>
  <c r="A9" i="6"/>
  <c r="O8" i="6"/>
  <c r="F8" i="6"/>
  <c r="E8" i="6"/>
  <c r="D8" i="6"/>
  <c r="C8" i="6"/>
  <c r="B8" i="6"/>
  <c r="A8" i="6"/>
  <c r="O7" i="6"/>
  <c r="F7" i="6"/>
  <c r="E7" i="6"/>
  <c r="D7" i="6"/>
  <c r="C7" i="6"/>
  <c r="B7" i="6"/>
  <c r="A7" i="6"/>
  <c r="O6" i="6"/>
  <c r="F6" i="6"/>
  <c r="E6" i="6"/>
  <c r="D6" i="6"/>
  <c r="C6" i="6"/>
  <c r="B6" i="6"/>
  <c r="A6" i="6"/>
  <c r="O5" i="6"/>
  <c r="F5" i="6"/>
  <c r="E5" i="6"/>
  <c r="D5" i="6"/>
  <c r="C5" i="6"/>
  <c r="B5" i="6"/>
  <c r="A5" i="6"/>
  <c r="O4" i="6"/>
  <c r="F4" i="6"/>
  <c r="E4" i="6"/>
  <c r="D4" i="6"/>
  <c r="C4" i="6"/>
  <c r="B4" i="6"/>
  <c r="A4" i="6"/>
  <c r="O3" i="6"/>
  <c r="F3" i="6"/>
  <c r="E3" i="6"/>
  <c r="D3" i="6"/>
  <c r="C3" i="6"/>
  <c r="B3" i="6"/>
  <c r="A3" i="6"/>
  <c r="G2" i="6"/>
  <c r="F2" i="6"/>
  <c r="E2" i="6"/>
  <c r="D2" i="6"/>
  <c r="C2" i="6"/>
  <c r="B2" i="6"/>
  <c r="A2" i="6"/>
  <c r="A1" i="6"/>
  <c r="O106" i="5"/>
  <c r="F106" i="5"/>
  <c r="E106" i="5"/>
  <c r="D106" i="5"/>
  <c r="C106" i="5"/>
  <c r="B106" i="5"/>
  <c r="A106" i="5"/>
  <c r="O105" i="5"/>
  <c r="F105" i="5"/>
  <c r="E105" i="5"/>
  <c r="D105" i="5"/>
  <c r="C105" i="5"/>
  <c r="B105" i="5"/>
  <c r="A105" i="5"/>
  <c r="O104" i="5"/>
  <c r="F104" i="5"/>
  <c r="E104" i="5"/>
  <c r="D104" i="5"/>
  <c r="C104" i="5"/>
  <c r="B104" i="5"/>
  <c r="A104" i="5"/>
  <c r="O103" i="5"/>
  <c r="F103" i="5"/>
  <c r="E103" i="5"/>
  <c r="D103" i="5"/>
  <c r="C103" i="5"/>
  <c r="B103" i="5"/>
  <c r="A103" i="5"/>
  <c r="O102" i="5"/>
  <c r="F102" i="5"/>
  <c r="E102" i="5"/>
  <c r="D102" i="5"/>
  <c r="C102" i="5"/>
  <c r="B102" i="5"/>
  <c r="A102" i="5"/>
  <c r="O101" i="5"/>
  <c r="F101" i="5"/>
  <c r="E101" i="5"/>
  <c r="D101" i="5"/>
  <c r="C101" i="5"/>
  <c r="B101" i="5"/>
  <c r="A101" i="5"/>
  <c r="O100" i="5"/>
  <c r="F100" i="5"/>
  <c r="E100" i="5"/>
  <c r="D100" i="5"/>
  <c r="C100" i="5"/>
  <c r="B100" i="5"/>
  <c r="A100" i="5"/>
  <c r="O99" i="5"/>
  <c r="F99" i="5"/>
  <c r="E99" i="5"/>
  <c r="D99" i="5"/>
  <c r="C99" i="5"/>
  <c r="B99" i="5"/>
  <c r="A99" i="5"/>
  <c r="O98" i="5"/>
  <c r="F98" i="5"/>
  <c r="E98" i="5"/>
  <c r="D98" i="5"/>
  <c r="C98" i="5"/>
  <c r="B98" i="5"/>
  <c r="A98" i="5"/>
  <c r="O97" i="5"/>
  <c r="F97" i="5"/>
  <c r="E97" i="5"/>
  <c r="D97" i="5"/>
  <c r="C97" i="5"/>
  <c r="B97" i="5"/>
  <c r="A97" i="5"/>
  <c r="O96" i="5"/>
  <c r="F96" i="5"/>
  <c r="E96" i="5"/>
  <c r="D96" i="5"/>
  <c r="C96" i="5"/>
  <c r="B96" i="5"/>
  <c r="A96" i="5"/>
  <c r="O95" i="5"/>
  <c r="F95" i="5"/>
  <c r="E95" i="5"/>
  <c r="D95" i="5"/>
  <c r="C95" i="5"/>
  <c r="B95" i="5"/>
  <c r="A95" i="5"/>
  <c r="O94" i="5"/>
  <c r="F94" i="5"/>
  <c r="E94" i="5"/>
  <c r="D94" i="5"/>
  <c r="C94" i="5"/>
  <c r="B94" i="5"/>
  <c r="A94" i="5"/>
  <c r="O93" i="5"/>
  <c r="F93" i="5"/>
  <c r="E93" i="5"/>
  <c r="D93" i="5"/>
  <c r="C93" i="5"/>
  <c r="B93" i="5"/>
  <c r="A93" i="5"/>
  <c r="O92" i="5"/>
  <c r="F92" i="5"/>
  <c r="E92" i="5"/>
  <c r="D92" i="5"/>
  <c r="C92" i="5"/>
  <c r="B92" i="5"/>
  <c r="A92" i="5"/>
  <c r="O91" i="5"/>
  <c r="F91" i="5"/>
  <c r="E91" i="5"/>
  <c r="D91" i="5"/>
  <c r="C91" i="5"/>
  <c r="B91" i="5"/>
  <c r="A91" i="5"/>
  <c r="O90" i="5"/>
  <c r="F90" i="5"/>
  <c r="E90" i="5"/>
  <c r="D90" i="5"/>
  <c r="C90" i="5"/>
  <c r="B90" i="5"/>
  <c r="A90" i="5"/>
  <c r="O89" i="5"/>
  <c r="F89" i="5"/>
  <c r="E89" i="5"/>
  <c r="D89" i="5"/>
  <c r="C89" i="5"/>
  <c r="B89" i="5"/>
  <c r="A89" i="5"/>
  <c r="O88" i="5"/>
  <c r="F88" i="5"/>
  <c r="E88" i="5"/>
  <c r="D88" i="5"/>
  <c r="C88" i="5"/>
  <c r="B88" i="5"/>
  <c r="A88" i="5"/>
  <c r="O87" i="5"/>
  <c r="F87" i="5"/>
  <c r="E87" i="5"/>
  <c r="D87" i="5"/>
  <c r="C87" i="5"/>
  <c r="B87" i="5"/>
  <c r="A87" i="5"/>
  <c r="O86" i="5"/>
  <c r="F86" i="5"/>
  <c r="E86" i="5"/>
  <c r="D86" i="5"/>
  <c r="C86" i="5"/>
  <c r="B86" i="5"/>
  <c r="A86" i="5"/>
  <c r="O85" i="5"/>
  <c r="F85" i="5"/>
  <c r="E85" i="5"/>
  <c r="D85" i="5"/>
  <c r="C85" i="5"/>
  <c r="B85" i="5"/>
  <c r="A85" i="5"/>
  <c r="O84" i="5"/>
  <c r="F84" i="5"/>
  <c r="E84" i="5"/>
  <c r="D84" i="5"/>
  <c r="C84" i="5"/>
  <c r="B84" i="5"/>
  <c r="A84" i="5"/>
  <c r="O83" i="5"/>
  <c r="F83" i="5"/>
  <c r="E83" i="5"/>
  <c r="D83" i="5"/>
  <c r="C83" i="5"/>
  <c r="B83" i="5"/>
  <c r="A83" i="5"/>
  <c r="O82" i="5"/>
  <c r="F82" i="5"/>
  <c r="E82" i="5"/>
  <c r="D82" i="5"/>
  <c r="C82" i="5"/>
  <c r="B82" i="5"/>
  <c r="A82" i="5"/>
  <c r="O81" i="5"/>
  <c r="F81" i="5"/>
  <c r="E81" i="5"/>
  <c r="D81" i="5"/>
  <c r="C81" i="5"/>
  <c r="B81" i="5"/>
  <c r="A81" i="5"/>
  <c r="O80" i="5"/>
  <c r="F80" i="5"/>
  <c r="E80" i="5"/>
  <c r="D80" i="5"/>
  <c r="C80" i="5"/>
  <c r="B80" i="5"/>
  <c r="A80" i="5"/>
  <c r="O79" i="5"/>
  <c r="F79" i="5"/>
  <c r="E79" i="5"/>
  <c r="D79" i="5"/>
  <c r="C79" i="5"/>
  <c r="B79" i="5"/>
  <c r="A79" i="5"/>
  <c r="O78" i="5"/>
  <c r="F78" i="5"/>
  <c r="E78" i="5"/>
  <c r="D78" i="5"/>
  <c r="C78" i="5"/>
  <c r="B78" i="5"/>
  <c r="A78" i="5"/>
  <c r="O77" i="5"/>
  <c r="F77" i="5"/>
  <c r="E77" i="5"/>
  <c r="D77" i="5"/>
  <c r="C77" i="5"/>
  <c r="B77" i="5"/>
  <c r="A77" i="5"/>
  <c r="O76" i="5"/>
  <c r="F76" i="5"/>
  <c r="E76" i="5"/>
  <c r="D76" i="5"/>
  <c r="C76" i="5"/>
  <c r="B76" i="5"/>
  <c r="A76" i="5"/>
  <c r="O75" i="5"/>
  <c r="F75" i="5"/>
  <c r="E75" i="5"/>
  <c r="D75" i="5"/>
  <c r="C75" i="5"/>
  <c r="B75" i="5"/>
  <c r="A75" i="5"/>
  <c r="O74" i="5"/>
  <c r="F74" i="5"/>
  <c r="E74" i="5"/>
  <c r="D74" i="5"/>
  <c r="C74" i="5"/>
  <c r="B74" i="5"/>
  <c r="A74" i="5"/>
  <c r="O73" i="5"/>
  <c r="F73" i="5"/>
  <c r="E73" i="5"/>
  <c r="D73" i="5"/>
  <c r="C73" i="5"/>
  <c r="B73" i="5"/>
  <c r="A73" i="5"/>
  <c r="O72" i="5"/>
  <c r="F72" i="5"/>
  <c r="E72" i="5"/>
  <c r="D72" i="5"/>
  <c r="C72" i="5"/>
  <c r="B72" i="5"/>
  <c r="A72" i="5"/>
  <c r="O71" i="5"/>
  <c r="F71" i="5"/>
  <c r="E71" i="5"/>
  <c r="D71" i="5"/>
  <c r="C71" i="5"/>
  <c r="B71" i="5"/>
  <c r="A71" i="5"/>
  <c r="O70" i="5"/>
  <c r="F70" i="5"/>
  <c r="E70" i="5"/>
  <c r="D70" i="5"/>
  <c r="C70" i="5"/>
  <c r="B70" i="5"/>
  <c r="A70" i="5"/>
  <c r="O69" i="5"/>
  <c r="F69" i="5"/>
  <c r="E69" i="5"/>
  <c r="D69" i="5"/>
  <c r="C69" i="5"/>
  <c r="B69" i="5"/>
  <c r="A69" i="5"/>
  <c r="O68" i="5"/>
  <c r="F68" i="5"/>
  <c r="E68" i="5"/>
  <c r="D68" i="5"/>
  <c r="C68" i="5"/>
  <c r="B68" i="5"/>
  <c r="A68" i="5"/>
  <c r="O67" i="5"/>
  <c r="F67" i="5"/>
  <c r="E67" i="5"/>
  <c r="D67" i="5"/>
  <c r="C67" i="5"/>
  <c r="B67" i="5"/>
  <c r="A67" i="5"/>
  <c r="O66" i="5"/>
  <c r="F66" i="5"/>
  <c r="E66" i="5"/>
  <c r="D66" i="5"/>
  <c r="C66" i="5"/>
  <c r="B66" i="5"/>
  <c r="A66" i="5"/>
  <c r="O65" i="5"/>
  <c r="F65" i="5"/>
  <c r="E65" i="5"/>
  <c r="D65" i="5"/>
  <c r="C65" i="5"/>
  <c r="B65" i="5"/>
  <c r="A65" i="5"/>
  <c r="O64" i="5"/>
  <c r="F64" i="5"/>
  <c r="E64" i="5"/>
  <c r="D64" i="5"/>
  <c r="C64" i="5"/>
  <c r="B64" i="5"/>
  <c r="A64" i="5"/>
  <c r="O63" i="5"/>
  <c r="F63" i="5"/>
  <c r="E63" i="5"/>
  <c r="D63" i="5"/>
  <c r="C63" i="5"/>
  <c r="B63" i="5"/>
  <c r="A63" i="5"/>
  <c r="O62" i="5"/>
  <c r="F62" i="5"/>
  <c r="E62" i="5"/>
  <c r="D62" i="5"/>
  <c r="C62" i="5"/>
  <c r="B62" i="5"/>
  <c r="A62" i="5"/>
  <c r="O61" i="5"/>
  <c r="F61" i="5"/>
  <c r="E61" i="5"/>
  <c r="D61" i="5"/>
  <c r="C61" i="5"/>
  <c r="B61" i="5"/>
  <c r="A61" i="5"/>
  <c r="O60" i="5"/>
  <c r="F60" i="5"/>
  <c r="E60" i="5"/>
  <c r="D60" i="5"/>
  <c r="C60" i="5"/>
  <c r="B60" i="5"/>
  <c r="A60" i="5"/>
  <c r="O59" i="5"/>
  <c r="F59" i="5"/>
  <c r="E59" i="5"/>
  <c r="D59" i="5"/>
  <c r="C59" i="5"/>
  <c r="B59" i="5"/>
  <c r="A59" i="5"/>
  <c r="O58" i="5"/>
  <c r="F58" i="5"/>
  <c r="E58" i="5"/>
  <c r="D58" i="5"/>
  <c r="C58" i="5"/>
  <c r="B58" i="5"/>
  <c r="A58" i="5"/>
  <c r="O57" i="5"/>
  <c r="F57" i="5"/>
  <c r="E57" i="5"/>
  <c r="D57" i="5"/>
  <c r="C57" i="5"/>
  <c r="B57" i="5"/>
  <c r="A57" i="5"/>
  <c r="O56" i="5"/>
  <c r="F56" i="5"/>
  <c r="E56" i="5"/>
  <c r="C56" i="5"/>
  <c r="B56" i="5"/>
  <c r="A56" i="5"/>
  <c r="O55" i="5"/>
  <c r="F55" i="5"/>
  <c r="E55" i="5"/>
  <c r="C55" i="5"/>
  <c r="B55" i="5"/>
  <c r="A55" i="5"/>
  <c r="O54" i="5"/>
  <c r="F54" i="5"/>
  <c r="E54" i="5"/>
  <c r="C54" i="5"/>
  <c r="B54" i="5"/>
  <c r="A54" i="5"/>
  <c r="O53" i="5"/>
  <c r="F53" i="5"/>
  <c r="E53" i="5"/>
  <c r="C53" i="5"/>
  <c r="B53" i="5"/>
  <c r="A53" i="5"/>
  <c r="O52" i="5"/>
  <c r="F52" i="5"/>
  <c r="E52" i="5"/>
  <c r="C52" i="5"/>
  <c r="B52" i="5"/>
  <c r="A52" i="5"/>
  <c r="O51" i="5"/>
  <c r="F51" i="5"/>
  <c r="E51" i="5"/>
  <c r="C51" i="5"/>
  <c r="B51" i="5"/>
  <c r="A51" i="5"/>
  <c r="O50" i="5"/>
  <c r="F50" i="5"/>
  <c r="E50" i="5"/>
  <c r="D50" i="5"/>
  <c r="C50" i="5"/>
  <c r="B50" i="5"/>
  <c r="A50" i="5"/>
  <c r="O49" i="5"/>
  <c r="F49" i="5"/>
  <c r="E49" i="5"/>
  <c r="D49" i="5"/>
  <c r="C49" i="5"/>
  <c r="B49" i="5"/>
  <c r="A49" i="5"/>
  <c r="O48" i="5"/>
  <c r="F48" i="5"/>
  <c r="E48" i="5"/>
  <c r="D48" i="5"/>
  <c r="C48" i="5"/>
  <c r="B48" i="5"/>
  <c r="A48" i="5"/>
  <c r="O47" i="5"/>
  <c r="F47" i="5"/>
  <c r="E47" i="5"/>
  <c r="D47" i="5"/>
  <c r="C47" i="5"/>
  <c r="B47" i="5"/>
  <c r="A47" i="5"/>
  <c r="O46" i="5"/>
  <c r="F46" i="5"/>
  <c r="E46" i="5"/>
  <c r="D46" i="5"/>
  <c r="C46" i="5"/>
  <c r="B46" i="5"/>
  <c r="A46" i="5"/>
  <c r="O45" i="5"/>
  <c r="F45" i="5"/>
  <c r="E45" i="5"/>
  <c r="D45" i="5"/>
  <c r="C45" i="5"/>
  <c r="B45" i="5"/>
  <c r="A45" i="5"/>
  <c r="O44" i="5"/>
  <c r="F44" i="5"/>
  <c r="E44" i="5"/>
  <c r="D44" i="5"/>
  <c r="C44" i="5"/>
  <c r="B44" i="5"/>
  <c r="A44" i="5"/>
  <c r="O43" i="5"/>
  <c r="F43" i="5"/>
  <c r="E43" i="5"/>
  <c r="D43" i="5"/>
  <c r="C43" i="5"/>
  <c r="B43" i="5"/>
  <c r="A43" i="5"/>
  <c r="O42" i="5"/>
  <c r="F42" i="5"/>
  <c r="E42" i="5"/>
  <c r="D42" i="5"/>
  <c r="C42" i="5"/>
  <c r="B42" i="5"/>
  <c r="A42" i="5"/>
  <c r="O41" i="5"/>
  <c r="F41" i="5"/>
  <c r="E41" i="5"/>
  <c r="D41" i="5"/>
  <c r="C41" i="5"/>
  <c r="B41" i="5"/>
  <c r="A41" i="5"/>
  <c r="O40" i="5"/>
  <c r="F40" i="5"/>
  <c r="E40" i="5"/>
  <c r="D40" i="5"/>
  <c r="C40" i="5"/>
  <c r="B40" i="5"/>
  <c r="A40" i="5"/>
  <c r="O39" i="5"/>
  <c r="F39" i="5"/>
  <c r="E39" i="5"/>
  <c r="D39" i="5"/>
  <c r="C39" i="5"/>
  <c r="B39" i="5"/>
  <c r="A39" i="5"/>
  <c r="O38" i="5"/>
  <c r="F38" i="5"/>
  <c r="E38" i="5"/>
  <c r="D38" i="5"/>
  <c r="C38" i="5"/>
  <c r="B38" i="5"/>
  <c r="A38" i="5"/>
  <c r="O37" i="5"/>
  <c r="F37" i="5"/>
  <c r="E37" i="5"/>
  <c r="D37" i="5"/>
  <c r="C37" i="5"/>
  <c r="B37" i="5"/>
  <c r="A37" i="5"/>
  <c r="O36" i="5"/>
  <c r="F36" i="5"/>
  <c r="E36" i="5"/>
  <c r="D36" i="5"/>
  <c r="C36" i="5"/>
  <c r="B36" i="5"/>
  <c r="A36" i="5"/>
  <c r="O35" i="5"/>
  <c r="F35" i="5"/>
  <c r="E35" i="5"/>
  <c r="D35" i="5"/>
  <c r="C35" i="5"/>
  <c r="B35" i="5"/>
  <c r="A35" i="5"/>
  <c r="O34" i="5"/>
  <c r="F34" i="5"/>
  <c r="E34" i="5"/>
  <c r="D34" i="5"/>
  <c r="C34" i="5"/>
  <c r="B34" i="5"/>
  <c r="A34" i="5"/>
  <c r="O33" i="5"/>
  <c r="F33" i="5"/>
  <c r="E33" i="5"/>
  <c r="D33" i="5"/>
  <c r="C33" i="5"/>
  <c r="B33" i="5"/>
  <c r="A33" i="5"/>
  <c r="O32" i="5"/>
  <c r="F32" i="5"/>
  <c r="E32" i="5"/>
  <c r="D32" i="5"/>
  <c r="C32" i="5"/>
  <c r="B32" i="5"/>
  <c r="A32" i="5"/>
  <c r="F31" i="5"/>
  <c r="E31" i="5"/>
  <c r="D31" i="5"/>
  <c r="C31" i="5"/>
  <c r="B31" i="5"/>
  <c r="A31" i="5"/>
  <c r="O30" i="5"/>
  <c r="F30" i="5"/>
  <c r="E30" i="5"/>
  <c r="D30" i="5"/>
  <c r="C30" i="5"/>
  <c r="B30" i="5"/>
  <c r="A30" i="5"/>
  <c r="O29" i="5"/>
  <c r="F29" i="5"/>
  <c r="E29" i="5"/>
  <c r="D29" i="5"/>
  <c r="C29" i="5"/>
  <c r="B29" i="5"/>
  <c r="A29" i="5"/>
  <c r="O28" i="5"/>
  <c r="F28" i="5"/>
  <c r="E28" i="5"/>
  <c r="D28" i="5"/>
  <c r="C28" i="5"/>
  <c r="B28" i="5"/>
  <c r="A28" i="5"/>
  <c r="O27" i="5"/>
  <c r="F27" i="5"/>
  <c r="E27" i="5"/>
  <c r="D27" i="5"/>
  <c r="C27" i="5"/>
  <c r="B27" i="5"/>
  <c r="A27" i="5"/>
  <c r="O26" i="5"/>
  <c r="F26" i="5"/>
  <c r="E26" i="5"/>
  <c r="D26" i="5"/>
  <c r="C26" i="5"/>
  <c r="B26" i="5"/>
  <c r="A26" i="5"/>
  <c r="O25" i="5"/>
  <c r="F25" i="5"/>
  <c r="E25" i="5"/>
  <c r="D25" i="5"/>
  <c r="C25" i="5"/>
  <c r="B25" i="5"/>
  <c r="A25" i="5"/>
  <c r="O24" i="5"/>
  <c r="F24" i="5"/>
  <c r="E24" i="5"/>
  <c r="D24" i="5"/>
  <c r="C24" i="5"/>
  <c r="B24" i="5"/>
  <c r="A24" i="5"/>
  <c r="O23" i="5"/>
  <c r="F23" i="5"/>
  <c r="E23" i="5"/>
  <c r="D23" i="5"/>
  <c r="C23" i="5"/>
  <c r="B23" i="5"/>
  <c r="A23" i="5"/>
  <c r="O22" i="5"/>
  <c r="F22" i="5"/>
  <c r="E22" i="5"/>
  <c r="D22" i="5"/>
  <c r="C22" i="5"/>
  <c r="B22" i="5"/>
  <c r="A22" i="5"/>
  <c r="O21" i="5"/>
  <c r="F21" i="5"/>
  <c r="E21" i="5"/>
  <c r="D21" i="5"/>
  <c r="C21" i="5"/>
  <c r="B21" i="5"/>
  <c r="A21" i="5"/>
  <c r="O20" i="5"/>
  <c r="F20" i="5"/>
  <c r="E20" i="5"/>
  <c r="D20" i="5"/>
  <c r="C20" i="5"/>
  <c r="B20" i="5"/>
  <c r="A20" i="5"/>
  <c r="O19" i="5"/>
  <c r="F19" i="5"/>
  <c r="E19" i="5"/>
  <c r="D19" i="5"/>
  <c r="C19" i="5"/>
  <c r="B19" i="5"/>
  <c r="A19" i="5"/>
  <c r="O18" i="5"/>
  <c r="F18" i="5"/>
  <c r="E18" i="5"/>
  <c r="D18" i="5"/>
  <c r="C18" i="5"/>
  <c r="B18" i="5"/>
  <c r="A18" i="5"/>
  <c r="O17" i="5"/>
  <c r="F17" i="5"/>
  <c r="E17" i="5"/>
  <c r="D17" i="5"/>
  <c r="C17" i="5"/>
  <c r="B17" i="5"/>
  <c r="A17" i="5"/>
  <c r="O16" i="5"/>
  <c r="F16" i="5"/>
  <c r="E16" i="5"/>
  <c r="D16" i="5"/>
  <c r="C16" i="5"/>
  <c r="B16" i="5"/>
  <c r="A16" i="5"/>
  <c r="O15" i="5"/>
  <c r="F15" i="5"/>
  <c r="E15" i="5"/>
  <c r="D15" i="5"/>
  <c r="C15" i="5"/>
  <c r="B15" i="5"/>
  <c r="A15" i="5"/>
  <c r="O14" i="5"/>
  <c r="F14" i="5"/>
  <c r="E14" i="5"/>
  <c r="D14" i="5"/>
  <c r="C14" i="5"/>
  <c r="B14" i="5"/>
  <c r="A14" i="5"/>
  <c r="O13" i="5"/>
  <c r="F13" i="5"/>
  <c r="E13" i="5"/>
  <c r="D13" i="5"/>
  <c r="C13" i="5"/>
  <c r="B13" i="5"/>
  <c r="A13" i="5"/>
  <c r="O12" i="5"/>
  <c r="F12" i="5"/>
  <c r="E12" i="5"/>
  <c r="D12" i="5"/>
  <c r="C12" i="5"/>
  <c r="B12" i="5"/>
  <c r="A12" i="5"/>
  <c r="O11" i="5"/>
  <c r="F11" i="5"/>
  <c r="E11" i="5"/>
  <c r="D11" i="5"/>
  <c r="C11" i="5"/>
  <c r="B11" i="5"/>
  <c r="A11" i="5"/>
  <c r="O10" i="5"/>
  <c r="F10" i="5"/>
  <c r="E10" i="5"/>
  <c r="D10" i="5"/>
  <c r="C10" i="5"/>
  <c r="B10" i="5"/>
  <c r="A10" i="5"/>
  <c r="O9" i="5"/>
  <c r="F9" i="5"/>
  <c r="E9" i="5"/>
  <c r="D9" i="5"/>
  <c r="C9" i="5"/>
  <c r="B9" i="5"/>
  <c r="A9" i="5"/>
  <c r="O8" i="5"/>
  <c r="F8" i="5"/>
  <c r="E8" i="5"/>
  <c r="D8" i="5"/>
  <c r="C8" i="5"/>
  <c r="B8" i="5"/>
  <c r="A8" i="5"/>
  <c r="O7" i="5"/>
  <c r="F7" i="5"/>
  <c r="E7" i="5"/>
  <c r="D7" i="5"/>
  <c r="C7" i="5"/>
  <c r="B7" i="5"/>
  <c r="A7" i="5"/>
  <c r="O6" i="5"/>
  <c r="F6" i="5"/>
  <c r="E6" i="5"/>
  <c r="D6" i="5"/>
  <c r="C6" i="5"/>
  <c r="B6" i="5"/>
  <c r="A6" i="5"/>
  <c r="O5" i="5"/>
  <c r="F5" i="5"/>
  <c r="E5" i="5"/>
  <c r="D5" i="5"/>
  <c r="C5" i="5"/>
  <c r="B5" i="5"/>
  <c r="A5" i="5"/>
  <c r="O4" i="5"/>
  <c r="F4" i="5"/>
  <c r="E4" i="5"/>
  <c r="D4" i="5"/>
  <c r="C4" i="5"/>
  <c r="B4" i="5"/>
  <c r="A4" i="5"/>
  <c r="O3" i="5"/>
  <c r="F3" i="5"/>
  <c r="E3" i="5"/>
  <c r="D3" i="5"/>
  <c r="C3" i="5"/>
  <c r="B3" i="5"/>
  <c r="A3" i="5"/>
  <c r="G2" i="5"/>
  <c r="F2" i="5"/>
  <c r="E2" i="5"/>
  <c r="D2" i="5"/>
  <c r="C2" i="5"/>
  <c r="B2" i="5"/>
  <c r="A2" i="5"/>
  <c r="A1" i="5"/>
  <c r="O106" i="4"/>
  <c r="F106" i="4"/>
  <c r="E106" i="4"/>
  <c r="D106" i="4"/>
  <c r="C106" i="4"/>
  <c r="B106" i="4"/>
  <c r="A106" i="4"/>
  <c r="O105" i="4"/>
  <c r="F105" i="4"/>
  <c r="E105" i="4"/>
  <c r="D105" i="4"/>
  <c r="C105" i="4"/>
  <c r="B105" i="4"/>
  <c r="A105" i="4"/>
  <c r="O104" i="4"/>
  <c r="F104" i="4"/>
  <c r="E104" i="4"/>
  <c r="D104" i="4"/>
  <c r="C104" i="4"/>
  <c r="B104" i="4"/>
  <c r="A104" i="4"/>
  <c r="O103" i="4"/>
  <c r="F103" i="4"/>
  <c r="E103" i="4"/>
  <c r="D103" i="4"/>
  <c r="C103" i="4"/>
  <c r="B103" i="4"/>
  <c r="A103" i="4"/>
  <c r="O102" i="4"/>
  <c r="F102" i="4"/>
  <c r="E102" i="4"/>
  <c r="D102" i="4"/>
  <c r="C102" i="4"/>
  <c r="B102" i="4"/>
  <c r="A102" i="4"/>
  <c r="O101" i="4"/>
  <c r="F101" i="4"/>
  <c r="E101" i="4"/>
  <c r="D101" i="4"/>
  <c r="C101" i="4"/>
  <c r="B101" i="4"/>
  <c r="A101" i="4"/>
  <c r="O100" i="4"/>
  <c r="F100" i="4"/>
  <c r="E100" i="4"/>
  <c r="D100" i="4"/>
  <c r="C100" i="4"/>
  <c r="B100" i="4"/>
  <c r="A100" i="4"/>
  <c r="O99" i="4"/>
  <c r="F99" i="4"/>
  <c r="E99" i="4"/>
  <c r="D99" i="4"/>
  <c r="C99" i="4"/>
  <c r="B99" i="4"/>
  <c r="A99" i="4"/>
  <c r="O98" i="4"/>
  <c r="F98" i="4"/>
  <c r="E98" i="4"/>
  <c r="D98" i="4"/>
  <c r="C98" i="4"/>
  <c r="B98" i="4"/>
  <c r="A98" i="4"/>
  <c r="O97" i="4"/>
  <c r="F97" i="4"/>
  <c r="E97" i="4"/>
  <c r="D97" i="4"/>
  <c r="C97" i="4"/>
  <c r="B97" i="4"/>
  <c r="A97" i="4"/>
  <c r="O96" i="4"/>
  <c r="F96" i="4"/>
  <c r="E96" i="4"/>
  <c r="D96" i="4"/>
  <c r="C96" i="4"/>
  <c r="B96" i="4"/>
  <c r="A96" i="4"/>
  <c r="O95" i="4"/>
  <c r="F95" i="4"/>
  <c r="E95" i="4"/>
  <c r="D95" i="4"/>
  <c r="C95" i="4"/>
  <c r="B95" i="4"/>
  <c r="A95" i="4"/>
  <c r="O94" i="4"/>
  <c r="F94" i="4"/>
  <c r="E94" i="4"/>
  <c r="D94" i="4"/>
  <c r="C94" i="4"/>
  <c r="B94" i="4"/>
  <c r="A94" i="4"/>
  <c r="O93" i="4"/>
  <c r="F93" i="4"/>
  <c r="E93" i="4"/>
  <c r="D93" i="4"/>
  <c r="C93" i="4"/>
  <c r="B93" i="4"/>
  <c r="A93" i="4"/>
  <c r="O92" i="4"/>
  <c r="F92" i="4"/>
  <c r="E92" i="4"/>
  <c r="D92" i="4"/>
  <c r="C92" i="4"/>
  <c r="B92" i="4"/>
  <c r="A92" i="4"/>
  <c r="O91" i="4"/>
  <c r="F91" i="4"/>
  <c r="E91" i="4"/>
  <c r="D91" i="4"/>
  <c r="C91" i="4"/>
  <c r="B91" i="4"/>
  <c r="A91" i="4"/>
  <c r="O90" i="4"/>
  <c r="F90" i="4"/>
  <c r="E90" i="4"/>
  <c r="D90" i="4"/>
  <c r="C90" i="4"/>
  <c r="B90" i="4"/>
  <c r="A90" i="4"/>
  <c r="O89" i="4"/>
  <c r="F89" i="4"/>
  <c r="E89" i="4"/>
  <c r="D89" i="4"/>
  <c r="C89" i="4"/>
  <c r="B89" i="4"/>
  <c r="A89" i="4"/>
  <c r="O88" i="4"/>
  <c r="F88" i="4"/>
  <c r="E88" i="4"/>
  <c r="D88" i="4"/>
  <c r="C88" i="4"/>
  <c r="B88" i="4"/>
  <c r="A88" i="4"/>
  <c r="O87" i="4"/>
  <c r="F87" i="4"/>
  <c r="E87" i="4"/>
  <c r="D87" i="4"/>
  <c r="C87" i="4"/>
  <c r="B87" i="4"/>
  <c r="A87" i="4"/>
  <c r="O86" i="4"/>
  <c r="F86" i="4"/>
  <c r="E86" i="4"/>
  <c r="D86" i="4"/>
  <c r="C86" i="4"/>
  <c r="B86" i="4"/>
  <c r="A86" i="4"/>
  <c r="O85" i="4"/>
  <c r="F85" i="4"/>
  <c r="E85" i="4"/>
  <c r="D85" i="4"/>
  <c r="C85" i="4"/>
  <c r="B85" i="4"/>
  <c r="A85" i="4"/>
  <c r="O84" i="4"/>
  <c r="F84" i="4"/>
  <c r="E84" i="4"/>
  <c r="D84" i="4"/>
  <c r="C84" i="4"/>
  <c r="B84" i="4"/>
  <c r="A84" i="4"/>
  <c r="O83" i="4"/>
  <c r="F83" i="4"/>
  <c r="E83" i="4"/>
  <c r="D83" i="4"/>
  <c r="C83" i="4"/>
  <c r="B83" i="4"/>
  <c r="A83" i="4"/>
  <c r="O82" i="4"/>
  <c r="F82" i="4"/>
  <c r="E82" i="4"/>
  <c r="D82" i="4"/>
  <c r="C82" i="4"/>
  <c r="B82" i="4"/>
  <c r="A82" i="4"/>
  <c r="O81" i="4"/>
  <c r="F81" i="4"/>
  <c r="E81" i="4"/>
  <c r="D81" i="4"/>
  <c r="C81" i="4"/>
  <c r="B81" i="4"/>
  <c r="A81" i="4"/>
  <c r="O80" i="4"/>
  <c r="F80" i="4"/>
  <c r="E80" i="4"/>
  <c r="D80" i="4"/>
  <c r="C80" i="4"/>
  <c r="B80" i="4"/>
  <c r="A80" i="4"/>
  <c r="O79" i="4"/>
  <c r="F79" i="4"/>
  <c r="E79" i="4"/>
  <c r="D79" i="4"/>
  <c r="C79" i="4"/>
  <c r="B79" i="4"/>
  <c r="A79" i="4"/>
  <c r="O78" i="4"/>
  <c r="F78" i="4"/>
  <c r="E78" i="4"/>
  <c r="D78" i="4"/>
  <c r="C78" i="4"/>
  <c r="B78" i="4"/>
  <c r="A78" i="4"/>
  <c r="O77" i="4"/>
  <c r="F77" i="4"/>
  <c r="E77" i="4"/>
  <c r="D77" i="4"/>
  <c r="C77" i="4"/>
  <c r="B77" i="4"/>
  <c r="A77" i="4"/>
  <c r="O76" i="4"/>
  <c r="F76" i="4"/>
  <c r="E76" i="4"/>
  <c r="D76" i="4"/>
  <c r="C76" i="4"/>
  <c r="B76" i="4"/>
  <c r="A76" i="4"/>
  <c r="O75" i="4"/>
  <c r="F75" i="4"/>
  <c r="E75" i="4"/>
  <c r="D75" i="4"/>
  <c r="C75" i="4"/>
  <c r="B75" i="4"/>
  <c r="A75" i="4"/>
  <c r="O74" i="4"/>
  <c r="F74" i="4"/>
  <c r="E74" i="4"/>
  <c r="D74" i="4"/>
  <c r="C74" i="4"/>
  <c r="B74" i="4"/>
  <c r="A74" i="4"/>
  <c r="O73" i="4"/>
  <c r="F73" i="4"/>
  <c r="E73" i="4"/>
  <c r="D73" i="4"/>
  <c r="C73" i="4"/>
  <c r="B73" i="4"/>
  <c r="A73" i="4"/>
  <c r="O72" i="4"/>
  <c r="F72" i="4"/>
  <c r="E72" i="4"/>
  <c r="D72" i="4"/>
  <c r="C72" i="4"/>
  <c r="B72" i="4"/>
  <c r="A72" i="4"/>
  <c r="O71" i="4"/>
  <c r="F71" i="4"/>
  <c r="E71" i="4"/>
  <c r="D71" i="4"/>
  <c r="C71" i="4"/>
  <c r="B71" i="4"/>
  <c r="A71" i="4"/>
  <c r="O70" i="4"/>
  <c r="F70" i="4"/>
  <c r="E70" i="4"/>
  <c r="D70" i="4"/>
  <c r="C70" i="4"/>
  <c r="B70" i="4"/>
  <c r="A70" i="4"/>
  <c r="O69" i="4"/>
  <c r="F69" i="4"/>
  <c r="E69" i="4"/>
  <c r="D69" i="4"/>
  <c r="C69" i="4"/>
  <c r="B69" i="4"/>
  <c r="A69" i="4"/>
  <c r="O68" i="4"/>
  <c r="F68" i="4"/>
  <c r="E68" i="4"/>
  <c r="D68" i="4"/>
  <c r="C68" i="4"/>
  <c r="B68" i="4"/>
  <c r="A68" i="4"/>
  <c r="O67" i="4"/>
  <c r="F67" i="4"/>
  <c r="E67" i="4"/>
  <c r="D67" i="4"/>
  <c r="C67" i="4"/>
  <c r="B67" i="4"/>
  <c r="A67" i="4"/>
  <c r="O66" i="4"/>
  <c r="F66" i="4"/>
  <c r="E66" i="4"/>
  <c r="D66" i="4"/>
  <c r="C66" i="4"/>
  <c r="B66" i="4"/>
  <c r="A66" i="4"/>
  <c r="O65" i="4"/>
  <c r="F65" i="4"/>
  <c r="E65" i="4"/>
  <c r="D65" i="4"/>
  <c r="C65" i="4"/>
  <c r="B65" i="4"/>
  <c r="A65" i="4"/>
  <c r="O64" i="4"/>
  <c r="F64" i="4"/>
  <c r="E64" i="4"/>
  <c r="D64" i="4"/>
  <c r="C64" i="4"/>
  <c r="B64" i="4"/>
  <c r="A64" i="4"/>
  <c r="O63" i="4"/>
  <c r="F63" i="4"/>
  <c r="E63" i="4"/>
  <c r="D63" i="4"/>
  <c r="C63" i="4"/>
  <c r="B63" i="4"/>
  <c r="A63" i="4"/>
  <c r="O62" i="4"/>
  <c r="F62" i="4"/>
  <c r="E62" i="4"/>
  <c r="D62" i="4"/>
  <c r="C62" i="4"/>
  <c r="B62" i="4"/>
  <c r="A62" i="4"/>
  <c r="O61" i="4"/>
  <c r="F61" i="4"/>
  <c r="E61" i="4"/>
  <c r="D61" i="4"/>
  <c r="C61" i="4"/>
  <c r="B61" i="4"/>
  <c r="A61" i="4"/>
  <c r="O60" i="4"/>
  <c r="F60" i="4"/>
  <c r="E60" i="4"/>
  <c r="D60" i="4"/>
  <c r="C60" i="4"/>
  <c r="B60" i="4"/>
  <c r="A60" i="4"/>
  <c r="O59" i="4"/>
  <c r="F59" i="4"/>
  <c r="E59" i="4"/>
  <c r="D59" i="4"/>
  <c r="C59" i="4"/>
  <c r="B59" i="4"/>
  <c r="A59" i="4"/>
  <c r="O58" i="4"/>
  <c r="F58" i="4"/>
  <c r="E58" i="4"/>
  <c r="D58" i="4"/>
  <c r="C58" i="4"/>
  <c r="B58" i="4"/>
  <c r="A58" i="4"/>
  <c r="O57" i="4"/>
  <c r="F57" i="4"/>
  <c r="E57" i="4"/>
  <c r="D57" i="4"/>
  <c r="C57" i="4"/>
  <c r="B57" i="4"/>
  <c r="A57" i="4"/>
  <c r="O56" i="4"/>
  <c r="F56" i="4"/>
  <c r="E56" i="4"/>
  <c r="D56" i="4"/>
  <c r="C56" i="4"/>
  <c r="B56" i="4"/>
  <c r="A56" i="4"/>
  <c r="O55" i="4"/>
  <c r="F55" i="4"/>
  <c r="E55" i="4"/>
  <c r="D55" i="4"/>
  <c r="C55" i="4"/>
  <c r="B55" i="4"/>
  <c r="A55" i="4"/>
  <c r="O54" i="4"/>
  <c r="F54" i="4"/>
  <c r="E54" i="4"/>
  <c r="D54" i="4"/>
  <c r="C54" i="4"/>
  <c r="B54" i="4"/>
  <c r="A54" i="4"/>
  <c r="O53" i="4"/>
  <c r="F53" i="4"/>
  <c r="E53" i="4"/>
  <c r="D53" i="4"/>
  <c r="C53" i="4"/>
  <c r="B53" i="4"/>
  <c r="A53" i="4"/>
  <c r="O52" i="4"/>
  <c r="F52" i="4"/>
  <c r="E52" i="4"/>
  <c r="D52" i="4"/>
  <c r="C52" i="4"/>
  <c r="B52" i="4"/>
  <c r="A52" i="4"/>
  <c r="O51" i="4"/>
  <c r="F51" i="4"/>
  <c r="E51" i="4"/>
  <c r="D51" i="4"/>
  <c r="C51" i="4"/>
  <c r="B51" i="4"/>
  <c r="A51" i="4"/>
  <c r="O50" i="4"/>
  <c r="F50" i="4"/>
  <c r="E50" i="4"/>
  <c r="D50" i="4"/>
  <c r="C50" i="4"/>
  <c r="B50" i="4"/>
  <c r="A50" i="4"/>
  <c r="O49" i="4"/>
  <c r="F49" i="4"/>
  <c r="E49" i="4"/>
  <c r="D49" i="4"/>
  <c r="C49" i="4"/>
  <c r="B49" i="4"/>
  <c r="A49" i="4"/>
  <c r="O48" i="4"/>
  <c r="F48" i="4"/>
  <c r="E48" i="4"/>
  <c r="D48" i="4"/>
  <c r="C48" i="4"/>
  <c r="B48" i="4"/>
  <c r="A48" i="4"/>
  <c r="O47" i="4"/>
  <c r="F47" i="4"/>
  <c r="E47" i="4"/>
  <c r="D47" i="4"/>
  <c r="C47" i="4"/>
  <c r="B47" i="4"/>
  <c r="A47" i="4"/>
  <c r="O46" i="4"/>
  <c r="F46" i="4"/>
  <c r="E46" i="4"/>
  <c r="D46" i="4"/>
  <c r="C46" i="4"/>
  <c r="B46" i="4"/>
  <c r="A46" i="4"/>
  <c r="O45" i="4"/>
  <c r="F45" i="4"/>
  <c r="E45" i="4"/>
  <c r="D45" i="4"/>
  <c r="C45" i="4"/>
  <c r="B45" i="4"/>
  <c r="A45" i="4"/>
  <c r="O44" i="4"/>
  <c r="F44" i="4"/>
  <c r="E44" i="4"/>
  <c r="D44" i="4"/>
  <c r="C44" i="4"/>
  <c r="B44" i="4"/>
  <c r="A44" i="4"/>
  <c r="O43" i="4"/>
  <c r="F43" i="4"/>
  <c r="E43" i="4"/>
  <c r="D43" i="4"/>
  <c r="C43" i="4"/>
  <c r="B43" i="4"/>
  <c r="A43" i="4"/>
  <c r="O42" i="4"/>
  <c r="F42" i="4"/>
  <c r="E42" i="4"/>
  <c r="D42" i="4"/>
  <c r="C42" i="4"/>
  <c r="B42" i="4"/>
  <c r="A42" i="4"/>
  <c r="O41" i="4"/>
  <c r="F41" i="4"/>
  <c r="E41" i="4"/>
  <c r="D41" i="4"/>
  <c r="C41" i="4"/>
  <c r="B41" i="4"/>
  <c r="A41" i="4"/>
  <c r="O40" i="4"/>
  <c r="F40" i="4"/>
  <c r="E40" i="4"/>
  <c r="D40" i="4"/>
  <c r="C40" i="4"/>
  <c r="B40" i="4"/>
  <c r="A40" i="4"/>
  <c r="O39" i="4"/>
  <c r="F39" i="4"/>
  <c r="E39" i="4"/>
  <c r="D39" i="4"/>
  <c r="C39" i="4"/>
  <c r="B39" i="4"/>
  <c r="A39" i="4"/>
  <c r="O38" i="4"/>
  <c r="F38" i="4"/>
  <c r="E38" i="4"/>
  <c r="D38" i="4"/>
  <c r="C38" i="4"/>
  <c r="B38" i="4"/>
  <c r="A38" i="4"/>
  <c r="O37" i="4"/>
  <c r="F37" i="4"/>
  <c r="E37" i="4"/>
  <c r="D37" i="4"/>
  <c r="C37" i="4"/>
  <c r="B37" i="4"/>
  <c r="A37" i="4"/>
  <c r="O36" i="4"/>
  <c r="F36" i="4"/>
  <c r="E36" i="4"/>
  <c r="D36" i="4"/>
  <c r="C36" i="4"/>
  <c r="B36" i="4"/>
  <c r="A36" i="4"/>
  <c r="O35" i="4"/>
  <c r="F35" i="4"/>
  <c r="E35" i="4"/>
  <c r="D35" i="4"/>
  <c r="C35" i="4"/>
  <c r="B35" i="4"/>
  <c r="A35" i="4"/>
  <c r="F34" i="4"/>
  <c r="E34" i="4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O28" i="4"/>
  <c r="F28" i="4"/>
  <c r="E28" i="4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O22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O13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O10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F3" i="4"/>
  <c r="E3" i="4"/>
  <c r="D3" i="4"/>
  <c r="C3" i="4"/>
  <c r="B3" i="4"/>
  <c r="A3" i="4"/>
  <c r="G2" i="4"/>
  <c r="F2" i="4"/>
  <c r="E2" i="4"/>
  <c r="D2" i="4"/>
  <c r="C2" i="4"/>
  <c r="B2" i="4"/>
  <c r="A2" i="4"/>
  <c r="A1" i="4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3" i="3"/>
  <c r="G4" i="3"/>
  <c r="H4" i="3"/>
  <c r="F4" i="3"/>
  <c r="D4" i="3"/>
  <c r="C4" i="3"/>
  <c r="N106" i="10"/>
  <c r="L106" i="10"/>
  <c r="J106" i="10"/>
  <c r="I106" i="10"/>
  <c r="G106" i="10"/>
  <c r="N105" i="10"/>
  <c r="L105" i="10"/>
  <c r="J105" i="10"/>
  <c r="I105" i="10"/>
  <c r="G105" i="10"/>
  <c r="N104" i="10"/>
  <c r="L104" i="10"/>
  <c r="J104" i="10"/>
  <c r="I104" i="10"/>
  <c r="G104" i="10"/>
  <c r="N103" i="10"/>
  <c r="L103" i="10"/>
  <c r="J103" i="10"/>
  <c r="I103" i="10"/>
  <c r="G103" i="10"/>
  <c r="N102" i="10"/>
  <c r="L102" i="10"/>
  <c r="J102" i="10"/>
  <c r="I102" i="10"/>
  <c r="G102" i="10"/>
  <c r="N101" i="10"/>
  <c r="L101" i="10"/>
  <c r="J101" i="10"/>
  <c r="I101" i="10"/>
  <c r="G101" i="10"/>
  <c r="N100" i="10"/>
  <c r="L100" i="10"/>
  <c r="J100" i="10"/>
  <c r="I100" i="10"/>
  <c r="G100" i="10"/>
  <c r="N99" i="10"/>
  <c r="L99" i="10"/>
  <c r="J99" i="10"/>
  <c r="I99" i="10"/>
  <c r="G99" i="10"/>
  <c r="N98" i="10"/>
  <c r="L98" i="10"/>
  <c r="J98" i="10"/>
  <c r="I98" i="10"/>
  <c r="G98" i="10"/>
  <c r="N97" i="10"/>
  <c r="L97" i="10"/>
  <c r="J97" i="10"/>
  <c r="I97" i="10"/>
  <c r="G97" i="10"/>
  <c r="N96" i="10"/>
  <c r="L96" i="10"/>
  <c r="J96" i="10"/>
  <c r="I96" i="10"/>
  <c r="G96" i="10"/>
  <c r="N95" i="10"/>
  <c r="L95" i="10"/>
  <c r="J95" i="10"/>
  <c r="I95" i="10"/>
  <c r="G95" i="10"/>
  <c r="N94" i="10"/>
  <c r="L94" i="10"/>
  <c r="J94" i="10"/>
  <c r="I94" i="10"/>
  <c r="G94" i="10"/>
  <c r="N93" i="10"/>
  <c r="L93" i="10"/>
  <c r="J93" i="10"/>
  <c r="I93" i="10"/>
  <c r="G93" i="10"/>
  <c r="N92" i="10"/>
  <c r="L92" i="10"/>
  <c r="J92" i="10"/>
  <c r="I92" i="10"/>
  <c r="G92" i="10"/>
  <c r="N91" i="10"/>
  <c r="L91" i="10"/>
  <c r="J91" i="10"/>
  <c r="I91" i="10"/>
  <c r="G91" i="10"/>
  <c r="N90" i="10"/>
  <c r="L90" i="10"/>
  <c r="J90" i="10"/>
  <c r="I90" i="10"/>
  <c r="G90" i="10"/>
  <c r="N89" i="10"/>
  <c r="L89" i="10"/>
  <c r="J89" i="10"/>
  <c r="I89" i="10"/>
  <c r="G89" i="10"/>
  <c r="N88" i="10"/>
  <c r="L88" i="10"/>
  <c r="J88" i="10"/>
  <c r="I88" i="10"/>
  <c r="G88" i="10"/>
  <c r="N87" i="10"/>
  <c r="L87" i="10"/>
  <c r="J87" i="10"/>
  <c r="I87" i="10"/>
  <c r="G87" i="10"/>
  <c r="N86" i="10"/>
  <c r="L86" i="10"/>
  <c r="J86" i="10"/>
  <c r="I86" i="10"/>
  <c r="G86" i="10"/>
  <c r="N85" i="10"/>
  <c r="L85" i="10"/>
  <c r="J85" i="10"/>
  <c r="I85" i="10"/>
  <c r="G85" i="10"/>
  <c r="N84" i="10"/>
  <c r="L84" i="10"/>
  <c r="J84" i="10"/>
  <c r="I84" i="10"/>
  <c r="G84" i="10"/>
  <c r="N83" i="10"/>
  <c r="L83" i="10"/>
  <c r="J83" i="10"/>
  <c r="I83" i="10"/>
  <c r="G83" i="10"/>
  <c r="N82" i="10"/>
  <c r="L82" i="10"/>
  <c r="J82" i="10"/>
  <c r="I82" i="10"/>
  <c r="G82" i="10"/>
  <c r="N81" i="10"/>
  <c r="L81" i="10"/>
  <c r="J81" i="10"/>
  <c r="I81" i="10"/>
  <c r="G81" i="10"/>
  <c r="N80" i="10"/>
  <c r="L80" i="10"/>
  <c r="J80" i="10"/>
  <c r="I80" i="10"/>
  <c r="G80" i="10"/>
  <c r="N79" i="10"/>
  <c r="L79" i="10"/>
  <c r="J79" i="10"/>
  <c r="I79" i="10"/>
  <c r="G79" i="10"/>
  <c r="N78" i="10"/>
  <c r="L78" i="10"/>
  <c r="J78" i="10"/>
  <c r="I78" i="10"/>
  <c r="G78" i="10"/>
  <c r="N77" i="10"/>
  <c r="L77" i="10"/>
  <c r="J77" i="10"/>
  <c r="I77" i="10"/>
  <c r="G77" i="10"/>
  <c r="N76" i="10"/>
  <c r="L76" i="10"/>
  <c r="J76" i="10"/>
  <c r="I76" i="10"/>
  <c r="G76" i="10"/>
  <c r="N75" i="10"/>
  <c r="L75" i="10"/>
  <c r="J75" i="10"/>
  <c r="I75" i="10"/>
  <c r="G75" i="10"/>
  <c r="N74" i="10"/>
  <c r="L74" i="10"/>
  <c r="J74" i="10"/>
  <c r="I74" i="10"/>
  <c r="G74" i="10"/>
  <c r="N73" i="10"/>
  <c r="L73" i="10"/>
  <c r="J73" i="10"/>
  <c r="I73" i="10"/>
  <c r="G73" i="10"/>
  <c r="N72" i="10"/>
  <c r="L72" i="10"/>
  <c r="J72" i="10"/>
  <c r="I72" i="10"/>
  <c r="G72" i="10"/>
  <c r="N71" i="10"/>
  <c r="L71" i="10"/>
  <c r="J71" i="10"/>
  <c r="I71" i="10"/>
  <c r="G71" i="10"/>
  <c r="N70" i="10"/>
  <c r="L70" i="10"/>
  <c r="J70" i="10"/>
  <c r="I70" i="10"/>
  <c r="G70" i="10"/>
  <c r="N69" i="10"/>
  <c r="L69" i="10"/>
  <c r="J69" i="10"/>
  <c r="I69" i="10"/>
  <c r="G69" i="10"/>
  <c r="N68" i="10"/>
  <c r="L68" i="10"/>
  <c r="J68" i="10"/>
  <c r="I68" i="10"/>
  <c r="G68" i="10"/>
  <c r="N67" i="10"/>
  <c r="L67" i="10"/>
  <c r="J67" i="10"/>
  <c r="I67" i="10"/>
  <c r="G67" i="10"/>
  <c r="N66" i="10"/>
  <c r="L66" i="10"/>
  <c r="J66" i="10"/>
  <c r="I66" i="10"/>
  <c r="G66" i="10"/>
  <c r="N65" i="10"/>
  <c r="L65" i="10"/>
  <c r="J65" i="10"/>
  <c r="I65" i="10"/>
  <c r="G65" i="10"/>
  <c r="N64" i="10"/>
  <c r="L64" i="10"/>
  <c r="J64" i="10"/>
  <c r="I64" i="10"/>
  <c r="G64" i="10"/>
  <c r="N63" i="10"/>
  <c r="L63" i="10"/>
  <c r="J63" i="10"/>
  <c r="I63" i="10"/>
  <c r="G63" i="10"/>
  <c r="N62" i="10"/>
  <c r="L62" i="10"/>
  <c r="J62" i="10"/>
  <c r="I62" i="10"/>
  <c r="N61" i="10"/>
  <c r="L61" i="10"/>
  <c r="J61" i="10"/>
  <c r="I61" i="10"/>
  <c r="N60" i="10"/>
  <c r="J60" i="10"/>
  <c r="I60" i="10"/>
  <c r="N59" i="10"/>
  <c r="L59" i="10"/>
  <c r="J59" i="10"/>
  <c r="I59" i="10"/>
  <c r="N58" i="10"/>
  <c r="L58" i="10"/>
  <c r="J58" i="10"/>
  <c r="I58" i="10"/>
  <c r="N57" i="10"/>
  <c r="L57" i="10"/>
  <c r="J57" i="10"/>
  <c r="I57" i="10"/>
  <c r="N56" i="10"/>
  <c r="J56" i="10"/>
  <c r="I56" i="10"/>
  <c r="N55" i="10"/>
  <c r="L55" i="10"/>
  <c r="J55" i="10"/>
  <c r="I55" i="10"/>
  <c r="N54" i="10"/>
  <c r="L54" i="10"/>
  <c r="J54" i="10"/>
  <c r="I54" i="10"/>
  <c r="N53" i="10"/>
  <c r="L53" i="10"/>
  <c r="J53" i="10"/>
  <c r="I53" i="10"/>
  <c r="N52" i="10"/>
  <c r="L52" i="10"/>
  <c r="J52" i="10"/>
  <c r="I52" i="10"/>
  <c r="N51" i="10"/>
  <c r="L51" i="10"/>
  <c r="J51" i="10"/>
  <c r="I51" i="10"/>
  <c r="N50" i="10"/>
  <c r="L50" i="10"/>
  <c r="J50" i="10"/>
  <c r="I50" i="10"/>
  <c r="N49" i="10"/>
  <c r="L49" i="10"/>
  <c r="J49" i="10"/>
  <c r="I49" i="10"/>
  <c r="N48" i="10"/>
  <c r="L48" i="10"/>
  <c r="J48" i="10"/>
  <c r="I48" i="10"/>
  <c r="G48" i="10"/>
  <c r="N47" i="10"/>
  <c r="L47" i="10"/>
  <c r="J47" i="10"/>
  <c r="I47" i="10"/>
  <c r="N46" i="10"/>
  <c r="L46" i="10"/>
  <c r="J46" i="10"/>
  <c r="I46" i="10"/>
  <c r="N45" i="10"/>
  <c r="L45" i="10"/>
  <c r="J45" i="10"/>
  <c r="I45" i="10"/>
  <c r="N44" i="10"/>
  <c r="L44" i="10"/>
  <c r="J44" i="10"/>
  <c r="I44" i="10"/>
  <c r="N43" i="10"/>
  <c r="L43" i="10"/>
  <c r="J43" i="10"/>
  <c r="I43" i="10"/>
  <c r="N42" i="10"/>
  <c r="N13" i="10"/>
  <c r="L13" i="10"/>
  <c r="J13" i="10"/>
  <c r="I13" i="10"/>
  <c r="N12" i="10"/>
  <c r="L12" i="10"/>
  <c r="J12" i="10"/>
  <c r="I12" i="10"/>
  <c r="N11" i="10"/>
  <c r="L11" i="10"/>
  <c r="J11" i="10"/>
  <c r="I11" i="10"/>
  <c r="N10" i="10"/>
  <c r="L10" i="10"/>
  <c r="J10" i="10"/>
  <c r="I10" i="10"/>
  <c r="G10" i="10"/>
  <c r="N9" i="10"/>
  <c r="L9" i="10"/>
  <c r="J9" i="10"/>
  <c r="I9" i="10"/>
  <c r="G9" i="10"/>
  <c r="N8" i="10"/>
  <c r="L8" i="10"/>
  <c r="J8" i="10"/>
  <c r="I8" i="10"/>
  <c r="G8" i="10"/>
  <c r="N7" i="10"/>
  <c r="L7" i="10"/>
  <c r="J7" i="10"/>
  <c r="I7" i="10"/>
  <c r="G7" i="10"/>
  <c r="N6" i="10"/>
  <c r="L6" i="10"/>
  <c r="J6" i="10"/>
  <c r="I6" i="10"/>
  <c r="G6" i="10"/>
  <c r="N5" i="10"/>
  <c r="L5" i="10"/>
  <c r="J5" i="10"/>
  <c r="I5" i="10"/>
  <c r="G5" i="10"/>
  <c r="N4" i="10"/>
  <c r="L4" i="10"/>
  <c r="J4" i="10"/>
  <c r="I4" i="10"/>
  <c r="G4" i="10"/>
  <c r="N41" i="10"/>
  <c r="J41" i="10"/>
  <c r="I41" i="10"/>
  <c r="N40" i="10"/>
  <c r="L40" i="10"/>
  <c r="J40" i="10"/>
  <c r="I40" i="10"/>
  <c r="N39" i="10"/>
  <c r="L39" i="10"/>
  <c r="J39" i="10"/>
  <c r="I39" i="10"/>
  <c r="N38" i="10"/>
  <c r="L38" i="10"/>
  <c r="J38" i="10"/>
  <c r="I38" i="10"/>
  <c r="N37" i="10"/>
  <c r="L37" i="10"/>
  <c r="J37" i="10"/>
  <c r="I37" i="10"/>
  <c r="N36" i="10"/>
  <c r="L36" i="10"/>
  <c r="J36" i="10"/>
  <c r="I36" i="10"/>
  <c r="N35" i="10"/>
  <c r="L35" i="10"/>
  <c r="J35" i="10"/>
  <c r="I35" i="10"/>
  <c r="N34" i="10"/>
  <c r="L34" i="10"/>
  <c r="J34" i="10"/>
  <c r="I34" i="10"/>
  <c r="N33" i="10"/>
  <c r="L33" i="10"/>
  <c r="J33" i="10"/>
  <c r="I33" i="10"/>
  <c r="N32" i="10"/>
  <c r="L32" i="10"/>
  <c r="J32" i="10"/>
  <c r="I32" i="10"/>
  <c r="N31" i="10"/>
  <c r="L31" i="10"/>
  <c r="J31" i="10"/>
  <c r="I31" i="10"/>
  <c r="N30" i="10"/>
  <c r="L30" i="10"/>
  <c r="J30" i="10"/>
  <c r="I30" i="10"/>
  <c r="N29" i="10"/>
  <c r="L29" i="10"/>
  <c r="J29" i="10"/>
  <c r="I29" i="10"/>
  <c r="G29" i="10"/>
  <c r="N28" i="10"/>
  <c r="L28" i="10"/>
  <c r="J28" i="10"/>
  <c r="I28" i="10"/>
  <c r="N27" i="10"/>
  <c r="L27" i="10"/>
  <c r="J27" i="10"/>
  <c r="I27" i="10"/>
  <c r="N26" i="10"/>
  <c r="L26" i="10"/>
  <c r="J26" i="10"/>
  <c r="I26" i="10"/>
  <c r="N25" i="10"/>
  <c r="L25" i="10"/>
  <c r="J25" i="10"/>
  <c r="I25" i="10"/>
  <c r="N24" i="10"/>
  <c r="L24" i="10"/>
  <c r="J24" i="10"/>
  <c r="I24" i="10"/>
  <c r="N23" i="10"/>
  <c r="L23" i="10"/>
  <c r="J23" i="10"/>
  <c r="I23" i="10"/>
  <c r="N22" i="10"/>
  <c r="L22" i="10"/>
  <c r="J22" i="10"/>
  <c r="I22" i="10"/>
  <c r="G22" i="10"/>
  <c r="N21" i="10"/>
  <c r="L21" i="10"/>
  <c r="J21" i="10"/>
  <c r="I21" i="10"/>
  <c r="N20" i="10"/>
  <c r="L20" i="10"/>
  <c r="J20" i="10"/>
  <c r="I20" i="10"/>
  <c r="N19" i="10"/>
  <c r="L19" i="10"/>
  <c r="J19" i="10"/>
  <c r="I19" i="10"/>
  <c r="N18" i="10"/>
  <c r="L18" i="10"/>
  <c r="J18" i="10"/>
  <c r="I18" i="10"/>
  <c r="N17" i="10"/>
  <c r="L17" i="10"/>
  <c r="J17" i="10"/>
  <c r="I17" i="10"/>
  <c r="N16" i="10"/>
  <c r="L16" i="10"/>
  <c r="J16" i="10"/>
  <c r="I16" i="10"/>
  <c r="N15" i="10"/>
  <c r="L15" i="10"/>
  <c r="J15" i="10"/>
  <c r="I15" i="10"/>
  <c r="N14" i="10"/>
  <c r="L14" i="10"/>
  <c r="J14" i="10"/>
  <c r="I14" i="10"/>
  <c r="N3" i="10"/>
  <c r="L3" i="10"/>
  <c r="J3" i="10"/>
  <c r="I3" i="10"/>
  <c r="G3" i="10"/>
  <c r="N2" i="10"/>
  <c r="M2" i="10"/>
  <c r="L2" i="10"/>
  <c r="K2" i="10"/>
  <c r="J2" i="10"/>
  <c r="I2" i="10"/>
  <c r="N106" i="9"/>
  <c r="L106" i="9"/>
  <c r="J106" i="9"/>
  <c r="I106" i="9"/>
  <c r="G106" i="9"/>
  <c r="N105" i="9"/>
  <c r="L105" i="9"/>
  <c r="J105" i="9"/>
  <c r="I105" i="9"/>
  <c r="G105" i="9"/>
  <c r="N104" i="9"/>
  <c r="L104" i="9"/>
  <c r="J104" i="9"/>
  <c r="I104" i="9"/>
  <c r="G104" i="9"/>
  <c r="N103" i="9"/>
  <c r="L103" i="9"/>
  <c r="J103" i="9"/>
  <c r="I103" i="9"/>
  <c r="G103" i="9"/>
  <c r="N102" i="9"/>
  <c r="L102" i="9"/>
  <c r="J102" i="9"/>
  <c r="I102" i="9"/>
  <c r="G102" i="9"/>
  <c r="N101" i="9"/>
  <c r="L101" i="9"/>
  <c r="J101" i="9"/>
  <c r="I101" i="9"/>
  <c r="G101" i="9"/>
  <c r="N100" i="9"/>
  <c r="L100" i="9"/>
  <c r="J100" i="9"/>
  <c r="I100" i="9"/>
  <c r="G100" i="9"/>
  <c r="N99" i="9"/>
  <c r="L99" i="9"/>
  <c r="J99" i="9"/>
  <c r="I99" i="9"/>
  <c r="G99" i="9"/>
  <c r="N98" i="9"/>
  <c r="L98" i="9"/>
  <c r="J98" i="9"/>
  <c r="I98" i="9"/>
  <c r="G98" i="9"/>
  <c r="N97" i="9"/>
  <c r="L97" i="9"/>
  <c r="J97" i="9"/>
  <c r="I97" i="9"/>
  <c r="G97" i="9"/>
  <c r="N96" i="9"/>
  <c r="L96" i="9"/>
  <c r="J96" i="9"/>
  <c r="I96" i="9"/>
  <c r="G96" i="9"/>
  <c r="N95" i="9"/>
  <c r="L95" i="9"/>
  <c r="J95" i="9"/>
  <c r="I95" i="9"/>
  <c r="G95" i="9"/>
  <c r="N94" i="9"/>
  <c r="L94" i="9"/>
  <c r="J94" i="9"/>
  <c r="I94" i="9"/>
  <c r="G94" i="9"/>
  <c r="N93" i="9"/>
  <c r="L93" i="9"/>
  <c r="J93" i="9"/>
  <c r="I93" i="9"/>
  <c r="G93" i="9"/>
  <c r="N92" i="9"/>
  <c r="L92" i="9"/>
  <c r="J92" i="9"/>
  <c r="I92" i="9"/>
  <c r="G92" i="9"/>
  <c r="N91" i="9"/>
  <c r="L91" i="9"/>
  <c r="J91" i="9"/>
  <c r="I91" i="9"/>
  <c r="G91" i="9"/>
  <c r="N90" i="9"/>
  <c r="L90" i="9"/>
  <c r="J90" i="9"/>
  <c r="I90" i="9"/>
  <c r="G90" i="9"/>
  <c r="S89" i="9"/>
  <c r="N89" i="9"/>
  <c r="L89" i="9"/>
  <c r="J89" i="9"/>
  <c r="I89" i="9"/>
  <c r="G89" i="9"/>
  <c r="N88" i="9"/>
  <c r="L88" i="9"/>
  <c r="J88" i="9"/>
  <c r="I88" i="9"/>
  <c r="G88" i="9"/>
  <c r="N87" i="9"/>
  <c r="L87" i="9"/>
  <c r="J87" i="9"/>
  <c r="I87" i="9"/>
  <c r="G87" i="9"/>
  <c r="N86" i="9"/>
  <c r="L86" i="9"/>
  <c r="J86" i="9"/>
  <c r="I86" i="9"/>
  <c r="G86" i="9"/>
  <c r="N85" i="9"/>
  <c r="L85" i="9"/>
  <c r="J85" i="9"/>
  <c r="I85" i="9"/>
  <c r="G85" i="9"/>
  <c r="N84" i="9"/>
  <c r="L84" i="9"/>
  <c r="J84" i="9"/>
  <c r="I84" i="9"/>
  <c r="G84" i="9"/>
  <c r="N83" i="9"/>
  <c r="L83" i="9"/>
  <c r="J83" i="9"/>
  <c r="I83" i="9"/>
  <c r="G83" i="9"/>
  <c r="N82" i="9"/>
  <c r="L82" i="9"/>
  <c r="G82" i="9"/>
  <c r="N88" i="8"/>
  <c r="I88" i="8"/>
  <c r="N87" i="8"/>
  <c r="L87" i="8"/>
  <c r="J87" i="8"/>
  <c r="I87" i="8"/>
  <c r="G87" i="8"/>
  <c r="N86" i="8"/>
  <c r="L86" i="8"/>
  <c r="J86" i="8"/>
  <c r="I86" i="8"/>
  <c r="G86" i="8"/>
  <c r="R85" i="8"/>
  <c r="I85" i="8"/>
  <c r="I81" i="8"/>
  <c r="G81" i="8"/>
  <c r="N80" i="8"/>
  <c r="L80" i="8"/>
  <c r="J80" i="8"/>
  <c r="I80" i="8"/>
  <c r="G80" i="8"/>
  <c r="N79" i="8"/>
  <c r="L79" i="8"/>
  <c r="J79" i="8"/>
  <c r="I79" i="8"/>
  <c r="G79" i="8"/>
  <c r="I78" i="8"/>
  <c r="G78" i="8"/>
  <c r="N77" i="8"/>
  <c r="L77" i="8"/>
  <c r="J77" i="8"/>
  <c r="I77" i="8"/>
  <c r="G77" i="8"/>
  <c r="N76" i="8"/>
  <c r="L76" i="8"/>
  <c r="J76" i="8"/>
  <c r="I76" i="8"/>
  <c r="G76" i="8"/>
  <c r="N75" i="8"/>
  <c r="L75" i="8"/>
  <c r="J75" i="8"/>
  <c r="I75" i="8"/>
  <c r="G75" i="8"/>
  <c r="N74" i="8"/>
  <c r="L74" i="8"/>
  <c r="J74" i="8"/>
  <c r="I74" i="8"/>
  <c r="G74" i="8"/>
  <c r="S73" i="8"/>
  <c r="R73" i="8"/>
  <c r="Q73" i="8"/>
  <c r="I72" i="8"/>
  <c r="G72" i="8"/>
  <c r="N71" i="8"/>
  <c r="L71" i="8"/>
  <c r="J71" i="8"/>
  <c r="I71" i="8"/>
  <c r="G71" i="8"/>
  <c r="N70" i="8"/>
  <c r="L70" i="8"/>
  <c r="J70" i="8"/>
  <c r="I70" i="8"/>
  <c r="G70" i="8"/>
  <c r="J69" i="8"/>
  <c r="G69" i="8"/>
  <c r="J68" i="8"/>
  <c r="G68" i="8"/>
  <c r="R67" i="8"/>
  <c r="I67" i="8"/>
  <c r="N66" i="8"/>
  <c r="L66" i="8"/>
  <c r="J66" i="8"/>
  <c r="I66" i="8"/>
  <c r="G66" i="8"/>
  <c r="S65" i="8"/>
  <c r="R65" i="8"/>
  <c r="N59" i="8"/>
  <c r="L59" i="8"/>
  <c r="J59" i="8"/>
  <c r="I58" i="8"/>
  <c r="S3" i="8"/>
  <c r="R3" i="8"/>
  <c r="Q3" i="8"/>
  <c r="N3" i="8"/>
  <c r="L3" i="8"/>
  <c r="J3" i="8"/>
  <c r="I3" i="8"/>
  <c r="M2" i="8"/>
  <c r="L2" i="8"/>
  <c r="J2" i="8"/>
  <c r="J106" i="7"/>
  <c r="G106" i="7"/>
  <c r="N105" i="7"/>
  <c r="L105" i="7"/>
  <c r="J105" i="7"/>
  <c r="I105" i="7"/>
  <c r="G105" i="7"/>
  <c r="J104" i="7"/>
  <c r="N103" i="7"/>
  <c r="L103" i="7"/>
  <c r="J103" i="7"/>
  <c r="I103" i="7"/>
  <c r="G103" i="7"/>
  <c r="J102" i="7"/>
  <c r="I102" i="7"/>
  <c r="N101" i="7"/>
  <c r="L101" i="7"/>
  <c r="J101" i="7"/>
  <c r="I101" i="7"/>
  <c r="G101" i="7"/>
  <c r="J100" i="7"/>
  <c r="I100" i="7"/>
  <c r="I99" i="7"/>
  <c r="I98" i="7"/>
  <c r="G98" i="7"/>
  <c r="G97" i="7"/>
  <c r="J48" i="5"/>
  <c r="R3" i="5"/>
  <c r="L2" i="5"/>
  <c r="N105" i="4"/>
  <c r="I105" i="4"/>
  <c r="I102" i="4"/>
  <c r="I101" i="4"/>
  <c r="N100" i="4"/>
  <c r="J100" i="4"/>
  <c r="G100" i="4"/>
  <c r="L99" i="4"/>
  <c r="G99" i="4"/>
  <c r="L98" i="4"/>
  <c r="J98" i="4"/>
  <c r="G98" i="4"/>
  <c r="L97" i="4"/>
  <c r="I97" i="4"/>
  <c r="N96" i="4"/>
  <c r="G96" i="4"/>
  <c r="N95" i="4"/>
  <c r="I95" i="4"/>
  <c r="N94" i="4"/>
  <c r="I94" i="4"/>
  <c r="N93" i="4"/>
  <c r="L93" i="4"/>
  <c r="I93" i="4"/>
  <c r="G91" i="4"/>
  <c r="G89" i="4"/>
  <c r="I3" i="4"/>
  <c r="M2" i="4"/>
  <c r="K2" i="4"/>
  <c r="J2" i="4"/>
  <c r="N81" i="9"/>
  <c r="L81" i="9"/>
  <c r="J81" i="9"/>
  <c r="I81" i="9"/>
  <c r="G81" i="9"/>
  <c r="N80" i="9"/>
  <c r="L80" i="9"/>
  <c r="J80" i="9"/>
  <c r="I80" i="9"/>
  <c r="G80" i="9"/>
  <c r="N79" i="9"/>
  <c r="L79" i="9"/>
  <c r="J79" i="9"/>
  <c r="I79" i="9"/>
  <c r="G79" i="9"/>
  <c r="N78" i="9"/>
  <c r="L78" i="9"/>
  <c r="J78" i="9"/>
  <c r="I78" i="9"/>
  <c r="G78" i="9"/>
  <c r="N77" i="9"/>
  <c r="L77" i="9"/>
  <c r="J77" i="9"/>
  <c r="I77" i="9"/>
  <c r="G77" i="9"/>
  <c r="N76" i="9"/>
  <c r="L76" i="9"/>
  <c r="J76" i="9"/>
  <c r="I76" i="9"/>
  <c r="G76" i="9"/>
  <c r="N75" i="9"/>
  <c r="L75" i="9"/>
  <c r="J75" i="9"/>
  <c r="I75" i="9"/>
  <c r="G75" i="9"/>
  <c r="N74" i="9"/>
  <c r="L74" i="9"/>
  <c r="J74" i="9"/>
  <c r="I74" i="9"/>
  <c r="G74" i="9"/>
  <c r="N73" i="9"/>
  <c r="L73" i="9"/>
  <c r="J73" i="9"/>
  <c r="I73" i="9"/>
  <c r="G73" i="9"/>
  <c r="N72" i="9"/>
  <c r="L72" i="9"/>
  <c r="J72" i="9"/>
  <c r="I72" i="9"/>
  <c r="G72" i="9"/>
  <c r="N71" i="9"/>
  <c r="L71" i="9"/>
  <c r="J71" i="9"/>
  <c r="I71" i="9"/>
  <c r="G71" i="9"/>
  <c r="N70" i="9"/>
  <c r="L70" i="9"/>
  <c r="J70" i="9"/>
  <c r="I70" i="9"/>
  <c r="G70" i="9"/>
  <c r="N69" i="9"/>
  <c r="L69" i="9"/>
  <c r="J69" i="9"/>
  <c r="I69" i="9"/>
  <c r="G69" i="9"/>
  <c r="N68" i="9"/>
  <c r="L68" i="9"/>
  <c r="J68" i="9"/>
  <c r="I68" i="9"/>
  <c r="G68" i="9"/>
  <c r="N67" i="9"/>
  <c r="L67" i="9"/>
  <c r="J67" i="9"/>
  <c r="I67" i="9"/>
  <c r="G67" i="9"/>
  <c r="N66" i="9"/>
  <c r="L66" i="9"/>
  <c r="J66" i="9"/>
  <c r="I66" i="9"/>
  <c r="G66" i="9"/>
  <c r="N65" i="9"/>
  <c r="L65" i="9"/>
  <c r="J65" i="9"/>
  <c r="I65" i="9"/>
  <c r="G65" i="9"/>
  <c r="N64" i="9"/>
  <c r="L64" i="9"/>
  <c r="J64" i="9"/>
  <c r="I64" i="9"/>
  <c r="G64" i="9"/>
  <c r="N63" i="9"/>
  <c r="L63" i="9"/>
  <c r="J63" i="9"/>
  <c r="I63" i="9"/>
  <c r="G63" i="9"/>
  <c r="N62" i="9"/>
  <c r="L62" i="9"/>
  <c r="J62" i="9"/>
  <c r="I62" i="9"/>
  <c r="N61" i="9"/>
  <c r="L61" i="9"/>
  <c r="J61" i="9"/>
  <c r="I61" i="9"/>
  <c r="N60" i="9"/>
  <c r="L60" i="9"/>
  <c r="J60" i="9"/>
  <c r="I60" i="9"/>
  <c r="N59" i="9"/>
  <c r="L59" i="9"/>
  <c r="J59" i="9"/>
  <c r="I59" i="9"/>
  <c r="N58" i="9"/>
  <c r="L58" i="9"/>
  <c r="J58" i="9"/>
  <c r="I58" i="9"/>
  <c r="N57" i="9"/>
  <c r="L57" i="9"/>
  <c r="J57" i="9"/>
  <c r="I57" i="9"/>
  <c r="N56" i="9"/>
  <c r="J56" i="9"/>
  <c r="I56" i="9"/>
  <c r="N55" i="9"/>
  <c r="J55" i="9"/>
  <c r="I55" i="9"/>
  <c r="N54" i="9"/>
  <c r="J54" i="9"/>
  <c r="I54" i="9"/>
  <c r="N53" i="9"/>
  <c r="J53" i="9"/>
  <c r="I53" i="9"/>
  <c r="N52" i="9"/>
  <c r="J52" i="9"/>
  <c r="I52" i="9"/>
  <c r="N51" i="9"/>
  <c r="J51" i="9"/>
  <c r="I51" i="9"/>
  <c r="N50" i="9"/>
  <c r="L50" i="9"/>
  <c r="J50" i="9"/>
  <c r="I50" i="9"/>
  <c r="N49" i="9"/>
  <c r="L49" i="9"/>
  <c r="J49" i="9"/>
  <c r="I49" i="9"/>
  <c r="N48" i="9"/>
  <c r="L48" i="9"/>
  <c r="J48" i="9"/>
  <c r="I48" i="9"/>
  <c r="G48" i="9"/>
  <c r="N47" i="9"/>
  <c r="L47" i="9"/>
  <c r="J47" i="9"/>
  <c r="I47" i="9"/>
  <c r="N46" i="9"/>
  <c r="L46" i="9"/>
  <c r="J46" i="9"/>
  <c r="I46" i="9"/>
  <c r="N45" i="9"/>
  <c r="L45" i="9"/>
  <c r="J45" i="9"/>
  <c r="I45" i="9"/>
  <c r="N44" i="9"/>
  <c r="L44" i="9"/>
  <c r="J44" i="9"/>
  <c r="I44" i="9"/>
  <c r="N43" i="9"/>
  <c r="L43" i="9"/>
  <c r="J43" i="9"/>
  <c r="I43" i="9"/>
  <c r="N42" i="9"/>
  <c r="L42" i="9"/>
  <c r="J42" i="9"/>
  <c r="I42" i="9"/>
  <c r="N41" i="9"/>
  <c r="L41" i="9"/>
  <c r="J41" i="9"/>
  <c r="I41" i="9"/>
  <c r="N40" i="9"/>
  <c r="L40" i="9"/>
  <c r="J40" i="9"/>
  <c r="I40" i="9"/>
  <c r="N39" i="9"/>
  <c r="L39" i="9"/>
  <c r="J39" i="9"/>
  <c r="I39" i="9"/>
  <c r="N38" i="9"/>
  <c r="L38" i="9"/>
  <c r="J38" i="9"/>
  <c r="I38" i="9"/>
  <c r="N37" i="9"/>
  <c r="L37" i="9"/>
  <c r="J37" i="9"/>
  <c r="I37" i="9"/>
  <c r="N36" i="9"/>
  <c r="L36" i="9"/>
  <c r="J36" i="9"/>
  <c r="I36" i="9"/>
  <c r="N35" i="9"/>
  <c r="L35" i="9"/>
  <c r="J35" i="9"/>
  <c r="I35" i="9"/>
  <c r="N34" i="9"/>
  <c r="L34" i="9"/>
  <c r="J34" i="9"/>
  <c r="I34" i="9"/>
  <c r="N33" i="9"/>
  <c r="L33" i="9"/>
  <c r="J33" i="9"/>
  <c r="I33" i="9"/>
  <c r="N32" i="9"/>
  <c r="L32" i="9"/>
  <c r="J32" i="9"/>
  <c r="I32" i="9"/>
  <c r="N31" i="9"/>
  <c r="L31" i="9"/>
  <c r="J31" i="9"/>
  <c r="I31" i="9"/>
  <c r="N30" i="9"/>
  <c r="L30" i="9"/>
  <c r="J30" i="9"/>
  <c r="I30" i="9"/>
  <c r="N29" i="9"/>
  <c r="L29" i="9"/>
  <c r="J29" i="9"/>
  <c r="I29" i="9"/>
  <c r="G29" i="9"/>
  <c r="N28" i="9"/>
  <c r="L28" i="9"/>
  <c r="J28" i="9"/>
  <c r="I28" i="9"/>
  <c r="N27" i="9"/>
  <c r="L27" i="9"/>
  <c r="J27" i="9"/>
  <c r="I27" i="9"/>
  <c r="N26" i="9"/>
  <c r="L26" i="9"/>
  <c r="J26" i="9"/>
  <c r="I26" i="9"/>
  <c r="N25" i="9"/>
  <c r="L25" i="9"/>
  <c r="J25" i="9"/>
  <c r="I25" i="9"/>
  <c r="N24" i="9"/>
  <c r="L24" i="9"/>
  <c r="J24" i="9"/>
  <c r="I24" i="9"/>
  <c r="N23" i="9"/>
  <c r="L23" i="9"/>
  <c r="J23" i="9"/>
  <c r="I23" i="9"/>
  <c r="N22" i="9"/>
  <c r="L22" i="9"/>
  <c r="J22" i="9"/>
  <c r="I22" i="9"/>
  <c r="G22" i="9"/>
  <c r="N21" i="9"/>
  <c r="L21" i="9"/>
  <c r="J21" i="9"/>
  <c r="I21" i="9"/>
  <c r="N20" i="9"/>
  <c r="L20" i="9"/>
  <c r="J20" i="9"/>
  <c r="I20" i="9"/>
  <c r="N19" i="9"/>
  <c r="L19" i="9"/>
  <c r="J19" i="9"/>
  <c r="I19" i="9"/>
  <c r="N18" i="9"/>
  <c r="L18" i="9"/>
  <c r="J18" i="9"/>
  <c r="I18" i="9"/>
  <c r="G18" i="9"/>
  <c r="N3" i="9"/>
  <c r="L3" i="9"/>
  <c r="J3" i="9"/>
  <c r="I3" i="9"/>
  <c r="G3" i="9"/>
  <c r="N2" i="9"/>
  <c r="M2" i="9"/>
  <c r="L2" i="9"/>
  <c r="K2" i="9"/>
  <c r="J2" i="9"/>
  <c r="I2" i="9"/>
  <c r="N106" i="8"/>
  <c r="L106" i="8"/>
  <c r="J106" i="8"/>
  <c r="I106" i="8"/>
  <c r="G106" i="8"/>
  <c r="N105" i="8"/>
  <c r="L105" i="8"/>
  <c r="J105" i="8"/>
  <c r="I105" i="8"/>
  <c r="G105" i="8"/>
  <c r="N104" i="8"/>
  <c r="L104" i="8"/>
  <c r="J104" i="8"/>
  <c r="I104" i="8"/>
  <c r="G104" i="8"/>
  <c r="N103" i="8"/>
  <c r="L103" i="8"/>
  <c r="J103" i="8"/>
  <c r="I103" i="8"/>
  <c r="G103" i="8"/>
  <c r="N102" i="8"/>
  <c r="L102" i="8"/>
  <c r="J102" i="8"/>
  <c r="I102" i="8"/>
  <c r="G102" i="8"/>
  <c r="N101" i="8"/>
  <c r="L101" i="8"/>
  <c r="J101" i="8"/>
  <c r="I101" i="8"/>
  <c r="G101" i="8"/>
  <c r="N100" i="8"/>
  <c r="L100" i="8"/>
  <c r="J100" i="8"/>
  <c r="I100" i="8"/>
  <c r="G100" i="8"/>
  <c r="N99" i="8"/>
  <c r="L99" i="8"/>
  <c r="J99" i="8"/>
  <c r="I99" i="8"/>
  <c r="G99" i="8"/>
  <c r="N98" i="8"/>
  <c r="L98" i="8"/>
  <c r="J98" i="8"/>
  <c r="I98" i="8"/>
  <c r="G98" i="8"/>
  <c r="N97" i="8"/>
  <c r="L97" i="8"/>
  <c r="J97" i="8"/>
  <c r="I97" i="8"/>
  <c r="G97" i="8"/>
  <c r="N96" i="8"/>
  <c r="L96" i="8"/>
  <c r="J96" i="8"/>
  <c r="I96" i="8"/>
  <c r="G96" i="8"/>
  <c r="N95" i="8"/>
  <c r="L95" i="8"/>
  <c r="J95" i="8"/>
  <c r="I95" i="8"/>
  <c r="G95" i="8"/>
  <c r="N94" i="8"/>
  <c r="L94" i="8"/>
  <c r="J94" i="8"/>
  <c r="I94" i="8"/>
  <c r="G94" i="8"/>
  <c r="N93" i="8"/>
  <c r="L93" i="8"/>
  <c r="J93" i="8"/>
  <c r="I93" i="8"/>
  <c r="G93" i="8"/>
  <c r="N92" i="8"/>
  <c r="L92" i="8"/>
  <c r="J92" i="8"/>
  <c r="I92" i="8"/>
  <c r="G92" i="8"/>
  <c r="N91" i="8"/>
  <c r="L91" i="8"/>
  <c r="J91" i="8"/>
  <c r="I91" i="8"/>
  <c r="G91" i="8"/>
  <c r="N90" i="8"/>
  <c r="L90" i="8"/>
  <c r="J90" i="8"/>
  <c r="I90" i="8"/>
  <c r="G90" i="8"/>
  <c r="N89" i="8"/>
  <c r="L89" i="8"/>
  <c r="J89" i="8"/>
  <c r="I89" i="8"/>
  <c r="G89" i="8"/>
  <c r="L88" i="8"/>
  <c r="J88" i="8"/>
  <c r="G88" i="8"/>
  <c r="S87" i="8"/>
  <c r="Q87" i="8"/>
  <c r="R86" i="8"/>
  <c r="S85" i="8"/>
  <c r="Q85" i="8"/>
  <c r="N85" i="8"/>
  <c r="L85" i="8"/>
  <c r="J85" i="8"/>
  <c r="G85" i="8"/>
  <c r="N84" i="8"/>
  <c r="L84" i="8"/>
  <c r="J84" i="8"/>
  <c r="I84" i="8"/>
  <c r="G84" i="8"/>
  <c r="N83" i="8"/>
  <c r="L83" i="8"/>
  <c r="J83" i="8"/>
  <c r="I83" i="8"/>
  <c r="G83" i="8"/>
  <c r="N82" i="8"/>
  <c r="L82" i="8"/>
  <c r="J82" i="8"/>
  <c r="I82" i="8"/>
  <c r="G82" i="8"/>
  <c r="N81" i="8"/>
  <c r="L81" i="8"/>
  <c r="J81" i="8"/>
  <c r="N78" i="8"/>
  <c r="L78" i="8"/>
  <c r="J78" i="8"/>
  <c r="N73" i="8"/>
  <c r="L73" i="8"/>
  <c r="J73" i="8"/>
  <c r="I73" i="8"/>
  <c r="G73" i="8"/>
  <c r="N72" i="8"/>
  <c r="L72" i="8"/>
  <c r="J72" i="8"/>
  <c r="N69" i="8"/>
  <c r="L69" i="8"/>
  <c r="I69" i="8"/>
  <c r="N68" i="8"/>
  <c r="L68" i="8"/>
  <c r="I68" i="8"/>
  <c r="N67" i="8"/>
  <c r="L67" i="8"/>
  <c r="J67" i="8"/>
  <c r="G67" i="8"/>
  <c r="N65" i="8"/>
  <c r="L65" i="8"/>
  <c r="J65" i="8"/>
  <c r="I65" i="8"/>
  <c r="G65" i="8"/>
  <c r="N64" i="8"/>
  <c r="L64" i="8"/>
  <c r="J64" i="8"/>
  <c r="I64" i="8"/>
  <c r="G64" i="8"/>
  <c r="N63" i="8"/>
  <c r="L63" i="8"/>
  <c r="J63" i="8"/>
  <c r="I63" i="8"/>
  <c r="G63" i="8"/>
  <c r="N62" i="8"/>
  <c r="L62" i="8"/>
  <c r="J62" i="8"/>
  <c r="I62" i="8"/>
  <c r="N61" i="8"/>
  <c r="L61" i="8"/>
  <c r="J61" i="8"/>
  <c r="I61" i="8"/>
  <c r="N60" i="8"/>
  <c r="L60" i="8"/>
  <c r="J60" i="8"/>
  <c r="I60" i="8"/>
  <c r="I59" i="8"/>
  <c r="N58" i="8"/>
  <c r="L58" i="8"/>
  <c r="J58" i="8"/>
  <c r="G3" i="8"/>
  <c r="N2" i="8"/>
  <c r="K2" i="8"/>
  <c r="I2" i="8"/>
  <c r="N106" i="7"/>
  <c r="L106" i="7"/>
  <c r="I106" i="7"/>
  <c r="N104" i="7"/>
  <c r="L104" i="7"/>
  <c r="I104" i="7"/>
  <c r="G104" i="7"/>
  <c r="N102" i="7"/>
  <c r="L102" i="7"/>
  <c r="G102" i="7"/>
  <c r="N100" i="7"/>
  <c r="L100" i="7"/>
  <c r="G100" i="7"/>
  <c r="N99" i="7"/>
  <c r="L99" i="7"/>
  <c r="J99" i="7"/>
  <c r="G99" i="7"/>
  <c r="N98" i="7"/>
  <c r="L98" i="7"/>
  <c r="J98" i="7"/>
  <c r="L3" i="5"/>
  <c r="G3" i="5"/>
  <c r="K2" i="5"/>
  <c r="N106" i="4"/>
  <c r="G106" i="4"/>
  <c r="L104" i="4"/>
  <c r="N103" i="4"/>
  <c r="I103" i="4"/>
  <c r="J102" i="4"/>
  <c r="L100" i="4"/>
  <c r="J99" i="4"/>
  <c r="I98" i="4"/>
  <c r="J92" i="4"/>
  <c r="J91" i="4"/>
  <c r="I90" i="4"/>
  <c r="L89" i="4"/>
  <c r="I89" i="4"/>
  <c r="J88" i="4"/>
  <c r="G88" i="4"/>
  <c r="N16" i="9"/>
  <c r="L16" i="9"/>
  <c r="J16" i="9"/>
  <c r="I16" i="9"/>
  <c r="G16" i="9"/>
  <c r="N15" i="9"/>
  <c r="L15" i="9"/>
  <c r="J15" i="9"/>
  <c r="I15" i="9"/>
  <c r="N14" i="9"/>
  <c r="L14" i="9"/>
  <c r="J14" i="9"/>
  <c r="I14" i="9"/>
  <c r="N13" i="9"/>
  <c r="L13" i="9"/>
  <c r="J13" i="9"/>
  <c r="I13" i="9"/>
  <c r="N12" i="9"/>
  <c r="L12" i="9"/>
  <c r="J12" i="9"/>
  <c r="I12" i="9"/>
  <c r="N11" i="9"/>
  <c r="L11" i="9"/>
  <c r="J11" i="9"/>
  <c r="I11" i="9"/>
  <c r="N10" i="9"/>
  <c r="L10" i="9"/>
  <c r="J10" i="9"/>
  <c r="I10" i="9"/>
  <c r="G10" i="9"/>
  <c r="N9" i="9"/>
  <c r="L9" i="9"/>
  <c r="J9" i="9"/>
  <c r="I9" i="9"/>
  <c r="G9" i="9"/>
  <c r="N8" i="9"/>
  <c r="L8" i="9"/>
  <c r="J8" i="9"/>
  <c r="I8" i="9"/>
  <c r="G8" i="9"/>
  <c r="N7" i="9"/>
  <c r="L7" i="9"/>
  <c r="J7" i="9"/>
  <c r="I7" i="9"/>
  <c r="G7" i="9"/>
  <c r="N6" i="9"/>
  <c r="L6" i="9"/>
  <c r="J6" i="9"/>
  <c r="I6" i="9"/>
  <c r="G6" i="9"/>
  <c r="N5" i="9"/>
  <c r="L5" i="9"/>
  <c r="J5" i="9"/>
  <c r="I5" i="9"/>
  <c r="G5" i="9"/>
  <c r="N4" i="9"/>
  <c r="L4" i="9"/>
  <c r="J4" i="9"/>
  <c r="I4" i="9"/>
  <c r="G4" i="9"/>
  <c r="N56" i="8"/>
  <c r="J56" i="8"/>
  <c r="I56" i="8"/>
  <c r="N55" i="8"/>
  <c r="J55" i="8"/>
  <c r="I55" i="8"/>
  <c r="N54" i="8"/>
  <c r="J54" i="8"/>
  <c r="I54" i="8"/>
  <c r="N53" i="8"/>
  <c r="J53" i="8"/>
  <c r="I53" i="8"/>
  <c r="N52" i="8"/>
  <c r="J52" i="8"/>
  <c r="I52" i="8"/>
  <c r="N51" i="8"/>
  <c r="J51" i="8"/>
  <c r="I51" i="8"/>
  <c r="N50" i="8"/>
  <c r="L50" i="8"/>
  <c r="J50" i="8"/>
  <c r="I50" i="8"/>
  <c r="N49" i="8"/>
  <c r="L49" i="8"/>
  <c r="J49" i="8"/>
  <c r="I49" i="8"/>
  <c r="N48" i="8"/>
  <c r="L48" i="8"/>
  <c r="J48" i="8"/>
  <c r="I48" i="8"/>
  <c r="G48" i="8"/>
  <c r="N47" i="8"/>
  <c r="L47" i="8"/>
  <c r="J47" i="8"/>
  <c r="I47" i="8"/>
  <c r="N46" i="8"/>
  <c r="L46" i="8"/>
  <c r="J46" i="8"/>
  <c r="I46" i="8"/>
  <c r="N45" i="8"/>
  <c r="L45" i="8"/>
  <c r="J45" i="8"/>
  <c r="I45" i="8"/>
  <c r="N44" i="8"/>
  <c r="L44" i="8"/>
  <c r="J44" i="8"/>
  <c r="I44" i="8"/>
  <c r="N43" i="8"/>
  <c r="L43" i="8"/>
  <c r="J43" i="8"/>
  <c r="I43" i="8"/>
  <c r="N42" i="8"/>
  <c r="L42" i="8"/>
  <c r="J42" i="8"/>
  <c r="I42" i="8"/>
  <c r="N41" i="8"/>
  <c r="L41" i="8"/>
  <c r="J41" i="8"/>
  <c r="I41" i="8"/>
  <c r="N40" i="8"/>
  <c r="L40" i="8"/>
  <c r="J40" i="8"/>
  <c r="I40" i="8"/>
  <c r="N39" i="8"/>
  <c r="L39" i="8"/>
  <c r="J39" i="8"/>
  <c r="I39" i="8"/>
  <c r="N38" i="8"/>
  <c r="L38" i="8"/>
  <c r="J38" i="8"/>
  <c r="I38" i="8"/>
  <c r="N37" i="8"/>
  <c r="L37" i="8"/>
  <c r="J37" i="8"/>
  <c r="I37" i="8"/>
  <c r="N36" i="8"/>
  <c r="L36" i="8"/>
  <c r="J36" i="8"/>
  <c r="I36" i="8"/>
  <c r="N35" i="8"/>
  <c r="L35" i="8"/>
  <c r="J35" i="8"/>
  <c r="I35" i="8"/>
  <c r="N34" i="8"/>
  <c r="L34" i="8"/>
  <c r="J34" i="8"/>
  <c r="I34" i="8"/>
  <c r="N33" i="8"/>
  <c r="L33" i="8"/>
  <c r="J33" i="8"/>
  <c r="I33" i="8"/>
  <c r="N32" i="8"/>
  <c r="L32" i="8"/>
  <c r="J32" i="8"/>
  <c r="I32" i="8"/>
  <c r="N31" i="8"/>
  <c r="L31" i="8"/>
  <c r="J31" i="8"/>
  <c r="I31" i="8"/>
  <c r="N30" i="8"/>
  <c r="L30" i="8"/>
  <c r="J30" i="8"/>
  <c r="I30" i="8"/>
  <c r="G30" i="8"/>
  <c r="N29" i="8"/>
  <c r="L29" i="8"/>
  <c r="J29" i="8"/>
  <c r="I29" i="8"/>
  <c r="G29" i="8"/>
  <c r="N28" i="8"/>
  <c r="L28" i="8"/>
  <c r="J28" i="8"/>
  <c r="I28" i="8"/>
  <c r="N27" i="8"/>
  <c r="L27" i="8"/>
  <c r="J27" i="8"/>
  <c r="I27" i="8"/>
  <c r="N26" i="8"/>
  <c r="L26" i="8"/>
  <c r="J26" i="8"/>
  <c r="I26" i="8"/>
  <c r="N25" i="8"/>
  <c r="L25" i="8"/>
  <c r="J25" i="8"/>
  <c r="I25" i="8"/>
  <c r="N24" i="8"/>
  <c r="L24" i="8"/>
  <c r="J24" i="8"/>
  <c r="I24" i="8"/>
  <c r="N23" i="8"/>
  <c r="L23" i="8"/>
  <c r="J23" i="8"/>
  <c r="I23" i="8"/>
  <c r="N22" i="8"/>
  <c r="L22" i="8"/>
  <c r="J22" i="8"/>
  <c r="I22" i="8"/>
  <c r="G22" i="8"/>
  <c r="N21" i="8"/>
  <c r="L21" i="8"/>
  <c r="J21" i="8"/>
  <c r="I21" i="8"/>
  <c r="N20" i="8"/>
  <c r="L20" i="8"/>
  <c r="J20" i="8"/>
  <c r="I20" i="8"/>
  <c r="N19" i="8"/>
  <c r="L19" i="8"/>
  <c r="J19" i="8"/>
  <c r="I19" i="8"/>
  <c r="N18" i="8"/>
  <c r="L18" i="8"/>
  <c r="J18" i="8"/>
  <c r="I18" i="8"/>
  <c r="G18" i="8"/>
  <c r="N17" i="8"/>
  <c r="L17" i="8"/>
  <c r="J17" i="8"/>
  <c r="I17" i="8"/>
  <c r="N16" i="8"/>
  <c r="L16" i="8"/>
  <c r="J16" i="8"/>
  <c r="I16" i="8"/>
  <c r="G16" i="8"/>
  <c r="N15" i="8"/>
  <c r="L15" i="8"/>
  <c r="J15" i="8"/>
  <c r="I15" i="8"/>
  <c r="N14" i="8"/>
  <c r="L14" i="8"/>
  <c r="J14" i="8"/>
  <c r="I14" i="8"/>
  <c r="N13" i="8"/>
  <c r="L13" i="8"/>
  <c r="J13" i="8"/>
  <c r="I13" i="8"/>
  <c r="N12" i="8"/>
  <c r="L12" i="8"/>
  <c r="J12" i="8"/>
  <c r="I12" i="8"/>
  <c r="N11" i="8"/>
  <c r="L11" i="8"/>
  <c r="J11" i="8"/>
  <c r="I11" i="8"/>
  <c r="N10" i="8"/>
  <c r="L10" i="8"/>
  <c r="J10" i="8"/>
  <c r="I10" i="8"/>
  <c r="G10" i="8"/>
  <c r="N9" i="8"/>
  <c r="L9" i="8"/>
  <c r="J9" i="8"/>
  <c r="I9" i="8"/>
  <c r="G9" i="8"/>
  <c r="N8" i="8"/>
  <c r="L8" i="8"/>
  <c r="J8" i="8"/>
  <c r="I8" i="8"/>
  <c r="G8" i="8"/>
  <c r="N7" i="8"/>
  <c r="L7" i="8"/>
  <c r="J7" i="8"/>
  <c r="I7" i="8"/>
  <c r="G7" i="8"/>
  <c r="N6" i="8"/>
  <c r="L6" i="8"/>
  <c r="J6" i="8"/>
  <c r="I6" i="8"/>
  <c r="G6" i="8"/>
  <c r="N5" i="8"/>
  <c r="L5" i="8"/>
  <c r="J5" i="8"/>
  <c r="I5" i="8"/>
  <c r="G5" i="8"/>
  <c r="N4" i="8"/>
  <c r="L4" i="8"/>
  <c r="J4" i="8"/>
  <c r="I4" i="8"/>
  <c r="G4" i="8"/>
  <c r="N96" i="7"/>
  <c r="L96" i="7"/>
  <c r="J96" i="7"/>
  <c r="I96" i="7"/>
  <c r="G96" i="7"/>
  <c r="N95" i="7"/>
  <c r="L95" i="7"/>
  <c r="J95" i="7"/>
  <c r="I95" i="7"/>
  <c r="G95" i="7"/>
  <c r="N94" i="7"/>
  <c r="L94" i="7"/>
  <c r="J94" i="7"/>
  <c r="I94" i="7"/>
  <c r="G94" i="7"/>
  <c r="N93" i="7"/>
  <c r="L93" i="7"/>
  <c r="J93" i="7"/>
  <c r="I93" i="7"/>
  <c r="G93" i="7"/>
  <c r="N92" i="7"/>
  <c r="L92" i="7"/>
  <c r="J92" i="7"/>
  <c r="I92" i="7"/>
  <c r="G92" i="7"/>
  <c r="N91" i="7"/>
  <c r="L91" i="7"/>
  <c r="J91" i="7"/>
  <c r="I91" i="7"/>
  <c r="G91" i="7"/>
  <c r="N90" i="7"/>
  <c r="L90" i="7"/>
  <c r="J90" i="7"/>
  <c r="I90" i="7"/>
  <c r="G90" i="7"/>
  <c r="N89" i="7"/>
  <c r="L89" i="7"/>
  <c r="J89" i="7"/>
  <c r="I89" i="7"/>
  <c r="G89" i="7"/>
  <c r="N88" i="7"/>
  <c r="L88" i="7"/>
  <c r="J88" i="7"/>
  <c r="I88" i="7"/>
  <c r="G88" i="7"/>
  <c r="N87" i="7"/>
  <c r="L87" i="7"/>
  <c r="J87" i="7"/>
  <c r="I87" i="7"/>
  <c r="G87" i="7"/>
  <c r="N86" i="7"/>
  <c r="L86" i="7"/>
  <c r="J86" i="7"/>
  <c r="I86" i="7"/>
  <c r="G86" i="7"/>
  <c r="N85" i="7"/>
  <c r="L85" i="7"/>
  <c r="J85" i="7"/>
  <c r="I85" i="7"/>
  <c r="G85" i="7"/>
  <c r="N84" i="7"/>
  <c r="L84" i="7"/>
  <c r="J84" i="7"/>
  <c r="I84" i="7"/>
  <c r="G84" i="7"/>
  <c r="N83" i="7"/>
  <c r="L83" i="7"/>
  <c r="J83" i="7"/>
  <c r="I83" i="7"/>
  <c r="G83" i="7"/>
  <c r="N82" i="7"/>
  <c r="L82" i="7"/>
  <c r="J82" i="7"/>
  <c r="I82" i="7"/>
  <c r="G82" i="7"/>
  <c r="N81" i="7"/>
  <c r="L81" i="7"/>
  <c r="J81" i="7"/>
  <c r="I81" i="7"/>
  <c r="G81" i="7"/>
  <c r="N80" i="7"/>
  <c r="L80" i="7"/>
  <c r="J80" i="7"/>
  <c r="I80" i="7"/>
  <c r="G80" i="7"/>
  <c r="N79" i="7"/>
  <c r="L79" i="7"/>
  <c r="J79" i="7"/>
  <c r="I79" i="7"/>
  <c r="G79" i="7"/>
  <c r="N78" i="7"/>
  <c r="L78" i="7"/>
  <c r="J78" i="7"/>
  <c r="I78" i="7"/>
  <c r="G78" i="7"/>
  <c r="N77" i="7"/>
  <c r="L77" i="7"/>
  <c r="J77" i="7"/>
  <c r="I77" i="7"/>
  <c r="G77" i="7"/>
  <c r="N76" i="7"/>
  <c r="L76" i="7"/>
  <c r="J76" i="7"/>
  <c r="I76" i="7"/>
  <c r="G76" i="7"/>
  <c r="N75" i="7"/>
  <c r="L75" i="7"/>
  <c r="J75" i="7"/>
  <c r="I75" i="7"/>
  <c r="G75" i="7"/>
  <c r="N74" i="7"/>
  <c r="L74" i="7"/>
  <c r="J74" i="7"/>
  <c r="I74" i="7"/>
  <c r="G74" i="7"/>
  <c r="N73" i="7"/>
  <c r="L73" i="7"/>
  <c r="J73" i="7"/>
  <c r="I73" i="7"/>
  <c r="G73" i="7"/>
  <c r="N72" i="7"/>
  <c r="L72" i="7"/>
  <c r="J72" i="7"/>
  <c r="I72" i="7"/>
  <c r="G72" i="7"/>
  <c r="N71" i="7"/>
  <c r="L71" i="7"/>
  <c r="J71" i="7"/>
  <c r="I71" i="7"/>
  <c r="G71" i="7"/>
  <c r="N70" i="7"/>
  <c r="L70" i="7"/>
  <c r="J70" i="7"/>
  <c r="I70" i="7"/>
  <c r="G70" i="7"/>
  <c r="N69" i="7"/>
  <c r="L69" i="7"/>
  <c r="J69" i="7"/>
  <c r="I69" i="7"/>
  <c r="G69" i="7"/>
  <c r="N68" i="7"/>
  <c r="L68" i="7"/>
  <c r="J68" i="7"/>
  <c r="I68" i="7"/>
  <c r="G68" i="7"/>
  <c r="N67" i="7"/>
  <c r="L67" i="7"/>
  <c r="J67" i="7"/>
  <c r="I67" i="7"/>
  <c r="G67" i="7"/>
  <c r="N66" i="7"/>
  <c r="L66" i="7"/>
  <c r="J66" i="7"/>
  <c r="I66" i="7"/>
  <c r="G66" i="7"/>
  <c r="N65" i="7"/>
  <c r="L65" i="7"/>
  <c r="J65" i="7"/>
  <c r="I65" i="7"/>
  <c r="G65" i="7"/>
  <c r="N64" i="7"/>
  <c r="L64" i="7"/>
  <c r="J64" i="7"/>
  <c r="I64" i="7"/>
  <c r="G64" i="7"/>
  <c r="N63" i="7"/>
  <c r="L63" i="7"/>
  <c r="J63" i="7"/>
  <c r="I63" i="7"/>
  <c r="G63" i="7"/>
  <c r="N62" i="7"/>
  <c r="L62" i="7"/>
  <c r="J62" i="7"/>
  <c r="I62" i="7"/>
  <c r="N61" i="7"/>
  <c r="L61" i="7"/>
  <c r="J61" i="7"/>
  <c r="I61" i="7"/>
  <c r="N60" i="7"/>
  <c r="L60" i="7"/>
  <c r="J60" i="7"/>
  <c r="I60" i="7"/>
  <c r="N59" i="7"/>
  <c r="L59" i="7"/>
  <c r="J59" i="7"/>
  <c r="I59" i="7"/>
  <c r="N58" i="7"/>
  <c r="L58" i="7"/>
  <c r="J58" i="7"/>
  <c r="I58" i="7"/>
  <c r="N57" i="7"/>
  <c r="L57" i="7"/>
  <c r="J57" i="7"/>
  <c r="I57" i="7"/>
  <c r="N56" i="7"/>
  <c r="J56" i="7"/>
  <c r="I56" i="7"/>
  <c r="N55" i="7"/>
  <c r="J55" i="7"/>
  <c r="I55" i="7"/>
  <c r="N54" i="7"/>
  <c r="J54" i="7"/>
  <c r="I54" i="7"/>
  <c r="N53" i="7"/>
  <c r="J53" i="7"/>
  <c r="I53" i="7"/>
  <c r="N52" i="7"/>
  <c r="J52" i="7"/>
  <c r="I52" i="7"/>
  <c r="N51" i="7"/>
  <c r="J51" i="7"/>
  <c r="I51" i="7"/>
  <c r="N50" i="7"/>
  <c r="L50" i="7"/>
  <c r="J50" i="7"/>
  <c r="I50" i="7"/>
  <c r="N49" i="7"/>
  <c r="L49" i="7"/>
  <c r="J49" i="7"/>
  <c r="I49" i="7"/>
  <c r="G49" i="7"/>
  <c r="N48" i="7"/>
  <c r="L48" i="7"/>
  <c r="J48" i="7"/>
  <c r="I48" i="7"/>
  <c r="G48" i="7"/>
  <c r="N47" i="7"/>
  <c r="L47" i="7"/>
  <c r="J47" i="7"/>
  <c r="I47" i="7"/>
  <c r="N46" i="7"/>
  <c r="L46" i="7"/>
  <c r="J46" i="7"/>
  <c r="I46" i="7"/>
  <c r="N45" i="7"/>
  <c r="L45" i="7"/>
  <c r="J45" i="7"/>
  <c r="I45" i="7"/>
  <c r="N44" i="7"/>
  <c r="L44" i="7"/>
  <c r="J44" i="7"/>
  <c r="I44" i="7"/>
  <c r="N43" i="7"/>
  <c r="L43" i="7"/>
  <c r="J43" i="7"/>
  <c r="I43" i="7"/>
  <c r="N42" i="7"/>
  <c r="L42" i="7"/>
  <c r="J42" i="7"/>
  <c r="I42" i="7"/>
  <c r="N41" i="7"/>
  <c r="L41" i="7"/>
  <c r="J41" i="7"/>
  <c r="I41" i="7"/>
  <c r="N40" i="7"/>
  <c r="L40" i="7"/>
  <c r="J40" i="7"/>
  <c r="I40" i="7"/>
  <c r="N39" i="7"/>
  <c r="L39" i="7"/>
  <c r="J39" i="7"/>
  <c r="I39" i="7"/>
  <c r="N38" i="7"/>
  <c r="L38" i="7"/>
  <c r="J38" i="7"/>
  <c r="I38" i="7"/>
  <c r="N37" i="7"/>
  <c r="L37" i="7"/>
  <c r="J37" i="7"/>
  <c r="I37" i="7"/>
  <c r="N36" i="7"/>
  <c r="L36" i="7"/>
  <c r="J36" i="7"/>
  <c r="I36" i="7"/>
  <c r="N35" i="7"/>
  <c r="J35" i="7"/>
  <c r="I35" i="7"/>
  <c r="N34" i="7"/>
  <c r="J34" i="7"/>
  <c r="I34" i="7"/>
  <c r="N33" i="7"/>
  <c r="J33" i="7"/>
  <c r="I33" i="7"/>
  <c r="N3" i="7"/>
  <c r="L3" i="7"/>
  <c r="J3" i="7"/>
  <c r="I3" i="7"/>
  <c r="G3" i="7"/>
  <c r="N2" i="7"/>
  <c r="M2" i="7"/>
  <c r="L2" i="7"/>
  <c r="K2" i="7"/>
  <c r="J2" i="7"/>
  <c r="I2" i="7"/>
  <c r="N106" i="6"/>
  <c r="L106" i="6"/>
  <c r="J106" i="6"/>
  <c r="I106" i="6"/>
  <c r="G106" i="6"/>
  <c r="N105" i="6"/>
  <c r="L105" i="6"/>
  <c r="J105" i="6"/>
  <c r="I105" i="6"/>
  <c r="G105" i="6"/>
  <c r="N104" i="6"/>
  <c r="L104" i="6"/>
  <c r="J104" i="6"/>
  <c r="I104" i="6"/>
  <c r="G104" i="6"/>
  <c r="N103" i="6"/>
  <c r="L103" i="6"/>
  <c r="J103" i="6"/>
  <c r="I103" i="6"/>
  <c r="G103" i="6"/>
  <c r="N102" i="6"/>
  <c r="L102" i="6"/>
  <c r="J102" i="6"/>
  <c r="I102" i="6"/>
  <c r="G102" i="6"/>
  <c r="N101" i="6"/>
  <c r="L101" i="6"/>
  <c r="J101" i="6"/>
  <c r="I101" i="6"/>
  <c r="G101" i="6"/>
  <c r="N100" i="6"/>
  <c r="L100" i="6"/>
  <c r="J100" i="6"/>
  <c r="I100" i="6"/>
  <c r="G100" i="6"/>
  <c r="N99" i="6"/>
  <c r="L99" i="6"/>
  <c r="J99" i="6"/>
  <c r="I99" i="6"/>
  <c r="G99" i="6"/>
  <c r="N98" i="6"/>
  <c r="L98" i="6"/>
  <c r="J98" i="6"/>
  <c r="I98" i="6"/>
  <c r="G98" i="6"/>
  <c r="N97" i="6"/>
  <c r="L97" i="6"/>
  <c r="J97" i="6"/>
  <c r="I97" i="6"/>
  <c r="G97" i="6"/>
  <c r="N96" i="6"/>
  <c r="L96" i="6"/>
  <c r="J96" i="6"/>
  <c r="I96" i="6"/>
  <c r="G96" i="6"/>
  <c r="N95" i="6"/>
  <c r="L95" i="6"/>
  <c r="J95" i="6"/>
  <c r="I95" i="6"/>
  <c r="G95" i="6"/>
  <c r="N94" i="6"/>
  <c r="L94" i="6"/>
  <c r="J94" i="6"/>
  <c r="I94" i="6"/>
  <c r="G94" i="6"/>
  <c r="N93" i="6"/>
  <c r="L93" i="6"/>
  <c r="J93" i="6"/>
  <c r="I93" i="6"/>
  <c r="G93" i="6"/>
  <c r="N92" i="6"/>
  <c r="L92" i="6"/>
  <c r="J92" i="6"/>
  <c r="I92" i="6"/>
  <c r="G92" i="6"/>
  <c r="N91" i="6"/>
  <c r="L91" i="6"/>
  <c r="J91" i="6"/>
  <c r="I91" i="6"/>
  <c r="G91" i="6"/>
  <c r="N90" i="6"/>
  <c r="L90" i="6"/>
  <c r="J90" i="6"/>
  <c r="I90" i="6"/>
  <c r="G90" i="6"/>
  <c r="N89" i="6"/>
  <c r="L89" i="6"/>
  <c r="J89" i="6"/>
  <c r="I89" i="6"/>
  <c r="G89" i="6"/>
  <c r="N88" i="6"/>
  <c r="L88" i="6"/>
  <c r="J88" i="6"/>
  <c r="I88" i="6"/>
  <c r="G88" i="6"/>
  <c r="N87" i="6"/>
  <c r="L87" i="6"/>
  <c r="J87" i="6"/>
  <c r="I87" i="6"/>
  <c r="G87" i="6"/>
  <c r="N86" i="6"/>
  <c r="L86" i="6"/>
  <c r="J86" i="6"/>
  <c r="I86" i="6"/>
  <c r="G86" i="6"/>
  <c r="N85" i="6"/>
  <c r="L85" i="6"/>
  <c r="J85" i="6"/>
  <c r="I85" i="6"/>
  <c r="G85" i="6"/>
  <c r="N84" i="6"/>
  <c r="L84" i="6"/>
  <c r="J84" i="6"/>
  <c r="I84" i="6"/>
  <c r="G84" i="6"/>
  <c r="N83" i="6"/>
  <c r="L83" i="6"/>
  <c r="J83" i="6"/>
  <c r="I83" i="6"/>
  <c r="G83" i="6"/>
  <c r="N82" i="6"/>
  <c r="L82" i="6"/>
  <c r="J82" i="6"/>
  <c r="I82" i="6"/>
  <c r="G82" i="6"/>
  <c r="N81" i="6"/>
  <c r="L81" i="6"/>
  <c r="J81" i="6"/>
  <c r="I81" i="6"/>
  <c r="G81" i="6"/>
  <c r="N80" i="6"/>
  <c r="L80" i="6"/>
  <c r="J80" i="6"/>
  <c r="I80" i="6"/>
  <c r="G80" i="6"/>
  <c r="N79" i="6"/>
  <c r="L79" i="6"/>
  <c r="J79" i="6"/>
  <c r="I79" i="6"/>
  <c r="G79" i="6"/>
  <c r="N78" i="6"/>
  <c r="L78" i="6"/>
  <c r="J78" i="6"/>
  <c r="I78" i="6"/>
  <c r="G78" i="6"/>
  <c r="N77" i="6"/>
  <c r="L77" i="6"/>
  <c r="J77" i="6"/>
  <c r="I77" i="6"/>
  <c r="G77" i="6"/>
  <c r="N76" i="6"/>
  <c r="L76" i="6"/>
  <c r="J76" i="6"/>
  <c r="I76" i="6"/>
  <c r="G76" i="6"/>
  <c r="N75" i="6"/>
  <c r="L75" i="6"/>
  <c r="J75" i="6"/>
  <c r="I75" i="6"/>
  <c r="G75" i="6"/>
  <c r="N74" i="6"/>
  <c r="L74" i="6"/>
  <c r="J74" i="6"/>
  <c r="I74" i="6"/>
  <c r="G74" i="6"/>
  <c r="N73" i="6"/>
  <c r="L73" i="6"/>
  <c r="J73" i="6"/>
  <c r="I73" i="6"/>
  <c r="G73" i="6"/>
  <c r="S72" i="6"/>
  <c r="R72" i="6"/>
  <c r="Q72" i="6"/>
  <c r="N106" i="5"/>
  <c r="L106" i="5"/>
  <c r="J106" i="5"/>
  <c r="I106" i="5"/>
  <c r="G106" i="5"/>
  <c r="N105" i="5"/>
  <c r="L105" i="5"/>
  <c r="J105" i="5"/>
  <c r="I105" i="5"/>
  <c r="G105" i="5"/>
  <c r="N104" i="5"/>
  <c r="L104" i="5"/>
  <c r="J104" i="5"/>
  <c r="I104" i="5"/>
  <c r="G104" i="5"/>
  <c r="N103" i="5"/>
  <c r="L103" i="5"/>
  <c r="J103" i="5"/>
  <c r="I103" i="5"/>
  <c r="G103" i="5"/>
  <c r="L102" i="5"/>
  <c r="J102" i="5"/>
  <c r="I102" i="5"/>
  <c r="G102" i="5"/>
  <c r="N101" i="5"/>
  <c r="L101" i="5"/>
  <c r="J101" i="5"/>
  <c r="I101" i="5"/>
  <c r="G101" i="5"/>
  <c r="L100" i="5"/>
  <c r="I100" i="5"/>
  <c r="G100" i="5"/>
  <c r="S99" i="5"/>
  <c r="Q99" i="5"/>
  <c r="I99" i="5"/>
  <c r="N98" i="5"/>
  <c r="L98" i="5"/>
  <c r="J98" i="5"/>
  <c r="I98" i="5"/>
  <c r="G98" i="5"/>
  <c r="L97" i="5"/>
  <c r="I97" i="5"/>
  <c r="G97" i="5"/>
  <c r="N96" i="5"/>
  <c r="L96" i="5"/>
  <c r="J96" i="5"/>
  <c r="I96" i="5"/>
  <c r="G96" i="5"/>
  <c r="J95" i="5"/>
  <c r="G95" i="5"/>
  <c r="N94" i="5"/>
  <c r="L94" i="5"/>
  <c r="J94" i="5"/>
  <c r="I94" i="5"/>
  <c r="G94" i="5"/>
  <c r="J92" i="5"/>
  <c r="G92" i="5"/>
  <c r="N91" i="5"/>
  <c r="L91" i="5"/>
  <c r="J91" i="5"/>
  <c r="I91" i="5"/>
  <c r="G91" i="5"/>
  <c r="J90" i="5"/>
  <c r="G90" i="5"/>
  <c r="J89" i="5"/>
  <c r="G89" i="5"/>
  <c r="S88" i="5"/>
  <c r="N84" i="5"/>
  <c r="L84" i="5"/>
  <c r="J84" i="5"/>
  <c r="I84" i="5"/>
  <c r="G84" i="5"/>
  <c r="N83" i="5"/>
  <c r="N82" i="5"/>
  <c r="L82" i="5"/>
  <c r="J82" i="5"/>
  <c r="I82" i="5"/>
  <c r="G82" i="5"/>
  <c r="N81" i="5"/>
  <c r="L81" i="5"/>
  <c r="J81" i="5"/>
  <c r="I81" i="5"/>
  <c r="G81" i="5"/>
  <c r="N80" i="5"/>
  <c r="L80" i="5"/>
  <c r="J80" i="5"/>
  <c r="I80" i="5"/>
  <c r="G80" i="5"/>
  <c r="N79" i="5"/>
  <c r="L79" i="5"/>
  <c r="J79" i="5"/>
  <c r="I79" i="5"/>
  <c r="G79" i="5"/>
  <c r="N78" i="5"/>
  <c r="L78" i="5"/>
  <c r="J78" i="5"/>
  <c r="I78" i="5"/>
  <c r="G78" i="5"/>
  <c r="N77" i="5"/>
  <c r="L77" i="5"/>
  <c r="J77" i="5"/>
  <c r="I77" i="5"/>
  <c r="G77" i="5"/>
  <c r="N76" i="5"/>
  <c r="L76" i="5"/>
  <c r="J76" i="5"/>
  <c r="I76" i="5"/>
  <c r="G76" i="5"/>
  <c r="N75" i="5"/>
  <c r="L75" i="5"/>
  <c r="J75" i="5"/>
  <c r="I75" i="5"/>
  <c r="G75" i="5"/>
  <c r="N74" i="5"/>
  <c r="L74" i="5"/>
  <c r="J74" i="5"/>
  <c r="I74" i="5"/>
  <c r="G74" i="5"/>
  <c r="N73" i="5"/>
  <c r="L73" i="5"/>
  <c r="J73" i="5"/>
  <c r="I73" i="5"/>
  <c r="G73" i="5"/>
  <c r="N72" i="5"/>
  <c r="J72" i="5"/>
  <c r="I72" i="5"/>
  <c r="G72" i="5"/>
  <c r="N70" i="5"/>
  <c r="L70" i="5"/>
  <c r="J70" i="5"/>
  <c r="G70" i="5"/>
  <c r="N69" i="5"/>
  <c r="L69" i="5"/>
  <c r="J69" i="5"/>
  <c r="I69" i="5"/>
  <c r="G69" i="5"/>
  <c r="N68" i="5"/>
  <c r="L68" i="5"/>
  <c r="J68" i="5"/>
  <c r="I68" i="5"/>
  <c r="G68" i="5"/>
  <c r="N67" i="5"/>
  <c r="L67" i="5"/>
  <c r="J67" i="5"/>
  <c r="I67" i="5"/>
  <c r="G67" i="5"/>
  <c r="S66" i="5"/>
  <c r="R66" i="5"/>
  <c r="I66" i="5"/>
  <c r="N65" i="5"/>
  <c r="L65" i="5"/>
  <c r="J65" i="5"/>
  <c r="I65" i="5"/>
  <c r="G65" i="5"/>
  <c r="J64" i="5"/>
  <c r="G64" i="5"/>
  <c r="N63" i="5"/>
  <c r="L63" i="5"/>
  <c r="J63" i="5"/>
  <c r="I63" i="5"/>
  <c r="G63" i="5"/>
  <c r="L62" i="5"/>
  <c r="J62" i="5"/>
  <c r="N61" i="5"/>
  <c r="L61" i="5"/>
  <c r="J61" i="5"/>
  <c r="I61" i="5"/>
  <c r="J60" i="5"/>
  <c r="N59" i="5"/>
  <c r="L59" i="5"/>
  <c r="J59" i="5"/>
  <c r="I59" i="5"/>
  <c r="I58" i="5"/>
  <c r="N57" i="5"/>
  <c r="L57" i="5"/>
  <c r="J57" i="5"/>
  <c r="I57" i="5"/>
  <c r="I56" i="5"/>
  <c r="N55" i="5"/>
  <c r="J55" i="5"/>
  <c r="I55" i="5"/>
  <c r="I54" i="5"/>
  <c r="I53" i="5"/>
  <c r="J52" i="5"/>
  <c r="N49" i="5"/>
  <c r="L49" i="5"/>
  <c r="J49" i="5"/>
  <c r="I49" i="5"/>
  <c r="G49" i="5"/>
  <c r="L48" i="5"/>
  <c r="G48" i="5"/>
  <c r="N3" i="5"/>
  <c r="I3" i="5"/>
  <c r="N2" i="5"/>
  <c r="J2" i="5"/>
  <c r="L106" i="4"/>
  <c r="I106" i="4"/>
  <c r="J105" i="4"/>
  <c r="G105" i="4"/>
  <c r="N104" i="4"/>
  <c r="J104" i="4"/>
  <c r="G104" i="4"/>
  <c r="L103" i="4"/>
  <c r="G103" i="4"/>
  <c r="L102" i="4"/>
  <c r="G102" i="4"/>
  <c r="N101" i="4"/>
  <c r="J101" i="4"/>
  <c r="G101" i="4"/>
  <c r="I100" i="4"/>
  <c r="S99" i="4"/>
  <c r="R98" i="4"/>
  <c r="N97" i="4"/>
  <c r="G97" i="4"/>
  <c r="R96" i="4"/>
  <c r="L96" i="4"/>
  <c r="I96" i="4"/>
  <c r="J95" i="4"/>
  <c r="G95" i="4"/>
  <c r="J94" i="4"/>
  <c r="G93" i="4"/>
  <c r="N92" i="4"/>
  <c r="L92" i="4"/>
  <c r="G92" i="4"/>
  <c r="R91" i="4"/>
  <c r="N91" i="4"/>
  <c r="I91" i="4"/>
  <c r="N90" i="4"/>
  <c r="J90" i="4"/>
  <c r="G90" i="4"/>
  <c r="R89" i="4"/>
  <c r="N89" i="4"/>
  <c r="L88" i="4"/>
  <c r="N3" i="4"/>
  <c r="L3" i="4"/>
  <c r="J3" i="4"/>
  <c r="G3" i="4"/>
  <c r="N2" i="4"/>
  <c r="L2" i="4"/>
  <c r="I2" i="4"/>
  <c r="J32" i="7"/>
  <c r="I32" i="7"/>
  <c r="G32" i="7"/>
  <c r="N31" i="7"/>
  <c r="J31" i="7"/>
  <c r="I31" i="7"/>
  <c r="N30" i="7"/>
  <c r="L30" i="7"/>
  <c r="J30" i="7"/>
  <c r="I30" i="7"/>
  <c r="G30" i="7"/>
  <c r="N29" i="7"/>
  <c r="L29" i="7"/>
  <c r="J29" i="7"/>
  <c r="I29" i="7"/>
  <c r="G29" i="7"/>
  <c r="N28" i="7"/>
  <c r="L28" i="7"/>
  <c r="J28" i="7"/>
  <c r="I28" i="7"/>
  <c r="N27" i="7"/>
  <c r="L27" i="7"/>
  <c r="J27" i="7"/>
  <c r="I27" i="7"/>
  <c r="N26" i="7"/>
  <c r="L26" i="7"/>
  <c r="J26" i="7"/>
  <c r="I26" i="7"/>
  <c r="N25" i="7"/>
  <c r="L25" i="7"/>
  <c r="J25" i="7"/>
  <c r="I25" i="7"/>
  <c r="N24" i="7"/>
  <c r="L24" i="7"/>
  <c r="J24" i="7"/>
  <c r="I24" i="7"/>
  <c r="N23" i="7"/>
  <c r="L23" i="7"/>
  <c r="J23" i="7"/>
  <c r="I23" i="7"/>
  <c r="N22" i="7"/>
  <c r="L22" i="7"/>
  <c r="J22" i="7"/>
  <c r="I22" i="7"/>
  <c r="G22" i="7"/>
  <c r="N21" i="7"/>
  <c r="L21" i="7"/>
  <c r="J21" i="7"/>
  <c r="I21" i="7"/>
  <c r="N20" i="7"/>
  <c r="L20" i="7"/>
  <c r="J20" i="7"/>
  <c r="I20" i="7"/>
  <c r="N19" i="7"/>
  <c r="L19" i="7"/>
  <c r="J19" i="7"/>
  <c r="I19" i="7"/>
  <c r="N18" i="7"/>
  <c r="L18" i="7"/>
  <c r="J18" i="7"/>
  <c r="I18" i="7"/>
  <c r="G18" i="7"/>
  <c r="N17" i="7"/>
  <c r="L17" i="7"/>
  <c r="J17" i="7"/>
  <c r="I17" i="7"/>
  <c r="G17" i="7"/>
  <c r="N16" i="7"/>
  <c r="L16" i="7"/>
  <c r="J16" i="7"/>
  <c r="I16" i="7"/>
  <c r="G16" i="7"/>
  <c r="N15" i="7"/>
  <c r="L15" i="7"/>
  <c r="J15" i="7"/>
  <c r="I15" i="7"/>
  <c r="N14" i="7"/>
  <c r="L14" i="7"/>
  <c r="J14" i="7"/>
  <c r="I14" i="7"/>
  <c r="N13" i="7"/>
  <c r="L13" i="7"/>
  <c r="J13" i="7"/>
  <c r="I13" i="7"/>
  <c r="N12" i="7"/>
  <c r="L12" i="7"/>
  <c r="J12" i="7"/>
  <c r="I12" i="7"/>
  <c r="N11" i="7"/>
  <c r="L11" i="7"/>
  <c r="J11" i="7"/>
  <c r="I11" i="7"/>
  <c r="N10" i="7"/>
  <c r="L10" i="7"/>
  <c r="J10" i="7"/>
  <c r="I10" i="7"/>
  <c r="G10" i="7"/>
  <c r="N9" i="7"/>
  <c r="L9" i="7"/>
  <c r="J9" i="7"/>
  <c r="I9" i="7"/>
  <c r="G9" i="7"/>
  <c r="N8" i="7"/>
  <c r="L8" i="7"/>
  <c r="J8" i="7"/>
  <c r="I8" i="7"/>
  <c r="G8" i="7"/>
  <c r="N7" i="7"/>
  <c r="L7" i="7"/>
  <c r="J7" i="7"/>
  <c r="I7" i="7"/>
  <c r="G7" i="7"/>
  <c r="N6" i="7"/>
  <c r="L6" i="7"/>
  <c r="J6" i="7"/>
  <c r="I6" i="7"/>
  <c r="G6" i="7"/>
  <c r="N5" i="7"/>
  <c r="L5" i="7"/>
  <c r="J5" i="7"/>
  <c r="I5" i="7"/>
  <c r="G5" i="7"/>
  <c r="N4" i="7"/>
  <c r="L4" i="7"/>
  <c r="J4" i="7"/>
  <c r="I4" i="7"/>
  <c r="G4" i="7"/>
  <c r="J72" i="6"/>
  <c r="I72" i="6"/>
  <c r="G72" i="6"/>
  <c r="N71" i="6"/>
  <c r="L71" i="6"/>
  <c r="J71" i="6"/>
  <c r="I71" i="6"/>
  <c r="G71" i="6"/>
  <c r="N70" i="6"/>
  <c r="L70" i="6"/>
  <c r="J70" i="6"/>
  <c r="I70" i="6"/>
  <c r="G70" i="6"/>
  <c r="N69" i="6"/>
  <c r="L69" i="6"/>
  <c r="J69" i="6"/>
  <c r="I69" i="6"/>
  <c r="G69" i="6"/>
  <c r="N68" i="6"/>
  <c r="L68" i="6"/>
  <c r="J68" i="6"/>
  <c r="I68" i="6"/>
  <c r="G68" i="6"/>
  <c r="N67" i="6"/>
  <c r="L67" i="6"/>
  <c r="J67" i="6"/>
  <c r="I67" i="6"/>
  <c r="G67" i="6"/>
  <c r="N66" i="6"/>
  <c r="L66" i="6"/>
  <c r="J66" i="6"/>
  <c r="I66" i="6"/>
  <c r="G66" i="6"/>
  <c r="N65" i="6"/>
  <c r="L65" i="6"/>
  <c r="J65" i="6"/>
  <c r="I65" i="6"/>
  <c r="G65" i="6"/>
  <c r="N64" i="6"/>
  <c r="L64" i="6"/>
  <c r="J64" i="6"/>
  <c r="I64" i="6"/>
  <c r="G64" i="6"/>
  <c r="N63" i="6"/>
  <c r="L63" i="6"/>
  <c r="J63" i="6"/>
  <c r="I63" i="6"/>
  <c r="G63" i="6"/>
  <c r="N62" i="6"/>
  <c r="L62" i="6"/>
  <c r="J62" i="6"/>
  <c r="I62" i="6"/>
  <c r="N61" i="6"/>
  <c r="L61" i="6"/>
  <c r="J61" i="6"/>
  <c r="I61" i="6"/>
  <c r="N60" i="6"/>
  <c r="L60" i="6"/>
  <c r="J60" i="6"/>
  <c r="I60" i="6"/>
  <c r="N59" i="6"/>
  <c r="L59" i="6"/>
  <c r="J59" i="6"/>
  <c r="I59" i="6"/>
  <c r="N58" i="6"/>
  <c r="L58" i="6"/>
  <c r="J58" i="6"/>
  <c r="I58" i="6"/>
  <c r="N57" i="6"/>
  <c r="L57" i="6"/>
  <c r="J57" i="6"/>
  <c r="I57" i="6"/>
  <c r="N56" i="6"/>
  <c r="J56" i="6"/>
  <c r="I56" i="6"/>
  <c r="N55" i="6"/>
  <c r="J55" i="6"/>
  <c r="I55" i="6"/>
  <c r="N54" i="6"/>
  <c r="J54" i="6"/>
  <c r="I54" i="6"/>
  <c r="N53" i="6"/>
  <c r="J53" i="6"/>
  <c r="I53" i="6"/>
  <c r="N52" i="6"/>
  <c r="J52" i="6"/>
  <c r="I52" i="6"/>
  <c r="N51" i="6"/>
  <c r="J51" i="6"/>
  <c r="I51" i="6"/>
  <c r="N50" i="6"/>
  <c r="L50" i="6"/>
  <c r="J50" i="6"/>
  <c r="I50" i="6"/>
  <c r="N49" i="6"/>
  <c r="L49" i="6"/>
  <c r="J49" i="6"/>
  <c r="I49" i="6"/>
  <c r="G49" i="6"/>
  <c r="N48" i="6"/>
  <c r="L48" i="6"/>
  <c r="J48" i="6"/>
  <c r="I48" i="6"/>
  <c r="G48" i="6"/>
  <c r="N47" i="6"/>
  <c r="L47" i="6"/>
  <c r="J47" i="6"/>
  <c r="I47" i="6"/>
  <c r="N46" i="6"/>
  <c r="L46" i="6"/>
  <c r="J46" i="6"/>
  <c r="I46" i="6"/>
  <c r="N45" i="6"/>
  <c r="L45" i="6"/>
  <c r="J45" i="6"/>
  <c r="I45" i="6"/>
  <c r="N44" i="6"/>
  <c r="L44" i="6"/>
  <c r="J44" i="6"/>
  <c r="I44" i="6"/>
  <c r="N43" i="6"/>
  <c r="L43" i="6"/>
  <c r="J43" i="6"/>
  <c r="I43" i="6"/>
  <c r="N42" i="6"/>
  <c r="L42" i="6"/>
  <c r="J42" i="6"/>
  <c r="I42" i="6"/>
  <c r="N41" i="6"/>
  <c r="L41" i="6"/>
  <c r="J41" i="6"/>
  <c r="I41" i="6"/>
  <c r="N40" i="6"/>
  <c r="L40" i="6"/>
  <c r="J40" i="6"/>
  <c r="I40" i="6"/>
  <c r="N39" i="6"/>
  <c r="L39" i="6"/>
  <c r="J39" i="6"/>
  <c r="I39" i="6"/>
  <c r="N38" i="6"/>
  <c r="L38" i="6"/>
  <c r="J38" i="6"/>
  <c r="I38" i="6"/>
  <c r="N37" i="6"/>
  <c r="L37" i="6"/>
  <c r="J37" i="6"/>
  <c r="I37" i="6"/>
  <c r="N36" i="6"/>
  <c r="L36" i="6"/>
  <c r="J36" i="6"/>
  <c r="I36" i="6"/>
  <c r="N35" i="6"/>
  <c r="L35" i="6"/>
  <c r="J35" i="6"/>
  <c r="I35" i="6"/>
  <c r="N34" i="6"/>
  <c r="L34" i="6"/>
  <c r="J34" i="6"/>
  <c r="I34" i="6"/>
  <c r="N33" i="6"/>
  <c r="L33" i="6"/>
  <c r="J33" i="6"/>
  <c r="I33" i="6"/>
  <c r="G33" i="6"/>
  <c r="N32" i="6"/>
  <c r="L32" i="6"/>
  <c r="J32" i="6"/>
  <c r="I32" i="6"/>
  <c r="G32" i="6"/>
  <c r="N31" i="6"/>
  <c r="L31" i="6"/>
  <c r="J31" i="6"/>
  <c r="I31" i="6"/>
  <c r="N30" i="6"/>
  <c r="L30" i="6"/>
  <c r="J30" i="6"/>
  <c r="I30" i="6"/>
  <c r="G30" i="6"/>
  <c r="N29" i="6"/>
  <c r="L29" i="6"/>
  <c r="J29" i="6"/>
  <c r="I29" i="6"/>
  <c r="G29" i="6"/>
  <c r="N28" i="6"/>
  <c r="L28" i="6"/>
  <c r="J28" i="6"/>
  <c r="I28" i="6"/>
  <c r="N27" i="6"/>
  <c r="L27" i="6"/>
  <c r="J27" i="6"/>
  <c r="I27" i="6"/>
  <c r="N26" i="6"/>
  <c r="L26" i="6"/>
  <c r="J26" i="6"/>
  <c r="I26" i="6"/>
  <c r="N25" i="6"/>
  <c r="L25" i="6"/>
  <c r="J25" i="6"/>
  <c r="I25" i="6"/>
  <c r="N24" i="6"/>
  <c r="L24" i="6"/>
  <c r="J24" i="6"/>
  <c r="I24" i="6"/>
  <c r="N23" i="6"/>
  <c r="L23" i="6"/>
  <c r="J23" i="6"/>
  <c r="I23" i="6"/>
  <c r="N22" i="6"/>
  <c r="L22" i="6"/>
  <c r="J22" i="6"/>
  <c r="I22" i="6"/>
  <c r="G22" i="6"/>
  <c r="N21" i="6"/>
  <c r="L21" i="6"/>
  <c r="J21" i="6"/>
  <c r="I21" i="6"/>
  <c r="N20" i="6"/>
  <c r="L20" i="6"/>
  <c r="J20" i="6"/>
  <c r="I20" i="6"/>
  <c r="N19" i="6"/>
  <c r="L19" i="6"/>
  <c r="J19" i="6"/>
  <c r="I19" i="6"/>
  <c r="N18" i="6"/>
  <c r="L18" i="6"/>
  <c r="J18" i="6"/>
  <c r="I18" i="6"/>
  <c r="G18" i="6"/>
  <c r="N17" i="6"/>
  <c r="L17" i="6"/>
  <c r="J17" i="6"/>
  <c r="I17" i="6"/>
  <c r="G17" i="6"/>
  <c r="N16" i="6"/>
  <c r="L16" i="6"/>
  <c r="J16" i="6"/>
  <c r="I16" i="6"/>
  <c r="G16" i="6"/>
  <c r="N15" i="6"/>
  <c r="L15" i="6"/>
  <c r="J15" i="6"/>
  <c r="I15" i="6"/>
  <c r="N14" i="6"/>
  <c r="L14" i="6"/>
  <c r="J14" i="6"/>
  <c r="I14" i="6"/>
  <c r="N13" i="6"/>
  <c r="L13" i="6"/>
  <c r="J13" i="6"/>
  <c r="I13" i="6"/>
  <c r="N12" i="6"/>
  <c r="L12" i="6"/>
  <c r="J12" i="6"/>
  <c r="I12" i="6"/>
  <c r="N11" i="6"/>
  <c r="L11" i="6"/>
  <c r="J11" i="6"/>
  <c r="I11" i="6"/>
  <c r="N10" i="6"/>
  <c r="L10" i="6"/>
  <c r="J10" i="6"/>
  <c r="I10" i="6"/>
  <c r="G10" i="6"/>
  <c r="N9" i="6"/>
  <c r="L9" i="6"/>
  <c r="J9" i="6"/>
  <c r="I9" i="6"/>
  <c r="G9" i="6"/>
  <c r="N8" i="6"/>
  <c r="L8" i="6"/>
  <c r="J8" i="6"/>
  <c r="I8" i="6"/>
  <c r="G8" i="6"/>
  <c r="N3" i="6"/>
  <c r="L3" i="6"/>
  <c r="J3" i="6"/>
  <c r="I3" i="6"/>
  <c r="G3" i="6"/>
  <c r="N2" i="6"/>
  <c r="M2" i="6"/>
  <c r="L2" i="6"/>
  <c r="K2" i="6"/>
  <c r="J2" i="6"/>
  <c r="I2" i="6"/>
  <c r="N102" i="5"/>
  <c r="N100" i="5"/>
  <c r="J100" i="5"/>
  <c r="N99" i="5"/>
  <c r="L99" i="5"/>
  <c r="J99" i="5"/>
  <c r="G99" i="5"/>
  <c r="N97" i="5"/>
  <c r="J97" i="5"/>
  <c r="N95" i="5"/>
  <c r="L95" i="5"/>
  <c r="I95" i="5"/>
  <c r="N93" i="5"/>
  <c r="L93" i="5"/>
  <c r="J93" i="5"/>
  <c r="I93" i="5"/>
  <c r="G93" i="5"/>
  <c r="N92" i="5"/>
  <c r="L92" i="5"/>
  <c r="I92" i="5"/>
  <c r="N90" i="5"/>
  <c r="L90" i="5"/>
  <c r="I90" i="5"/>
  <c r="N89" i="5"/>
  <c r="L89" i="5"/>
  <c r="I89" i="5"/>
  <c r="N88" i="5"/>
  <c r="L88" i="5"/>
  <c r="J88" i="5"/>
  <c r="I88" i="5"/>
  <c r="G88" i="5"/>
  <c r="Q88" i="5"/>
  <c r="N87" i="5"/>
  <c r="L87" i="5"/>
  <c r="J87" i="5"/>
  <c r="I87" i="5"/>
  <c r="G87" i="5"/>
  <c r="N86" i="5"/>
  <c r="L86" i="5"/>
  <c r="J86" i="5"/>
  <c r="I86" i="5"/>
  <c r="G86" i="5"/>
  <c r="N85" i="5"/>
  <c r="L85" i="5"/>
  <c r="J85" i="5"/>
  <c r="I85" i="5"/>
  <c r="G85" i="5"/>
  <c r="S84" i="5"/>
  <c r="L83" i="5"/>
  <c r="J83" i="5"/>
  <c r="I83" i="5"/>
  <c r="G83" i="5"/>
  <c r="L72" i="5"/>
  <c r="N71" i="5"/>
  <c r="L71" i="5"/>
  <c r="J71" i="5"/>
  <c r="I71" i="5"/>
  <c r="G71" i="5"/>
  <c r="I70" i="5"/>
  <c r="N66" i="5"/>
  <c r="L66" i="5"/>
  <c r="J66" i="5"/>
  <c r="G66" i="5"/>
  <c r="N64" i="5"/>
  <c r="L64" i="5"/>
  <c r="I64" i="5"/>
  <c r="N62" i="5"/>
  <c r="I62" i="5"/>
  <c r="N60" i="5"/>
  <c r="L60" i="5"/>
  <c r="I60" i="5"/>
  <c r="N58" i="5"/>
  <c r="L58" i="5"/>
  <c r="J58" i="5"/>
  <c r="N56" i="5"/>
  <c r="J56" i="5"/>
  <c r="N54" i="5"/>
  <c r="J54" i="5"/>
  <c r="N53" i="5"/>
  <c r="J53" i="5"/>
  <c r="N52" i="5"/>
  <c r="I52" i="5"/>
  <c r="N51" i="5"/>
  <c r="J51" i="5"/>
  <c r="I51" i="5"/>
  <c r="N50" i="5"/>
  <c r="L50" i="5"/>
  <c r="J50" i="5"/>
  <c r="I50" i="5"/>
  <c r="R49" i="5"/>
  <c r="N48" i="5"/>
  <c r="I48" i="5"/>
  <c r="J3" i="5"/>
  <c r="M2" i="5"/>
  <c r="I2" i="5"/>
  <c r="R106" i="4"/>
  <c r="J106" i="4"/>
  <c r="Q105" i="4"/>
  <c r="L105" i="4"/>
  <c r="I104" i="4"/>
  <c r="S103" i="4"/>
  <c r="J103" i="4"/>
  <c r="N102" i="4"/>
  <c r="Q101" i="4"/>
  <c r="L101" i="4"/>
  <c r="R100" i="4"/>
  <c r="N99" i="4"/>
  <c r="I99" i="4"/>
  <c r="S98" i="4"/>
  <c r="N98" i="4"/>
  <c r="Q97" i="4"/>
  <c r="J97" i="4"/>
  <c r="S96" i="4"/>
  <c r="J96" i="4"/>
  <c r="S95" i="4"/>
  <c r="L95" i="4"/>
  <c r="L94" i="4"/>
  <c r="G94" i="4"/>
  <c r="J93" i="4"/>
  <c r="R92" i="4"/>
  <c r="I92" i="4"/>
  <c r="Q91" i="4"/>
  <c r="L91" i="4"/>
  <c r="L90" i="4"/>
  <c r="Q89" i="4"/>
  <c r="J89" i="4"/>
  <c r="R88" i="4"/>
  <c r="N88" i="4"/>
  <c r="I88" i="4"/>
  <c r="N7" i="6"/>
  <c r="L7" i="6"/>
  <c r="J7" i="6"/>
  <c r="I7" i="6"/>
  <c r="G7" i="6"/>
  <c r="N6" i="6"/>
  <c r="L6" i="6"/>
  <c r="J6" i="6"/>
  <c r="I6" i="6"/>
  <c r="G6" i="6"/>
  <c r="N5" i="6"/>
  <c r="L5" i="6"/>
  <c r="J5" i="6"/>
  <c r="I5" i="6"/>
  <c r="G5" i="6"/>
  <c r="N4" i="6"/>
  <c r="L4" i="6"/>
  <c r="J4" i="6"/>
  <c r="I4" i="6"/>
  <c r="G4" i="6"/>
  <c r="N47" i="5"/>
  <c r="L47" i="5"/>
  <c r="J47" i="5"/>
  <c r="I47" i="5"/>
  <c r="N46" i="5"/>
  <c r="L46" i="5"/>
  <c r="J46" i="5"/>
  <c r="I46" i="5"/>
  <c r="N45" i="5"/>
  <c r="L45" i="5"/>
  <c r="J45" i="5"/>
  <c r="I45" i="5"/>
  <c r="N44" i="5"/>
  <c r="L44" i="5"/>
  <c r="J44" i="5"/>
  <c r="I44" i="5"/>
  <c r="N43" i="5"/>
  <c r="L43" i="5"/>
  <c r="J43" i="5"/>
  <c r="I43" i="5"/>
  <c r="G43" i="5"/>
  <c r="N42" i="5"/>
  <c r="L42" i="5"/>
  <c r="J42" i="5"/>
  <c r="I42" i="5"/>
  <c r="N41" i="5"/>
  <c r="L41" i="5"/>
  <c r="J41" i="5"/>
  <c r="I41" i="5"/>
  <c r="N40" i="5"/>
  <c r="L40" i="5"/>
  <c r="J40" i="5"/>
  <c r="I40" i="5"/>
  <c r="N39" i="5"/>
  <c r="L39" i="5"/>
  <c r="J39" i="5"/>
  <c r="I39" i="5"/>
  <c r="G39" i="5"/>
  <c r="N38" i="5"/>
  <c r="L38" i="5"/>
  <c r="J38" i="5"/>
  <c r="I38" i="5"/>
  <c r="N37" i="5"/>
  <c r="L37" i="5"/>
  <c r="J37" i="5"/>
  <c r="I37" i="5"/>
  <c r="N36" i="5"/>
  <c r="L36" i="5"/>
  <c r="J36" i="5"/>
  <c r="I36" i="5"/>
  <c r="N35" i="5"/>
  <c r="L35" i="5"/>
  <c r="J35" i="5"/>
  <c r="I35" i="5"/>
  <c r="N34" i="5"/>
  <c r="L34" i="5"/>
  <c r="J34" i="5"/>
  <c r="I34" i="5"/>
  <c r="N33" i="5"/>
  <c r="L33" i="5"/>
  <c r="J33" i="5"/>
  <c r="I33" i="5"/>
  <c r="G33" i="5"/>
  <c r="N32" i="5"/>
  <c r="L32" i="5"/>
  <c r="J32" i="5"/>
  <c r="I32" i="5"/>
  <c r="G32" i="5"/>
  <c r="N31" i="5"/>
  <c r="L31" i="5"/>
  <c r="I31" i="5"/>
  <c r="N30" i="5"/>
  <c r="L30" i="5"/>
  <c r="J30" i="5"/>
  <c r="I30" i="5"/>
  <c r="G30" i="5"/>
  <c r="N29" i="5"/>
  <c r="L29" i="5"/>
  <c r="J29" i="5"/>
  <c r="I29" i="5"/>
  <c r="G29" i="5"/>
  <c r="N28" i="5"/>
  <c r="L28" i="5"/>
  <c r="J28" i="5"/>
  <c r="I28" i="5"/>
  <c r="N27" i="5"/>
  <c r="L27" i="5"/>
  <c r="J27" i="5"/>
  <c r="I27" i="5"/>
  <c r="N26" i="5"/>
  <c r="L26" i="5"/>
  <c r="J26" i="5"/>
  <c r="I26" i="5"/>
  <c r="N25" i="5"/>
  <c r="L25" i="5"/>
  <c r="J25" i="5"/>
  <c r="I25" i="5"/>
  <c r="N24" i="5"/>
  <c r="L24" i="5"/>
  <c r="J24" i="5"/>
  <c r="I24" i="5"/>
  <c r="N23" i="5"/>
  <c r="L23" i="5"/>
  <c r="J23" i="5"/>
  <c r="I23" i="5"/>
  <c r="N22" i="5"/>
  <c r="L22" i="5"/>
  <c r="J22" i="5"/>
  <c r="I22" i="5"/>
  <c r="G22" i="5"/>
  <c r="N21" i="5"/>
  <c r="L21" i="5"/>
  <c r="J21" i="5"/>
  <c r="I21" i="5"/>
  <c r="N20" i="5"/>
  <c r="L20" i="5"/>
  <c r="J20" i="5"/>
  <c r="I20" i="5"/>
  <c r="N19" i="5"/>
  <c r="L19" i="5"/>
  <c r="J19" i="5"/>
  <c r="I19" i="5"/>
  <c r="N18" i="5"/>
  <c r="L18" i="5"/>
  <c r="J18" i="5"/>
  <c r="I18" i="5"/>
  <c r="G18" i="5"/>
  <c r="N17" i="5"/>
  <c r="L17" i="5"/>
  <c r="J17" i="5"/>
  <c r="I17" i="5"/>
  <c r="G17" i="5"/>
  <c r="N16" i="5"/>
  <c r="L16" i="5"/>
  <c r="J16" i="5"/>
  <c r="I16" i="5"/>
  <c r="G16" i="5"/>
  <c r="N15" i="5"/>
  <c r="L15" i="5"/>
  <c r="J15" i="5"/>
  <c r="I15" i="5"/>
  <c r="N14" i="5"/>
  <c r="L14" i="5"/>
  <c r="J14" i="5"/>
  <c r="I14" i="5"/>
  <c r="N13" i="5"/>
  <c r="L13" i="5"/>
  <c r="J13" i="5"/>
  <c r="I13" i="5"/>
  <c r="G13" i="5"/>
  <c r="N12" i="5"/>
  <c r="L12" i="5"/>
  <c r="J12" i="5"/>
  <c r="I12" i="5"/>
  <c r="N11" i="5"/>
  <c r="L11" i="5"/>
  <c r="J11" i="5"/>
  <c r="I11" i="5"/>
  <c r="N10" i="5"/>
  <c r="L10" i="5"/>
  <c r="J10" i="5"/>
  <c r="I10" i="5"/>
  <c r="G10" i="5"/>
  <c r="N9" i="5"/>
  <c r="L9" i="5"/>
  <c r="J9" i="5"/>
  <c r="I9" i="5"/>
  <c r="G9" i="5"/>
  <c r="N8" i="5"/>
  <c r="L8" i="5"/>
  <c r="J8" i="5"/>
  <c r="I8" i="5"/>
  <c r="G8" i="5"/>
  <c r="N7" i="5"/>
  <c r="L7" i="5"/>
  <c r="J7" i="5"/>
  <c r="I7" i="5"/>
  <c r="G7" i="5"/>
  <c r="N6" i="5"/>
  <c r="L6" i="5"/>
  <c r="J6" i="5"/>
  <c r="I6" i="5"/>
  <c r="G6" i="5"/>
  <c r="N5" i="5"/>
  <c r="L5" i="5"/>
  <c r="J5" i="5"/>
  <c r="I5" i="5"/>
  <c r="G5" i="5"/>
  <c r="N4" i="5"/>
  <c r="L4" i="5"/>
  <c r="J4" i="5"/>
  <c r="I4" i="5"/>
  <c r="G4" i="5"/>
  <c r="N87" i="4"/>
  <c r="L87" i="4"/>
  <c r="J87" i="4"/>
  <c r="I87" i="4"/>
  <c r="G87" i="4"/>
  <c r="N86" i="4"/>
  <c r="L86" i="4"/>
  <c r="J86" i="4"/>
  <c r="I86" i="4"/>
  <c r="G86" i="4"/>
  <c r="N85" i="4"/>
  <c r="L85" i="4"/>
  <c r="J85" i="4"/>
  <c r="I85" i="4"/>
  <c r="G85" i="4"/>
  <c r="N84" i="4"/>
  <c r="L84" i="4"/>
  <c r="J84" i="4"/>
  <c r="I84" i="4"/>
  <c r="G84" i="4"/>
  <c r="N83" i="4"/>
  <c r="L83" i="4"/>
  <c r="J83" i="4"/>
  <c r="I83" i="4"/>
  <c r="G83" i="4"/>
  <c r="N82" i="4"/>
  <c r="L82" i="4"/>
  <c r="J82" i="4"/>
  <c r="I82" i="4"/>
  <c r="G82" i="4"/>
  <c r="N81" i="4"/>
  <c r="L81" i="4"/>
  <c r="J81" i="4"/>
  <c r="I81" i="4"/>
  <c r="G81" i="4"/>
  <c r="N80" i="4"/>
  <c r="L80" i="4"/>
  <c r="J80" i="4"/>
  <c r="I80" i="4"/>
  <c r="G80" i="4"/>
  <c r="N79" i="4"/>
  <c r="L79" i="4"/>
  <c r="J79" i="4"/>
  <c r="I79" i="4"/>
  <c r="G79" i="4"/>
  <c r="N78" i="4"/>
  <c r="L78" i="4"/>
  <c r="J78" i="4"/>
  <c r="I78" i="4"/>
  <c r="G78" i="4"/>
  <c r="N77" i="4"/>
  <c r="L77" i="4"/>
  <c r="J77" i="4"/>
  <c r="I77" i="4"/>
  <c r="G77" i="4"/>
  <c r="N76" i="4"/>
  <c r="L76" i="4"/>
  <c r="J76" i="4"/>
  <c r="I76" i="4"/>
  <c r="G76" i="4"/>
  <c r="N75" i="4"/>
  <c r="L75" i="4"/>
  <c r="J75" i="4"/>
  <c r="I75" i="4"/>
  <c r="G75" i="4"/>
  <c r="N74" i="4"/>
  <c r="L74" i="4"/>
  <c r="J74" i="4"/>
  <c r="I74" i="4"/>
  <c r="G74" i="4"/>
  <c r="N73" i="4"/>
  <c r="L73" i="4"/>
  <c r="J73" i="4"/>
  <c r="I73" i="4"/>
  <c r="G73" i="4"/>
  <c r="N72" i="4"/>
  <c r="L72" i="4"/>
  <c r="J72" i="4"/>
  <c r="I72" i="4"/>
  <c r="G72" i="4"/>
  <c r="N71" i="4"/>
  <c r="L71" i="4"/>
  <c r="J71" i="4"/>
  <c r="I71" i="4"/>
  <c r="G71" i="4"/>
  <c r="N70" i="4"/>
  <c r="L70" i="4"/>
  <c r="J70" i="4"/>
  <c r="I70" i="4"/>
  <c r="G70" i="4"/>
  <c r="N69" i="4"/>
  <c r="L69" i="4"/>
  <c r="J69" i="4"/>
  <c r="I69" i="4"/>
  <c r="G69" i="4"/>
  <c r="N68" i="4"/>
  <c r="L68" i="4"/>
  <c r="J68" i="4"/>
  <c r="I68" i="4"/>
  <c r="G68" i="4"/>
  <c r="N67" i="4"/>
  <c r="L67" i="4"/>
  <c r="J67" i="4"/>
  <c r="I67" i="4"/>
  <c r="G67" i="4"/>
  <c r="N66" i="4"/>
  <c r="L66" i="4"/>
  <c r="J66" i="4"/>
  <c r="I66" i="4"/>
  <c r="G66" i="4"/>
  <c r="N65" i="4"/>
  <c r="L65" i="4"/>
  <c r="J65" i="4"/>
  <c r="I65" i="4"/>
  <c r="G65" i="4"/>
  <c r="N64" i="4"/>
  <c r="L64" i="4"/>
  <c r="J64" i="4"/>
  <c r="I64" i="4"/>
  <c r="G64" i="4"/>
  <c r="N63" i="4"/>
  <c r="L63" i="4"/>
  <c r="J63" i="4"/>
  <c r="I63" i="4"/>
  <c r="G63" i="4"/>
  <c r="N62" i="4"/>
  <c r="L62" i="4"/>
  <c r="J62" i="4"/>
  <c r="I62" i="4"/>
  <c r="N61" i="4"/>
  <c r="L61" i="4"/>
  <c r="J61" i="4"/>
  <c r="I61" i="4"/>
  <c r="N60" i="4"/>
  <c r="L60" i="4"/>
  <c r="J60" i="4"/>
  <c r="I60" i="4"/>
  <c r="N59" i="4"/>
  <c r="L59" i="4"/>
  <c r="J59" i="4"/>
  <c r="I59" i="4"/>
  <c r="N58" i="4"/>
  <c r="L58" i="4"/>
  <c r="J58" i="4"/>
  <c r="I58" i="4"/>
  <c r="N57" i="4"/>
  <c r="L57" i="4"/>
  <c r="J57" i="4"/>
  <c r="I57" i="4"/>
  <c r="N56" i="4"/>
  <c r="J56" i="4"/>
  <c r="I56" i="4"/>
  <c r="N55" i="4"/>
  <c r="J55" i="4"/>
  <c r="I55" i="4"/>
  <c r="N54" i="4"/>
  <c r="J54" i="4"/>
  <c r="I54" i="4"/>
  <c r="N53" i="4"/>
  <c r="J53" i="4"/>
  <c r="I53" i="4"/>
  <c r="N52" i="4"/>
  <c r="J52" i="4"/>
  <c r="I52" i="4"/>
  <c r="N51" i="4"/>
  <c r="J51" i="4"/>
  <c r="I51" i="4"/>
  <c r="N50" i="4"/>
  <c r="L50" i="4"/>
  <c r="J50" i="4"/>
  <c r="I50" i="4"/>
  <c r="N49" i="4"/>
  <c r="L49" i="4"/>
  <c r="J49" i="4"/>
  <c r="I49" i="4"/>
  <c r="G49" i="4"/>
  <c r="N48" i="4"/>
  <c r="L48" i="4"/>
  <c r="J48" i="4"/>
  <c r="I48" i="4"/>
  <c r="G48" i="4"/>
  <c r="N47" i="4"/>
  <c r="L47" i="4"/>
  <c r="J47" i="4"/>
  <c r="I47" i="4"/>
  <c r="N46" i="4"/>
  <c r="L46" i="4"/>
  <c r="J46" i="4"/>
  <c r="I46" i="4"/>
  <c r="N45" i="4"/>
  <c r="L45" i="4"/>
  <c r="J45" i="4"/>
  <c r="I45" i="4"/>
  <c r="N44" i="4"/>
  <c r="L44" i="4"/>
  <c r="J44" i="4"/>
  <c r="I44" i="4"/>
  <c r="N43" i="4"/>
  <c r="L43" i="4"/>
  <c r="J43" i="4"/>
  <c r="I43" i="4"/>
  <c r="G43" i="4"/>
  <c r="N42" i="4"/>
  <c r="L42" i="4"/>
  <c r="J42" i="4"/>
  <c r="I42" i="4"/>
  <c r="N41" i="4"/>
  <c r="L41" i="4"/>
  <c r="J41" i="4"/>
  <c r="I41" i="4"/>
  <c r="N40" i="4"/>
  <c r="L40" i="4"/>
  <c r="J40" i="4"/>
  <c r="I40" i="4"/>
  <c r="N39" i="4"/>
  <c r="L39" i="4"/>
  <c r="J39" i="4"/>
  <c r="I39" i="4"/>
  <c r="G39" i="4"/>
  <c r="N38" i="4"/>
  <c r="L38" i="4"/>
  <c r="J38" i="4"/>
  <c r="I38" i="4"/>
  <c r="N37" i="4"/>
  <c r="L37" i="4"/>
  <c r="J37" i="4"/>
  <c r="I37" i="4"/>
  <c r="N36" i="4"/>
  <c r="L36" i="4"/>
  <c r="J36" i="4"/>
  <c r="I36" i="4"/>
  <c r="N35" i="4"/>
  <c r="L35" i="4"/>
  <c r="J35" i="4"/>
  <c r="I35" i="4"/>
  <c r="N34" i="4"/>
  <c r="J34" i="4"/>
  <c r="I34" i="4"/>
  <c r="N33" i="4"/>
  <c r="J33" i="4"/>
  <c r="I33" i="4"/>
  <c r="G33" i="4"/>
  <c r="N32" i="4"/>
  <c r="J32" i="4"/>
  <c r="I32" i="4"/>
  <c r="G32" i="4"/>
  <c r="N31" i="4"/>
  <c r="J31" i="4"/>
  <c r="I31" i="4"/>
  <c r="G31" i="4"/>
  <c r="N30" i="4"/>
  <c r="L30" i="4"/>
  <c r="J30" i="4"/>
  <c r="I30" i="4"/>
  <c r="G30" i="4"/>
  <c r="N29" i="4"/>
  <c r="L29" i="4"/>
  <c r="J29" i="4"/>
  <c r="I29" i="4"/>
  <c r="G29" i="4"/>
  <c r="N28" i="4"/>
  <c r="L28" i="4"/>
  <c r="J28" i="4"/>
  <c r="I28" i="4"/>
  <c r="N27" i="4"/>
  <c r="L27" i="4"/>
  <c r="J27" i="4"/>
  <c r="I27" i="4"/>
  <c r="N26" i="4"/>
  <c r="L26" i="4"/>
  <c r="J26" i="4"/>
  <c r="I26" i="4"/>
  <c r="N25" i="4"/>
  <c r="L25" i="4"/>
  <c r="J25" i="4"/>
  <c r="I25" i="4"/>
  <c r="N24" i="4"/>
  <c r="L24" i="4"/>
  <c r="J24" i="4"/>
  <c r="I24" i="4"/>
  <c r="G24" i="4"/>
  <c r="N23" i="4"/>
  <c r="L23" i="4"/>
  <c r="J23" i="4"/>
  <c r="I23" i="4"/>
  <c r="N22" i="4"/>
  <c r="L22" i="4"/>
  <c r="J22" i="4"/>
  <c r="I22" i="4"/>
  <c r="G22" i="4"/>
  <c r="N21" i="4"/>
  <c r="L21" i="4"/>
  <c r="J21" i="4"/>
  <c r="I21" i="4"/>
  <c r="N20" i="4"/>
  <c r="L20" i="4"/>
  <c r="J20" i="4"/>
  <c r="I20" i="4"/>
  <c r="N19" i="4"/>
  <c r="L19" i="4"/>
  <c r="J19" i="4"/>
  <c r="I19" i="4"/>
  <c r="N18" i="4"/>
  <c r="L18" i="4"/>
  <c r="J18" i="4"/>
  <c r="I18" i="4"/>
  <c r="G18" i="4"/>
  <c r="N17" i="4"/>
  <c r="L17" i="4"/>
  <c r="J17" i="4"/>
  <c r="I17" i="4"/>
  <c r="G17" i="4"/>
  <c r="N16" i="4"/>
  <c r="L16" i="4"/>
  <c r="J16" i="4"/>
  <c r="I16" i="4"/>
  <c r="G16" i="4"/>
  <c r="N15" i="4"/>
  <c r="L15" i="4"/>
  <c r="J15" i="4"/>
  <c r="I15" i="4"/>
  <c r="N14" i="4"/>
  <c r="L14" i="4"/>
  <c r="J14" i="4"/>
  <c r="I14" i="4"/>
  <c r="N13" i="4"/>
  <c r="L13" i="4"/>
  <c r="J13" i="4"/>
  <c r="I13" i="4"/>
  <c r="G13" i="4"/>
  <c r="N12" i="4"/>
  <c r="L12" i="4"/>
  <c r="J12" i="4"/>
  <c r="I12" i="4"/>
  <c r="N11" i="4"/>
  <c r="L11" i="4"/>
  <c r="J11" i="4"/>
  <c r="I11" i="4"/>
  <c r="N10" i="4"/>
  <c r="L10" i="4"/>
  <c r="J10" i="4"/>
  <c r="I10" i="4"/>
  <c r="G10" i="4"/>
  <c r="N9" i="4"/>
  <c r="L9" i="4"/>
  <c r="J9" i="4"/>
  <c r="I9" i="4"/>
  <c r="G9" i="4"/>
  <c r="N8" i="4"/>
  <c r="L8" i="4"/>
  <c r="J8" i="4"/>
  <c r="I8" i="4"/>
  <c r="G8" i="4"/>
  <c r="N7" i="4"/>
  <c r="L7" i="4"/>
  <c r="J7" i="4"/>
  <c r="I7" i="4"/>
  <c r="G7" i="4"/>
  <c r="N6" i="4"/>
  <c r="L6" i="4"/>
  <c r="J6" i="4"/>
  <c r="I6" i="4"/>
  <c r="G6" i="4"/>
  <c r="N5" i="4"/>
  <c r="L5" i="4"/>
  <c r="J5" i="4"/>
  <c r="I5" i="4"/>
  <c r="G5" i="4"/>
  <c r="N4" i="4"/>
  <c r="L4" i="4"/>
  <c r="J4" i="4"/>
  <c r="I4" i="4"/>
  <c r="G4" i="4"/>
  <c r="S3" i="5"/>
  <c r="Q3" i="5"/>
  <c r="Q7" i="6"/>
  <c r="R7" i="6"/>
  <c r="S7" i="6"/>
  <c r="S106" i="10"/>
  <c r="R106" i="10"/>
  <c r="Q106" i="10"/>
  <c r="S105" i="10"/>
  <c r="R105" i="10"/>
  <c r="Q105" i="10"/>
  <c r="S104" i="10"/>
  <c r="R104" i="10"/>
  <c r="Q104" i="10"/>
  <c r="S103" i="10"/>
  <c r="R103" i="10"/>
  <c r="Q103" i="10"/>
  <c r="S102" i="10"/>
  <c r="R102" i="10"/>
  <c r="Q102" i="10"/>
  <c r="S101" i="10"/>
  <c r="R101" i="10"/>
  <c r="Q101" i="10"/>
  <c r="S100" i="10"/>
  <c r="R100" i="10"/>
  <c r="Q100" i="10"/>
  <c r="S99" i="10"/>
  <c r="R99" i="10"/>
  <c r="Q99" i="10"/>
  <c r="S98" i="10"/>
  <c r="R98" i="10"/>
  <c r="Q98" i="10"/>
  <c r="S97" i="10"/>
  <c r="R97" i="10"/>
  <c r="Q97" i="10"/>
  <c r="S96" i="10"/>
  <c r="R96" i="10"/>
  <c r="Q96" i="10"/>
  <c r="S95" i="10"/>
  <c r="R95" i="10"/>
  <c r="Q95" i="10"/>
  <c r="S94" i="10"/>
  <c r="R94" i="10"/>
  <c r="Q94" i="10"/>
  <c r="S93" i="10"/>
  <c r="R93" i="10"/>
  <c r="Q93" i="10"/>
  <c r="S92" i="10"/>
  <c r="R92" i="10"/>
  <c r="Q92" i="10"/>
  <c r="S91" i="10"/>
  <c r="R91" i="10"/>
  <c r="Q91" i="10"/>
  <c r="S90" i="10"/>
  <c r="R90" i="10"/>
  <c r="Q90" i="10"/>
  <c r="S89" i="10"/>
  <c r="R89" i="10"/>
  <c r="Q89" i="10"/>
  <c r="S88" i="10"/>
  <c r="R88" i="10"/>
  <c r="Q88" i="10"/>
  <c r="S87" i="10"/>
  <c r="R87" i="10"/>
  <c r="Q87" i="10"/>
  <c r="S86" i="10"/>
  <c r="R86" i="10"/>
  <c r="Q86" i="10"/>
  <c r="S85" i="10"/>
  <c r="R85" i="10"/>
  <c r="Q85" i="10"/>
  <c r="S84" i="10"/>
  <c r="R84" i="10"/>
  <c r="Q84" i="10"/>
  <c r="S83" i="10"/>
  <c r="R83" i="10"/>
  <c r="Q83" i="10"/>
  <c r="S82" i="10"/>
  <c r="R82" i="10"/>
  <c r="Q82" i="10"/>
  <c r="S81" i="10"/>
  <c r="R81" i="10"/>
  <c r="Q81" i="10"/>
  <c r="S80" i="10"/>
  <c r="R80" i="10"/>
  <c r="Q80" i="10"/>
  <c r="S79" i="10"/>
  <c r="R79" i="10"/>
  <c r="Q79" i="10"/>
  <c r="S78" i="10"/>
  <c r="R78" i="10"/>
  <c r="Q78" i="10"/>
  <c r="S77" i="10"/>
  <c r="R77" i="10"/>
  <c r="Q77" i="10"/>
  <c r="S76" i="10"/>
  <c r="R76" i="10"/>
  <c r="Q76" i="10"/>
  <c r="S75" i="10"/>
  <c r="R75" i="10"/>
  <c r="Q75" i="10"/>
  <c r="S74" i="10"/>
  <c r="R74" i="10"/>
  <c r="Q74" i="10"/>
  <c r="S73" i="10"/>
  <c r="R73" i="10"/>
  <c r="Q73" i="10"/>
  <c r="S72" i="10"/>
  <c r="R72" i="10"/>
  <c r="Q72" i="10"/>
  <c r="S71" i="10"/>
  <c r="R71" i="10"/>
  <c r="Q71" i="10"/>
  <c r="S70" i="10"/>
  <c r="R70" i="10"/>
  <c r="Q70" i="10"/>
  <c r="S69" i="10"/>
  <c r="R69" i="10"/>
  <c r="Q69" i="10"/>
  <c r="S68" i="10"/>
  <c r="R68" i="10"/>
  <c r="Q68" i="10"/>
  <c r="S67" i="10"/>
  <c r="R67" i="10"/>
  <c r="Q67" i="10"/>
  <c r="S66" i="10"/>
  <c r="R66" i="10"/>
  <c r="Q66" i="10"/>
  <c r="S65" i="10"/>
  <c r="R65" i="10"/>
  <c r="Q65" i="10"/>
  <c r="S64" i="10"/>
  <c r="R64" i="10"/>
  <c r="Q64" i="10"/>
  <c r="S63" i="10"/>
  <c r="R63" i="10"/>
  <c r="Q63" i="10"/>
  <c r="S48" i="10"/>
  <c r="R48" i="10"/>
  <c r="Q48" i="10"/>
  <c r="S29" i="10"/>
  <c r="S22" i="10"/>
  <c r="R106" i="9"/>
  <c r="R102" i="9"/>
  <c r="S101" i="9"/>
  <c r="Q96" i="9"/>
  <c r="S94" i="9"/>
  <c r="S91" i="9"/>
  <c r="S10" i="10"/>
  <c r="R10" i="10"/>
  <c r="Q10" i="10"/>
  <c r="S9" i="10"/>
  <c r="R9" i="10"/>
  <c r="Q9" i="10"/>
  <c r="S8" i="10"/>
  <c r="R8" i="10"/>
  <c r="Q8" i="10"/>
  <c r="S7" i="10"/>
  <c r="R7" i="10"/>
  <c r="Q7" i="10"/>
  <c r="S6" i="10"/>
  <c r="R6" i="10"/>
  <c r="Q6" i="10"/>
  <c r="S5" i="10"/>
  <c r="R5" i="10"/>
  <c r="Q5" i="10"/>
  <c r="S4" i="10"/>
  <c r="R4" i="10"/>
  <c r="Q4" i="10"/>
  <c r="R29" i="10"/>
  <c r="R22" i="10"/>
  <c r="R3" i="10"/>
  <c r="Q3" i="10"/>
  <c r="Q106" i="9"/>
  <c r="Q105" i="9"/>
  <c r="S104" i="9"/>
  <c r="Q104" i="9"/>
  <c r="R103" i="9"/>
  <c r="S102" i="9"/>
  <c r="Q102" i="9"/>
  <c r="R101" i="9"/>
  <c r="S100" i="9"/>
  <c r="Q100" i="9"/>
  <c r="S99" i="9"/>
  <c r="Q99" i="9"/>
  <c r="S98" i="9"/>
  <c r="R98" i="9"/>
  <c r="Q98" i="9"/>
  <c r="S97" i="9"/>
  <c r="R97" i="9"/>
  <c r="Q97" i="9"/>
  <c r="S96" i="9"/>
  <c r="S95" i="9"/>
  <c r="Q95" i="9"/>
  <c r="R94" i="9"/>
  <c r="Q94" i="9"/>
  <c r="R93" i="9"/>
  <c r="Q92" i="9"/>
  <c r="R91" i="9"/>
  <c r="S90" i="9"/>
  <c r="Q90" i="9"/>
  <c r="S98" i="8"/>
  <c r="Q98" i="8"/>
  <c r="S97" i="8"/>
  <c r="S95" i="8"/>
  <c r="Q95" i="8"/>
  <c r="S94" i="8"/>
  <c r="Q94" i="8"/>
  <c r="S93" i="8"/>
  <c r="R93" i="8"/>
  <c r="Q92" i="8"/>
  <c r="R91" i="8"/>
  <c r="S90" i="8"/>
  <c r="Q90" i="8"/>
  <c r="R89" i="8"/>
  <c r="Q88" i="8"/>
  <c r="R89" i="9"/>
  <c r="Q89" i="9"/>
  <c r="S88" i="9"/>
  <c r="R88" i="9"/>
  <c r="Q88" i="9"/>
  <c r="S87" i="9"/>
  <c r="R87" i="9"/>
  <c r="Q87" i="9"/>
  <c r="S86" i="9"/>
  <c r="R86" i="9"/>
  <c r="Q86" i="9"/>
  <c r="S85" i="9"/>
  <c r="R85" i="9"/>
  <c r="Q85" i="9"/>
  <c r="S84" i="9"/>
  <c r="R84" i="9"/>
  <c r="Q84" i="9"/>
  <c r="S83" i="9"/>
  <c r="R83" i="9"/>
  <c r="Q83" i="9"/>
  <c r="S82" i="9"/>
  <c r="R82" i="9"/>
  <c r="Q82" i="9"/>
  <c r="R87" i="8"/>
  <c r="S86" i="8"/>
  <c r="Q86" i="8"/>
  <c r="T85" i="8"/>
  <c r="S81" i="8"/>
  <c r="S80" i="8"/>
  <c r="R80" i="8"/>
  <c r="Q80" i="8"/>
  <c r="S78" i="8"/>
  <c r="Q78" i="8"/>
  <c r="S77" i="8"/>
  <c r="Q77" i="8"/>
  <c r="S76" i="8"/>
  <c r="Q76" i="8"/>
  <c r="S75" i="8"/>
  <c r="R75" i="8"/>
  <c r="Q75" i="8"/>
  <c r="S74" i="8"/>
  <c r="R74" i="8"/>
  <c r="Q74" i="8"/>
  <c r="T73" i="8"/>
  <c r="S72" i="8"/>
  <c r="R72" i="8"/>
  <c r="S71" i="8"/>
  <c r="R71" i="8"/>
  <c r="Q71" i="8"/>
  <c r="S70" i="8"/>
  <c r="Q70" i="8"/>
  <c r="S69" i="8"/>
  <c r="Q69" i="8"/>
  <c r="R68" i="8"/>
  <c r="S66" i="8"/>
  <c r="R66" i="8"/>
  <c r="Q66" i="8"/>
  <c r="T3" i="8"/>
  <c r="S106" i="7"/>
  <c r="R106" i="7"/>
  <c r="S105" i="7"/>
  <c r="Q105" i="7"/>
  <c r="R103" i="7"/>
  <c r="Q103" i="7"/>
  <c r="R101" i="7"/>
  <c r="Q101" i="7"/>
  <c r="S98" i="7"/>
  <c r="R98" i="7"/>
  <c r="S97" i="7"/>
  <c r="Q97" i="7"/>
  <c r="S48" i="5"/>
  <c r="Q48" i="5"/>
  <c r="R105" i="4"/>
  <c r="R104" i="4"/>
  <c r="R103" i="4"/>
  <c r="S102" i="4"/>
  <c r="Q102" i="4"/>
  <c r="S101" i="4"/>
  <c r="S100" i="4"/>
  <c r="Q100" i="4"/>
  <c r="Q99" i="4"/>
  <c r="S97" i="4"/>
  <c r="Q96" i="4"/>
  <c r="Q95" i="4"/>
  <c r="R94" i="4"/>
  <c r="S93" i="4"/>
  <c r="Q93" i="4"/>
  <c r="R90" i="4"/>
  <c r="S89" i="4"/>
  <c r="S81" i="9"/>
  <c r="R81" i="9"/>
  <c r="Q81" i="9"/>
  <c r="S80" i="9"/>
  <c r="R80" i="9"/>
  <c r="Q80" i="9"/>
  <c r="S79" i="9"/>
  <c r="R79" i="9"/>
  <c r="Q79" i="9"/>
  <c r="S78" i="9"/>
  <c r="R78" i="9"/>
  <c r="Q78" i="9"/>
  <c r="S77" i="9"/>
  <c r="R77" i="9"/>
  <c r="Q77" i="9"/>
  <c r="S76" i="9"/>
  <c r="R76" i="9"/>
  <c r="Q76" i="9"/>
  <c r="S75" i="9"/>
  <c r="R75" i="9"/>
  <c r="Q75" i="9"/>
  <c r="S74" i="9"/>
  <c r="R74" i="9"/>
  <c r="Q74" i="9"/>
  <c r="S73" i="9"/>
  <c r="R73" i="9"/>
  <c r="Q73" i="9"/>
  <c r="S72" i="9"/>
  <c r="R72" i="9"/>
  <c r="Q72" i="9"/>
  <c r="S71" i="9"/>
  <c r="R71" i="9"/>
  <c r="Q71" i="9"/>
  <c r="S70" i="9"/>
  <c r="R70" i="9"/>
  <c r="Q70" i="9"/>
  <c r="S69" i="9"/>
  <c r="R69" i="9"/>
  <c r="Q69" i="9"/>
  <c r="S68" i="9"/>
  <c r="R68" i="9"/>
  <c r="Q68" i="9"/>
  <c r="S67" i="9"/>
  <c r="R67" i="9"/>
  <c r="Q67" i="9"/>
  <c r="S66" i="9"/>
  <c r="R66" i="9"/>
  <c r="Q66" i="9"/>
  <c r="S65" i="9"/>
  <c r="R65" i="9"/>
  <c r="Q65" i="9"/>
  <c r="S64" i="9"/>
  <c r="R64" i="9"/>
  <c r="Q64" i="9"/>
  <c r="T63" i="9"/>
  <c r="S63" i="9"/>
  <c r="R63" i="9"/>
  <c r="Q63" i="9"/>
  <c r="S3" i="9"/>
  <c r="R3" i="9"/>
  <c r="Q3" i="9"/>
  <c r="S106" i="8"/>
  <c r="R106" i="8"/>
  <c r="Q106" i="8"/>
  <c r="S105" i="8"/>
  <c r="R105" i="8"/>
  <c r="Q105" i="8"/>
  <c r="S104" i="8"/>
  <c r="Q104" i="8"/>
  <c r="S103" i="8"/>
  <c r="Q103" i="8"/>
  <c r="S102" i="8"/>
  <c r="Q102" i="8"/>
  <c r="Q101" i="8"/>
  <c r="Q100" i="8"/>
  <c r="S99" i="8"/>
  <c r="R99" i="8"/>
  <c r="Q99" i="8"/>
  <c r="R97" i="8"/>
  <c r="Q96" i="8"/>
  <c r="R94" i="8"/>
  <c r="Q93" i="8"/>
  <c r="S92" i="8"/>
  <c r="S89" i="8"/>
  <c r="Q89" i="8"/>
  <c r="R88" i="8"/>
  <c r="S48" i="9"/>
  <c r="R48" i="9"/>
  <c r="Q48" i="9"/>
  <c r="R29" i="9"/>
  <c r="Q29" i="9"/>
  <c r="S22" i="9"/>
  <c r="R22" i="9"/>
  <c r="Q22" i="9"/>
  <c r="S84" i="8"/>
  <c r="R84" i="8"/>
  <c r="Q84" i="8"/>
  <c r="S83" i="8"/>
  <c r="R83" i="8"/>
  <c r="Q83" i="8"/>
  <c r="S82" i="8"/>
  <c r="R82" i="8"/>
  <c r="Q82" i="8"/>
  <c r="R81" i="8"/>
  <c r="Q81" i="8"/>
  <c r="S79" i="8"/>
  <c r="R79" i="8"/>
  <c r="Q79" i="8"/>
  <c r="R78" i="8"/>
  <c r="R77" i="8"/>
  <c r="R76" i="8"/>
  <c r="Q72" i="8"/>
  <c r="T70" i="8"/>
  <c r="R70" i="8"/>
  <c r="R69" i="8"/>
  <c r="S68" i="8"/>
  <c r="Q68" i="8"/>
  <c r="S67" i="8"/>
  <c r="Q67" i="8"/>
  <c r="Q65" i="8"/>
  <c r="S64" i="8"/>
  <c r="R64" i="8"/>
  <c r="Q64" i="8"/>
  <c r="S63" i="8"/>
  <c r="R63" i="8"/>
  <c r="Q63" i="8"/>
  <c r="Q106" i="7"/>
  <c r="R105" i="7"/>
  <c r="Q104" i="7"/>
  <c r="S103" i="7"/>
  <c r="Q102" i="7"/>
  <c r="S101" i="7"/>
  <c r="Q100" i="7"/>
  <c r="S99" i="7"/>
  <c r="Q99" i="7"/>
  <c r="Q98" i="7"/>
  <c r="R97" i="7"/>
  <c r="R99" i="4"/>
  <c r="Q98" i="4"/>
  <c r="S94" i="4"/>
  <c r="R93" i="4"/>
  <c r="Q92" i="4"/>
  <c r="S91" i="4"/>
  <c r="Q90" i="4"/>
  <c r="Q88" i="4"/>
  <c r="R87" i="4"/>
  <c r="S16" i="9"/>
  <c r="R16" i="9"/>
  <c r="Q16" i="9"/>
  <c r="S10" i="9"/>
  <c r="R10" i="9"/>
  <c r="Q10" i="9"/>
  <c r="S9" i="9"/>
  <c r="R9" i="9"/>
  <c r="Q9" i="9"/>
  <c r="S8" i="9"/>
  <c r="R8" i="9"/>
  <c r="Q8" i="9"/>
  <c r="S7" i="9"/>
  <c r="R7" i="9"/>
  <c r="Q7" i="9"/>
  <c r="S6" i="9"/>
  <c r="R6" i="9"/>
  <c r="Q6" i="9"/>
  <c r="S5" i="9"/>
  <c r="R5" i="9"/>
  <c r="Q5" i="9"/>
  <c r="S4" i="9"/>
  <c r="R4" i="9"/>
  <c r="Q4" i="9"/>
  <c r="S48" i="8"/>
  <c r="R48" i="8"/>
  <c r="Q48" i="8"/>
  <c r="S106" i="5"/>
  <c r="R106" i="5"/>
  <c r="Q106" i="5"/>
  <c r="S105" i="5"/>
  <c r="R105" i="5"/>
  <c r="Q105" i="5"/>
  <c r="S104" i="5"/>
  <c r="R104" i="5"/>
  <c r="Q104" i="5"/>
  <c r="S103" i="5"/>
  <c r="R103" i="5"/>
  <c r="Q103" i="5"/>
  <c r="S102" i="5"/>
  <c r="R102" i="5"/>
  <c r="Q102" i="5"/>
  <c r="S101" i="5"/>
  <c r="R101" i="5"/>
  <c r="Q101" i="5"/>
  <c r="S100" i="5"/>
  <c r="Q100" i="5"/>
  <c r="Q98" i="5"/>
  <c r="S97" i="5"/>
  <c r="R97" i="5"/>
  <c r="Q97" i="5"/>
  <c r="S96" i="5"/>
  <c r="Q96" i="5"/>
  <c r="R95" i="5"/>
  <c r="S94" i="5"/>
  <c r="Q94" i="5"/>
  <c r="S92" i="5"/>
  <c r="R92" i="5"/>
  <c r="S91" i="5"/>
  <c r="Q91" i="5"/>
  <c r="S90" i="5"/>
  <c r="R90" i="5"/>
  <c r="R89" i="5"/>
  <c r="R84" i="5"/>
  <c r="Q84" i="5"/>
  <c r="S83" i="5"/>
  <c r="R83" i="5"/>
  <c r="Q83" i="5"/>
  <c r="S82" i="5"/>
  <c r="R82" i="5"/>
  <c r="Q82" i="5"/>
  <c r="S81" i="5"/>
  <c r="R81" i="5"/>
  <c r="Q81" i="5"/>
  <c r="S80" i="5"/>
  <c r="R80" i="5"/>
  <c r="Q80" i="5"/>
  <c r="S79" i="5"/>
  <c r="R79" i="5"/>
  <c r="Q79" i="5"/>
  <c r="S78" i="5"/>
  <c r="R78" i="5"/>
  <c r="Q78" i="5"/>
  <c r="S77" i="5"/>
  <c r="R77" i="5"/>
  <c r="Q77" i="5"/>
  <c r="S76" i="5"/>
  <c r="R76" i="5"/>
  <c r="Q76" i="5"/>
  <c r="S75" i="5"/>
  <c r="R75" i="5"/>
  <c r="Q75" i="5"/>
  <c r="S74" i="5"/>
  <c r="R74" i="5"/>
  <c r="Q74" i="5"/>
  <c r="S73" i="5"/>
  <c r="R73" i="5"/>
  <c r="Q73" i="5"/>
  <c r="S72" i="5"/>
  <c r="R72" i="5"/>
  <c r="Q72" i="5"/>
  <c r="S71" i="5"/>
  <c r="R71" i="5"/>
  <c r="Q71" i="5"/>
  <c r="S69" i="5"/>
  <c r="Q69" i="5"/>
  <c r="S68" i="5"/>
  <c r="Q68" i="5"/>
  <c r="R67" i="5"/>
  <c r="Q67" i="5"/>
  <c r="S65" i="5"/>
  <c r="Q65" i="5"/>
  <c r="S64" i="5"/>
  <c r="R64" i="5"/>
  <c r="S63" i="5"/>
  <c r="Q63" i="5"/>
  <c r="S49" i="5"/>
  <c r="Q49" i="5"/>
  <c r="R48" i="5"/>
  <c r="S105" i="4"/>
  <c r="S104" i="4"/>
  <c r="Q104" i="4"/>
  <c r="Q103" i="4"/>
  <c r="R102" i="4"/>
  <c r="R101" i="4"/>
  <c r="R97" i="4"/>
  <c r="R95" i="4"/>
  <c r="Q94" i="4"/>
  <c r="S92" i="4"/>
  <c r="T91" i="4"/>
  <c r="S90" i="4"/>
  <c r="S6" i="6"/>
  <c r="R6" i="6"/>
  <c r="S5" i="6"/>
  <c r="Q5" i="6"/>
  <c r="S4" i="6"/>
  <c r="Q4" i="6"/>
  <c r="S43" i="5"/>
  <c r="Q43" i="5"/>
  <c r="Q30" i="8"/>
  <c r="S29" i="8"/>
  <c r="R29" i="8"/>
  <c r="Q29" i="8"/>
  <c r="S22" i="8"/>
  <c r="R22" i="8"/>
  <c r="Q22" i="8"/>
  <c r="S16" i="8"/>
  <c r="R16" i="8"/>
  <c r="Q16" i="8"/>
  <c r="S10" i="8"/>
  <c r="R10" i="8"/>
  <c r="Q10" i="8"/>
  <c r="S9" i="8"/>
  <c r="R9" i="8"/>
  <c r="Q9" i="8"/>
  <c r="S8" i="8"/>
  <c r="R8" i="8"/>
  <c r="Q8" i="8"/>
  <c r="S7" i="8"/>
  <c r="R7" i="8"/>
  <c r="Q7" i="8"/>
  <c r="S6" i="8"/>
  <c r="R6" i="8"/>
  <c r="Q6" i="8"/>
  <c r="S5" i="8"/>
  <c r="R5" i="8"/>
  <c r="Q5" i="8"/>
  <c r="S4" i="8"/>
  <c r="R4" i="8"/>
  <c r="Q4" i="8"/>
  <c r="S96" i="7"/>
  <c r="R96" i="7"/>
  <c r="Q96" i="7"/>
  <c r="S95" i="7"/>
  <c r="R95" i="7"/>
  <c r="Q95" i="7"/>
  <c r="S94" i="7"/>
  <c r="R94" i="7"/>
  <c r="Q94" i="7"/>
  <c r="S93" i="7"/>
  <c r="R93" i="7"/>
  <c r="Q93" i="7"/>
  <c r="S92" i="7"/>
  <c r="R92" i="7"/>
  <c r="Q92" i="7"/>
  <c r="S91" i="7"/>
  <c r="R91" i="7"/>
  <c r="Q91" i="7"/>
  <c r="S90" i="7"/>
  <c r="R90" i="7"/>
  <c r="Q90" i="7"/>
  <c r="S89" i="7"/>
  <c r="R89" i="7"/>
  <c r="Q89" i="7"/>
  <c r="S88" i="7"/>
  <c r="R88" i="7"/>
  <c r="Q88" i="7"/>
  <c r="S87" i="7"/>
  <c r="R87" i="7"/>
  <c r="Q87" i="7"/>
  <c r="S86" i="7"/>
  <c r="R86" i="7"/>
  <c r="Q86" i="7"/>
  <c r="S85" i="7"/>
  <c r="R85" i="7"/>
  <c r="Q85" i="7"/>
  <c r="S84" i="7"/>
  <c r="R84" i="7"/>
  <c r="Q84" i="7"/>
  <c r="S83" i="7"/>
  <c r="R83" i="7"/>
  <c r="Q83" i="7"/>
  <c r="S82" i="7"/>
  <c r="R82" i="7"/>
  <c r="Q82" i="7"/>
  <c r="S81" i="7"/>
  <c r="R81" i="7"/>
  <c r="Q81" i="7"/>
  <c r="S80" i="7"/>
  <c r="R80" i="7"/>
  <c r="Q80" i="7"/>
  <c r="S79" i="7"/>
  <c r="R79" i="7"/>
  <c r="Q79" i="7"/>
  <c r="S78" i="7"/>
  <c r="R78" i="7"/>
  <c r="Q78" i="7"/>
  <c r="S77" i="7"/>
  <c r="R77" i="7"/>
  <c r="Q77" i="7"/>
  <c r="S76" i="7"/>
  <c r="R76" i="7"/>
  <c r="Q76" i="7"/>
  <c r="S75" i="7"/>
  <c r="R75" i="7"/>
  <c r="Q75" i="7"/>
  <c r="S74" i="7"/>
  <c r="R74" i="7"/>
  <c r="Q74" i="7"/>
  <c r="S73" i="7"/>
  <c r="R73" i="7"/>
  <c r="Q73" i="7"/>
  <c r="S72" i="7"/>
  <c r="R72" i="7"/>
  <c r="Q72" i="7"/>
  <c r="S71" i="7"/>
  <c r="R71" i="7"/>
  <c r="Q71" i="7"/>
  <c r="S70" i="7"/>
  <c r="R70" i="7"/>
  <c r="Q70" i="7"/>
  <c r="S69" i="7"/>
  <c r="R69" i="7"/>
  <c r="Q69" i="7"/>
  <c r="S68" i="7"/>
  <c r="R68" i="7"/>
  <c r="Q68" i="7"/>
  <c r="S67" i="7"/>
  <c r="R67" i="7"/>
  <c r="Q67" i="7"/>
  <c r="S66" i="7"/>
  <c r="R66" i="7"/>
  <c r="Q66" i="7"/>
  <c r="S65" i="7"/>
  <c r="R65" i="7"/>
  <c r="Q65" i="7"/>
  <c r="Q64" i="7"/>
  <c r="S63" i="7"/>
  <c r="R63" i="7"/>
  <c r="Q63" i="7"/>
  <c r="S49" i="7"/>
  <c r="R49" i="7"/>
  <c r="Q49" i="7"/>
  <c r="S48" i="7"/>
  <c r="R48" i="7"/>
  <c r="Q48" i="7"/>
  <c r="S106" i="6"/>
  <c r="R106" i="6"/>
  <c r="Q106" i="6"/>
  <c r="S105" i="6"/>
  <c r="R105" i="6"/>
  <c r="Q105" i="6"/>
  <c r="S104" i="6"/>
  <c r="R104" i="6"/>
  <c r="Q104" i="6"/>
  <c r="S103" i="6"/>
  <c r="R103" i="6"/>
  <c r="Q103" i="6"/>
  <c r="S102" i="6"/>
  <c r="R102" i="6"/>
  <c r="Q102" i="6"/>
  <c r="S101" i="6"/>
  <c r="R101" i="6"/>
  <c r="Q101" i="6"/>
  <c r="S100" i="6"/>
  <c r="R100" i="6"/>
  <c r="Q100" i="6"/>
  <c r="S99" i="6"/>
  <c r="R99" i="6"/>
  <c r="Q99" i="6"/>
  <c r="S98" i="6"/>
  <c r="R98" i="6"/>
  <c r="Q98" i="6"/>
  <c r="S97" i="6"/>
  <c r="R97" i="6"/>
  <c r="Q97" i="6"/>
  <c r="S96" i="6"/>
  <c r="R96" i="6"/>
  <c r="Q96" i="6"/>
  <c r="S95" i="6"/>
  <c r="R95" i="6"/>
  <c r="Q95" i="6"/>
  <c r="S94" i="6"/>
  <c r="R94" i="6"/>
  <c r="Q94" i="6"/>
  <c r="S93" i="6"/>
  <c r="R93" i="6"/>
  <c r="Q93" i="6"/>
  <c r="S92" i="6"/>
  <c r="R92" i="6"/>
  <c r="Q92" i="6"/>
  <c r="S91" i="6"/>
  <c r="R91" i="6"/>
  <c r="Q91" i="6"/>
  <c r="S90" i="6"/>
  <c r="R90" i="6"/>
  <c r="Q90" i="6"/>
  <c r="S89" i="6"/>
  <c r="R89" i="6"/>
  <c r="Q89" i="6"/>
  <c r="S88" i="6"/>
  <c r="R88" i="6"/>
  <c r="Q88" i="6"/>
  <c r="S87" i="6"/>
  <c r="R87" i="6"/>
  <c r="Q87" i="6"/>
  <c r="S86" i="6"/>
  <c r="R86" i="6"/>
  <c r="Q86" i="6"/>
  <c r="S85" i="6"/>
  <c r="R85" i="6"/>
  <c r="Q85" i="6"/>
  <c r="S84" i="6"/>
  <c r="R84" i="6"/>
  <c r="Q84" i="6"/>
  <c r="S83" i="6"/>
  <c r="R83" i="6"/>
  <c r="Q83" i="6"/>
  <c r="S82" i="6"/>
  <c r="R82" i="6"/>
  <c r="Q82" i="6"/>
  <c r="S81" i="6"/>
  <c r="R81" i="6"/>
  <c r="Q81" i="6"/>
  <c r="S80" i="6"/>
  <c r="R80" i="6"/>
  <c r="Q80" i="6"/>
  <c r="S79" i="6"/>
  <c r="R79" i="6"/>
  <c r="Q79" i="6"/>
  <c r="S78" i="6"/>
  <c r="R78" i="6"/>
  <c r="Q78" i="6"/>
  <c r="S77" i="6"/>
  <c r="R77" i="6"/>
  <c r="Q77" i="6"/>
  <c r="S76" i="6"/>
  <c r="R76" i="6"/>
  <c r="Q76" i="6"/>
  <c r="S75" i="6"/>
  <c r="R75" i="6"/>
  <c r="Q75" i="6"/>
  <c r="S74" i="6"/>
  <c r="R74" i="6"/>
  <c r="Q74" i="6"/>
  <c r="S73" i="6"/>
  <c r="R73" i="6"/>
  <c r="Q73" i="6"/>
  <c r="T72" i="6"/>
  <c r="S71" i="6"/>
  <c r="R71" i="6"/>
  <c r="Q71" i="6"/>
  <c r="S70" i="6"/>
  <c r="R70" i="6"/>
  <c r="Q70" i="6"/>
  <c r="S69" i="6"/>
  <c r="R69" i="6"/>
  <c r="Q69" i="6"/>
  <c r="S68" i="6"/>
  <c r="R68" i="6"/>
  <c r="Q68" i="6"/>
  <c r="S67" i="6"/>
  <c r="R67" i="6"/>
  <c r="Q67" i="6"/>
  <c r="S66" i="6"/>
  <c r="R66" i="6"/>
  <c r="Q66" i="6"/>
  <c r="S65" i="6"/>
  <c r="R65" i="6"/>
  <c r="Q65" i="6"/>
  <c r="S64" i="6"/>
  <c r="R64" i="6"/>
  <c r="Q64" i="6"/>
  <c r="S63" i="6"/>
  <c r="R63" i="6"/>
  <c r="Q63" i="6"/>
  <c r="S49" i="6"/>
  <c r="R49" i="6"/>
  <c r="Q49" i="6"/>
  <c r="S48" i="6"/>
  <c r="R48" i="6"/>
  <c r="Q48" i="6"/>
  <c r="S87" i="5"/>
  <c r="R87" i="5"/>
  <c r="Q87" i="5"/>
  <c r="S86" i="5"/>
  <c r="R86" i="5"/>
  <c r="Q86" i="5"/>
  <c r="S85" i="5"/>
  <c r="R85" i="5"/>
  <c r="Q85" i="5"/>
  <c r="T83" i="5"/>
  <c r="S70" i="5"/>
  <c r="R70" i="5"/>
  <c r="Q70" i="5"/>
  <c r="R69" i="5"/>
  <c r="R68" i="5"/>
  <c r="S67" i="5"/>
  <c r="Q66" i="5"/>
  <c r="R65" i="5"/>
  <c r="Q64" i="5"/>
  <c r="R63" i="5"/>
  <c r="T89" i="4"/>
  <c r="Q6" i="6"/>
  <c r="R5" i="6"/>
  <c r="R4" i="6"/>
  <c r="R43" i="5"/>
  <c r="S33" i="6"/>
  <c r="R33" i="6"/>
  <c r="Q33" i="6"/>
  <c r="S30" i="6"/>
  <c r="R30" i="6"/>
  <c r="Q30" i="6"/>
  <c r="S29" i="6"/>
  <c r="R29" i="6"/>
  <c r="Q29" i="6"/>
  <c r="S22" i="6"/>
  <c r="R22" i="6"/>
  <c r="Q22" i="6"/>
  <c r="S17" i="6"/>
  <c r="R17" i="6"/>
  <c r="Q17" i="6"/>
  <c r="S16" i="6"/>
  <c r="R16" i="6"/>
  <c r="Q16" i="6"/>
  <c r="S10" i="6"/>
  <c r="R10" i="6"/>
  <c r="Q10" i="6"/>
  <c r="S9" i="6"/>
  <c r="R9" i="6"/>
  <c r="Q9" i="6"/>
  <c r="S8" i="6"/>
  <c r="R8" i="6"/>
  <c r="Q8" i="6"/>
  <c r="S3" i="6"/>
  <c r="R3" i="6"/>
  <c r="Q3" i="6"/>
  <c r="T101" i="5"/>
  <c r="R100" i="5"/>
  <c r="R99" i="5"/>
  <c r="S98" i="5"/>
  <c r="R98" i="5"/>
  <c r="R96" i="5"/>
  <c r="S95" i="5"/>
  <c r="Q95" i="5"/>
  <c r="R94" i="5"/>
  <c r="S93" i="5"/>
  <c r="R93" i="5"/>
  <c r="Q93" i="5"/>
  <c r="Q92" i="5"/>
  <c r="R91" i="5"/>
  <c r="Q90" i="5"/>
  <c r="S89" i="5"/>
  <c r="Q89" i="5"/>
  <c r="R88" i="5"/>
  <c r="S39" i="5"/>
  <c r="R39" i="5"/>
  <c r="Q39" i="5"/>
  <c r="S29" i="5"/>
  <c r="R29" i="5"/>
  <c r="Q29" i="5"/>
  <c r="S22" i="5"/>
  <c r="R22" i="5"/>
  <c r="Q22" i="5"/>
  <c r="S17" i="5"/>
  <c r="R17" i="5"/>
  <c r="Q17" i="5"/>
  <c r="S16" i="5"/>
  <c r="R16" i="5"/>
  <c r="Q16" i="5"/>
  <c r="S10" i="5"/>
  <c r="R10" i="5"/>
  <c r="Q10" i="5"/>
  <c r="S9" i="5"/>
  <c r="R9" i="5"/>
  <c r="Q9" i="5"/>
  <c r="S8" i="5"/>
  <c r="R8" i="5"/>
  <c r="Q8" i="5"/>
  <c r="S7" i="5"/>
  <c r="R7" i="5"/>
  <c r="Q7" i="5"/>
  <c r="S6" i="5"/>
  <c r="R6" i="5"/>
  <c r="Q6" i="5"/>
  <c r="S5" i="5"/>
  <c r="R5" i="5"/>
  <c r="Q5" i="5"/>
  <c r="S4" i="5"/>
  <c r="R4" i="5"/>
  <c r="Q4" i="5"/>
  <c r="S86" i="4"/>
  <c r="R86" i="4"/>
  <c r="Q86" i="4"/>
  <c r="S85" i="4"/>
  <c r="R85" i="4"/>
  <c r="Q85" i="4"/>
  <c r="S84" i="4"/>
  <c r="R84" i="4"/>
  <c r="Q84" i="4"/>
  <c r="S83" i="4"/>
  <c r="R83" i="4"/>
  <c r="Q83" i="4"/>
  <c r="S82" i="4"/>
  <c r="R82" i="4"/>
  <c r="Q82" i="4"/>
  <c r="S81" i="4"/>
  <c r="R81" i="4"/>
  <c r="Q81" i="4"/>
  <c r="S80" i="4"/>
  <c r="R80" i="4"/>
  <c r="Q80" i="4"/>
  <c r="S79" i="4"/>
  <c r="R79" i="4"/>
  <c r="Q79" i="4"/>
  <c r="S78" i="4"/>
  <c r="R78" i="4"/>
  <c r="Q78" i="4"/>
  <c r="S77" i="4"/>
  <c r="R77" i="4"/>
  <c r="Q77" i="4"/>
  <c r="S76" i="4"/>
  <c r="R76" i="4"/>
  <c r="Q76" i="4"/>
  <c r="S75" i="4"/>
  <c r="R75" i="4"/>
  <c r="Q75" i="4"/>
  <c r="S74" i="4"/>
  <c r="R74" i="4"/>
  <c r="Q74" i="4"/>
  <c r="S73" i="4"/>
  <c r="R73" i="4"/>
  <c r="Q73" i="4"/>
  <c r="S72" i="4"/>
  <c r="R72" i="4"/>
  <c r="Q72" i="4"/>
  <c r="S71" i="4"/>
  <c r="R71" i="4"/>
  <c r="Q71" i="4"/>
  <c r="S70" i="4"/>
  <c r="R70" i="4"/>
  <c r="Q70" i="4"/>
  <c r="S69" i="4"/>
  <c r="R69" i="4"/>
  <c r="Q69" i="4"/>
  <c r="S68" i="4"/>
  <c r="R68" i="4"/>
  <c r="Q68" i="4"/>
  <c r="S67" i="4"/>
  <c r="R67" i="4"/>
  <c r="Q67" i="4"/>
  <c r="S66" i="4"/>
  <c r="R66" i="4"/>
  <c r="Q66" i="4"/>
  <c r="S65" i="4"/>
  <c r="R65" i="4"/>
  <c r="Q65" i="4"/>
  <c r="Q29" i="10"/>
  <c r="S106" i="9"/>
  <c r="R105" i="9"/>
  <c r="R104" i="9"/>
  <c r="Q103" i="9"/>
  <c r="R96" i="9"/>
  <c r="R95" i="9"/>
  <c r="Q93" i="9"/>
  <c r="R92" i="9"/>
  <c r="R90" i="9"/>
  <c r="R103" i="8"/>
  <c r="R102" i="8"/>
  <c r="S101" i="8"/>
  <c r="S100" i="8"/>
  <c r="Q97" i="8"/>
  <c r="R96" i="8"/>
  <c r="R92" i="8"/>
  <c r="S91" i="8"/>
  <c r="S63" i="4"/>
  <c r="R63" i="4"/>
  <c r="Q63" i="4"/>
  <c r="S49" i="4"/>
  <c r="R49" i="4"/>
  <c r="Q49" i="4"/>
  <c r="S48" i="4"/>
  <c r="R48" i="4"/>
  <c r="Q48" i="4"/>
  <c r="S43" i="4"/>
  <c r="R43" i="4"/>
  <c r="Q43" i="4"/>
  <c r="S39" i="4"/>
  <c r="R39" i="4"/>
  <c r="Q39" i="4"/>
  <c r="S22" i="4"/>
  <c r="R22" i="4"/>
  <c r="Q22" i="4"/>
  <c r="S10" i="4"/>
  <c r="R10" i="4"/>
  <c r="Q10" i="4"/>
  <c r="Q22" i="10"/>
  <c r="S3" i="10"/>
  <c r="S105" i="9"/>
  <c r="T104" i="9"/>
  <c r="S103" i="9"/>
  <c r="Q101" i="9"/>
  <c r="R100" i="9"/>
  <c r="R99" i="9"/>
  <c r="T96" i="9"/>
  <c r="T95" i="9"/>
  <c r="S93" i="9"/>
  <c r="S92" i="9"/>
  <c r="Q91" i="9"/>
  <c r="R104" i="8"/>
  <c r="R101" i="8"/>
  <c r="R100" i="8"/>
  <c r="T99" i="8"/>
  <c r="R98" i="8"/>
  <c r="T97" i="8"/>
  <c r="S96" i="8"/>
  <c r="R95" i="8"/>
  <c r="T94" i="8"/>
  <c r="Q91" i="8"/>
  <c r="R90" i="8"/>
  <c r="S88" i="8"/>
  <c r="T7" i="6"/>
  <c r="T3" i="5"/>
  <c r="U106" i="10"/>
  <c r="U105" i="10"/>
  <c r="U104" i="10"/>
  <c r="U103" i="10"/>
  <c r="U102" i="10"/>
  <c r="U101" i="10"/>
  <c r="U100" i="10"/>
  <c r="U99" i="10"/>
  <c r="U98" i="10"/>
  <c r="U97" i="10"/>
  <c r="U96" i="10"/>
  <c r="U95" i="10"/>
  <c r="U94" i="10"/>
  <c r="U93" i="10"/>
  <c r="U92" i="10"/>
  <c r="U91" i="10"/>
  <c r="U90" i="10"/>
  <c r="U89" i="10"/>
  <c r="U88" i="10"/>
  <c r="U87" i="10"/>
  <c r="U86" i="10"/>
  <c r="U85" i="10"/>
  <c r="U84" i="10"/>
  <c r="U83" i="10"/>
  <c r="U82" i="10"/>
  <c r="U81" i="10"/>
  <c r="U80" i="10"/>
  <c r="U79" i="10"/>
  <c r="U78" i="10"/>
  <c r="U77" i="10"/>
  <c r="U76" i="10"/>
  <c r="U75" i="10"/>
  <c r="U74" i="10"/>
  <c r="U73" i="10"/>
  <c r="U72" i="10"/>
  <c r="U71" i="10"/>
  <c r="U70" i="10"/>
  <c r="U69" i="10"/>
  <c r="U68" i="10"/>
  <c r="U67" i="10"/>
  <c r="U66" i="10"/>
  <c r="U65" i="10"/>
  <c r="U64" i="10"/>
  <c r="U63" i="10"/>
  <c r="U96" i="9"/>
  <c r="U104" i="9"/>
  <c r="U95" i="9"/>
  <c r="U94" i="8"/>
  <c r="T89" i="9"/>
  <c r="U70" i="8"/>
  <c r="T102" i="4"/>
  <c r="T96" i="4"/>
  <c r="U73" i="9"/>
  <c r="U65" i="9"/>
  <c r="U63" i="9"/>
  <c r="U104" i="8"/>
  <c r="U101" i="8"/>
  <c r="U99" i="8"/>
  <c r="U93" i="8"/>
  <c r="U89" i="8"/>
  <c r="T67" i="8"/>
  <c r="U67" i="8"/>
  <c r="T98" i="4"/>
  <c r="T90" i="4"/>
  <c r="U101" i="5"/>
  <c r="U100" i="5"/>
  <c r="U98" i="5"/>
  <c r="U97" i="5"/>
  <c r="U96" i="5"/>
  <c r="U94" i="5"/>
  <c r="U83" i="5"/>
  <c r="U70" i="6"/>
  <c r="U65" i="6"/>
  <c r="U95" i="5"/>
  <c r="U92" i="5"/>
  <c r="U89" i="5"/>
  <c r="U97" i="8"/>
  <c r="U73" i="8"/>
  <c r="U3" i="8"/>
  <c r="U85" i="8"/>
  <c r="U72" i="6"/>
  <c r="U99" i="5"/>
  <c r="U88" i="5"/>
  <c r="U91" i="4"/>
  <c r="U89" i="4"/>
  <c r="T106" i="10"/>
  <c r="T105" i="10"/>
  <c r="T104" i="10"/>
  <c r="T103" i="10"/>
  <c r="T102" i="10"/>
  <c r="T101" i="10"/>
  <c r="T100" i="10"/>
  <c r="T99" i="10"/>
  <c r="T98" i="10"/>
  <c r="T97" i="10"/>
  <c r="T96" i="10"/>
  <c r="T95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73" i="9"/>
  <c r="T65" i="9"/>
  <c r="T83" i="8"/>
  <c r="T72" i="8"/>
  <c r="T69" i="4"/>
  <c r="T67" i="4"/>
  <c r="T104" i="8"/>
  <c r="T90" i="8"/>
  <c r="T68" i="10"/>
  <c r="T67" i="10"/>
  <c r="T66" i="10"/>
  <c r="T65" i="10"/>
  <c r="T64" i="10"/>
  <c r="T63" i="10"/>
  <c r="T48" i="10"/>
  <c r="T105" i="9"/>
  <c r="T100" i="9"/>
  <c r="T92" i="9"/>
  <c r="T10" i="10"/>
  <c r="T9" i="10"/>
  <c r="T8" i="10"/>
  <c r="T7" i="10"/>
  <c r="T6" i="10"/>
  <c r="T5" i="10"/>
  <c r="T4" i="10"/>
  <c r="T3" i="10"/>
  <c r="T106" i="9"/>
  <c r="T102" i="9"/>
  <c r="T98" i="9"/>
  <c r="T97" i="9"/>
  <c r="T94" i="9"/>
  <c r="T91" i="9"/>
  <c r="T90" i="9"/>
  <c r="T95" i="8"/>
  <c r="T93" i="8"/>
  <c r="T92" i="8"/>
  <c r="T91" i="8"/>
  <c r="T89" i="8"/>
  <c r="T88" i="9"/>
  <c r="T87" i="9"/>
  <c r="T86" i="9"/>
  <c r="T85" i="9"/>
  <c r="T84" i="9"/>
  <c r="T83" i="9"/>
  <c r="T82" i="9"/>
  <c r="T87" i="8"/>
  <c r="T86" i="8"/>
  <c r="T80" i="8"/>
  <c r="T78" i="8"/>
  <c r="T77" i="8"/>
  <c r="T76" i="8"/>
  <c r="T75" i="8"/>
  <c r="T74" i="8"/>
  <c r="T71" i="8"/>
  <c r="T69" i="8"/>
  <c r="T68" i="8"/>
  <c r="T66" i="8"/>
  <c r="T103" i="7"/>
  <c r="T101" i="7"/>
  <c r="T104" i="4"/>
  <c r="T103" i="4"/>
  <c r="T95" i="4"/>
  <c r="T81" i="9"/>
  <c r="T80" i="9"/>
  <c r="T79" i="9"/>
  <c r="T78" i="9"/>
  <c r="T77" i="9"/>
  <c r="T76" i="9"/>
  <c r="T75" i="9"/>
  <c r="T74" i="9"/>
  <c r="T72" i="9"/>
  <c r="T71" i="9"/>
  <c r="T70" i="9"/>
  <c r="T69" i="9"/>
  <c r="T68" i="9"/>
  <c r="T67" i="9"/>
  <c r="T66" i="9"/>
  <c r="T64" i="9"/>
  <c r="T82" i="8"/>
  <c r="T79" i="8"/>
  <c r="T90" i="5"/>
  <c r="T84" i="4"/>
  <c r="T77" i="4"/>
  <c r="T93" i="9"/>
  <c r="T10" i="4"/>
  <c r="T3" i="9"/>
  <c r="T106" i="8"/>
  <c r="T105" i="8"/>
  <c r="T103" i="8"/>
  <c r="T102" i="8"/>
  <c r="T98" i="8"/>
  <c r="T96" i="8"/>
  <c r="T84" i="8"/>
  <c r="T81" i="8"/>
  <c r="T7" i="5"/>
  <c r="T81" i="4"/>
  <c r="T80" i="4"/>
  <c r="T79" i="4"/>
  <c r="T66" i="4"/>
  <c r="T63" i="4"/>
  <c r="T100" i="8"/>
  <c r="T65" i="8"/>
  <c r="T64" i="8"/>
  <c r="T63" i="8"/>
  <c r="T106" i="7"/>
  <c r="T105" i="7"/>
  <c r="T98" i="7"/>
  <c r="T97" i="7"/>
  <c r="T105" i="4"/>
  <c r="T100" i="4"/>
  <c r="T99" i="4"/>
  <c r="T97" i="4"/>
  <c r="T10" i="9"/>
  <c r="T9" i="9"/>
  <c r="T8" i="9"/>
  <c r="T7" i="9"/>
  <c r="T6" i="9"/>
  <c r="T5" i="9"/>
  <c r="T4" i="9"/>
  <c r="T48" i="8"/>
  <c r="T106" i="5"/>
  <c r="T105" i="5"/>
  <c r="T104" i="5"/>
  <c r="T103" i="5"/>
  <c r="T102" i="5"/>
  <c r="T100" i="5"/>
  <c r="T101" i="4"/>
  <c r="T94" i="4"/>
  <c r="T93" i="4"/>
  <c r="T92" i="4"/>
  <c r="T88" i="8"/>
  <c r="T29" i="8"/>
  <c r="T69" i="6"/>
  <c r="T87" i="5"/>
  <c r="T70" i="5"/>
  <c r="T66" i="5"/>
  <c r="T4" i="6"/>
  <c r="T9" i="6"/>
  <c r="T8" i="6"/>
  <c r="T3" i="6"/>
  <c r="T94" i="5"/>
  <c r="T86" i="4"/>
  <c r="T85" i="4"/>
  <c r="T83" i="4"/>
  <c r="T82" i="4"/>
  <c r="T76" i="4"/>
  <c r="T99" i="5"/>
  <c r="T98" i="5"/>
  <c r="T97" i="5"/>
  <c r="T96" i="5"/>
  <c r="T95" i="5"/>
  <c r="T92" i="5"/>
  <c r="T91" i="5"/>
  <c r="T89" i="5"/>
  <c r="T88" i="5"/>
  <c r="T84" i="5"/>
  <c r="T82" i="5"/>
  <c r="T81" i="5"/>
  <c r="T80" i="5"/>
  <c r="T79" i="5"/>
  <c r="T78" i="5"/>
  <c r="T77" i="5"/>
  <c r="T76" i="5"/>
  <c r="T75" i="5"/>
  <c r="T74" i="5"/>
  <c r="T73" i="5"/>
  <c r="T72" i="5"/>
  <c r="T71" i="5"/>
  <c r="T69" i="5"/>
  <c r="T68" i="5"/>
  <c r="T67" i="5"/>
  <c r="T64" i="5"/>
  <c r="T49" i="5"/>
  <c r="T70" i="6"/>
  <c r="T65" i="6"/>
  <c r="T65" i="5"/>
  <c r="T6" i="6"/>
  <c r="T8" i="5"/>
  <c r="T6" i="5"/>
  <c r="T5" i="5"/>
  <c r="T71" i="4"/>
  <c r="T101" i="8"/>
  <c r="T10" i="8"/>
  <c r="T9" i="8"/>
  <c r="T8" i="8"/>
  <c r="T7" i="8"/>
  <c r="T6" i="8"/>
  <c r="T5" i="8"/>
  <c r="T4" i="8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3" i="7"/>
  <c r="T49" i="7"/>
  <c r="T96" i="6"/>
  <c r="T95" i="6"/>
  <c r="T94" i="6"/>
  <c r="T92" i="6"/>
  <c r="T91" i="6"/>
  <c r="T90" i="6"/>
  <c r="T89" i="6"/>
  <c r="T88" i="6"/>
  <c r="T86" i="6"/>
  <c r="T85" i="6"/>
  <c r="T84" i="6"/>
  <c r="T83" i="6"/>
  <c r="T82" i="6"/>
  <c r="T80" i="6"/>
  <c r="T79" i="6"/>
  <c r="T78" i="6"/>
  <c r="T77" i="6"/>
  <c r="T76" i="6"/>
  <c r="T74" i="6"/>
  <c r="T73" i="6"/>
  <c r="T68" i="6"/>
  <c r="T67" i="6"/>
  <c r="T64" i="6"/>
  <c r="T86" i="5"/>
  <c r="T63" i="5"/>
  <c r="T10" i="6"/>
  <c r="T93" i="5"/>
  <c r="T4" i="5"/>
  <c r="T78" i="4"/>
  <c r="T70" i="4"/>
  <c r="T68" i="4"/>
  <c r="T103" i="9"/>
  <c r="T101" i="9"/>
  <c r="T106" i="6"/>
  <c r="T105" i="6"/>
  <c r="T104" i="6"/>
  <c r="T103" i="6"/>
  <c r="T102" i="6"/>
  <c r="T101" i="6"/>
  <c r="T100" i="6"/>
  <c r="T99" i="6"/>
  <c r="T98" i="6"/>
  <c r="T97" i="6"/>
  <c r="T93" i="6"/>
  <c r="T87" i="6"/>
  <c r="T81" i="6"/>
  <c r="T75" i="6"/>
  <c r="T71" i="6"/>
  <c r="T66" i="6"/>
  <c r="T63" i="6"/>
  <c r="T48" i="6"/>
  <c r="T85" i="5"/>
  <c r="T5" i="6"/>
  <c r="T10" i="5"/>
  <c r="T9" i="5"/>
  <c r="T75" i="4"/>
  <c r="T74" i="4"/>
  <c r="T73" i="4"/>
  <c r="T72" i="4"/>
  <c r="T65" i="4"/>
  <c r="T99" i="9"/>
  <c r="U7" i="6"/>
  <c r="W7" i="6" a="1"/>
  <c r="U3" i="5"/>
  <c r="U10" i="10"/>
  <c r="W10" i="10" a="1"/>
  <c r="U9" i="10"/>
  <c r="W9" i="10" a="1"/>
  <c r="U8" i="10"/>
  <c r="W8" i="10" a="1"/>
  <c r="U7" i="10"/>
  <c r="W7" i="10" a="1"/>
  <c r="U6" i="10"/>
  <c r="U5" i="10"/>
  <c r="H5" i="3"/>
  <c r="U4" i="10"/>
  <c r="U3" i="10"/>
  <c r="U106" i="9"/>
  <c r="U105" i="9"/>
  <c r="U102" i="9"/>
  <c r="U100" i="9"/>
  <c r="U99" i="9"/>
  <c r="U98" i="9"/>
  <c r="U97" i="9"/>
  <c r="U94" i="9"/>
  <c r="U92" i="9"/>
  <c r="U90" i="9"/>
  <c r="U98" i="8"/>
  <c r="U95" i="8"/>
  <c r="U92" i="8"/>
  <c r="U90" i="8"/>
  <c r="U88" i="8"/>
  <c r="U89" i="9"/>
  <c r="U88" i="9"/>
  <c r="U87" i="9"/>
  <c r="U86" i="9"/>
  <c r="U85" i="9"/>
  <c r="U84" i="9"/>
  <c r="U83" i="9"/>
  <c r="U82" i="9"/>
  <c r="U86" i="8"/>
  <c r="U80" i="8"/>
  <c r="U78" i="8"/>
  <c r="U77" i="8"/>
  <c r="U76" i="8"/>
  <c r="U75" i="8"/>
  <c r="U74" i="8"/>
  <c r="U71" i="8"/>
  <c r="U69" i="8"/>
  <c r="U66" i="8"/>
  <c r="U105" i="7"/>
  <c r="U103" i="7"/>
  <c r="U101" i="7"/>
  <c r="U97" i="7"/>
  <c r="U102" i="4"/>
  <c r="U100" i="4"/>
  <c r="U99" i="4"/>
  <c r="U96" i="4"/>
  <c r="U95" i="4"/>
  <c r="U93" i="4"/>
  <c r="U81" i="9"/>
  <c r="U80" i="9"/>
  <c r="U79" i="9"/>
  <c r="U78" i="9"/>
  <c r="U77" i="9"/>
  <c r="U76" i="9"/>
  <c r="U75" i="9"/>
  <c r="U74" i="9"/>
  <c r="U72" i="9"/>
  <c r="U71" i="9"/>
  <c r="U70" i="9"/>
  <c r="U69" i="9"/>
  <c r="U68" i="9"/>
  <c r="U67" i="9"/>
  <c r="U66" i="9"/>
  <c r="U64" i="9"/>
  <c r="U3" i="9"/>
  <c r="U106" i="8"/>
  <c r="U105" i="8"/>
  <c r="U103" i="8"/>
  <c r="U102" i="8"/>
  <c r="U100" i="8"/>
  <c r="U96" i="8"/>
  <c r="U84" i="8"/>
  <c r="U48" i="8"/>
  <c r="U106" i="5"/>
  <c r="U105" i="5"/>
  <c r="U104" i="5"/>
  <c r="U103" i="5"/>
  <c r="U102" i="5"/>
  <c r="U83" i="8"/>
  <c r="U82" i="8"/>
  <c r="U81" i="8"/>
  <c r="U79" i="8"/>
  <c r="U72" i="8"/>
  <c r="U68" i="8"/>
  <c r="U65" i="8"/>
  <c r="U64" i="8"/>
  <c r="U63" i="8"/>
  <c r="U106" i="7"/>
  <c r="U98" i="7"/>
  <c r="U98" i="4"/>
  <c r="U92" i="4"/>
  <c r="U90" i="4"/>
  <c r="U10" i="9"/>
  <c r="W10" i="9" a="1"/>
  <c r="U9" i="9"/>
  <c r="W9" i="9" a="1"/>
  <c r="U8" i="9"/>
  <c r="W8" i="9" a="1"/>
  <c r="U7" i="9"/>
  <c r="W7" i="9" a="1"/>
  <c r="U6" i="9"/>
  <c r="U5" i="9"/>
  <c r="G5" i="3"/>
  <c r="U4" i="9"/>
  <c r="U91" i="5"/>
  <c r="U84" i="5"/>
  <c r="U82" i="5"/>
  <c r="U81" i="5"/>
  <c r="U80" i="5"/>
  <c r="U79" i="5"/>
  <c r="U78" i="5"/>
  <c r="U77" i="5"/>
  <c r="U76" i="5"/>
  <c r="U75" i="5"/>
  <c r="U74" i="5"/>
  <c r="U73" i="5"/>
  <c r="U72" i="5"/>
  <c r="U71" i="5"/>
  <c r="U69" i="5"/>
  <c r="U68" i="5"/>
  <c r="U67" i="5"/>
  <c r="U65" i="5"/>
  <c r="U63" i="5"/>
  <c r="U104" i="4"/>
  <c r="U103" i="4"/>
  <c r="U94" i="4"/>
  <c r="U5" i="6"/>
  <c r="D5" i="3"/>
  <c r="U4" i="6"/>
  <c r="U10" i="8"/>
  <c r="W10" i="8" a="1"/>
  <c r="U9" i="8"/>
  <c r="W9" i="8" a="1"/>
  <c r="U8" i="8"/>
  <c r="W8" i="8" a="1"/>
  <c r="U7" i="8"/>
  <c r="W7" i="8" a="1"/>
  <c r="U6" i="8"/>
  <c r="U5" i="8"/>
  <c r="F5" i="3"/>
  <c r="U4" i="8"/>
  <c r="U96" i="7"/>
  <c r="U95" i="7"/>
  <c r="U94" i="7"/>
  <c r="U93" i="7"/>
  <c r="U78" i="6"/>
  <c r="U76" i="6"/>
  <c r="U74" i="6"/>
  <c r="U71" i="6"/>
  <c r="U69" i="6"/>
  <c r="U67" i="6"/>
  <c r="U66" i="6"/>
  <c r="U64" i="6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3" i="7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7" i="6"/>
  <c r="U75" i="6"/>
  <c r="U73" i="6"/>
  <c r="U68" i="6"/>
  <c r="U63" i="6"/>
  <c r="U48" i="6"/>
  <c r="U87" i="5"/>
  <c r="U86" i="5"/>
  <c r="U85" i="5"/>
  <c r="U70" i="5"/>
  <c r="U66" i="5"/>
  <c r="U64" i="5"/>
  <c r="U6" i="6"/>
  <c r="U10" i="6"/>
  <c r="W10" i="6" a="1"/>
  <c r="U9" i="6"/>
  <c r="W9" i="6" a="1"/>
  <c r="U8" i="6"/>
  <c r="W8" i="6" a="1"/>
  <c r="U3" i="6"/>
  <c r="U93" i="5"/>
  <c r="U90" i="5"/>
  <c r="U10" i="5"/>
  <c r="W10" i="5" a="1"/>
  <c r="U9" i="5"/>
  <c r="W9" i="5" a="1"/>
  <c r="U8" i="5"/>
  <c r="W8" i="5" a="1"/>
  <c r="U7" i="5"/>
  <c r="W7" i="5" a="1"/>
  <c r="U6" i="5"/>
  <c r="U5" i="5"/>
  <c r="C5" i="3"/>
  <c r="U4" i="5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103" i="9"/>
  <c r="U93" i="9"/>
  <c r="U63" i="4"/>
  <c r="U10" i="4"/>
  <c r="W10" i="4" a="1"/>
  <c r="U101" i="9"/>
  <c r="U91" i="9"/>
  <c r="U91" i="8"/>
  <c r="U87" i="8"/>
  <c r="U105" i="4"/>
  <c r="U101" i="4"/>
  <c r="U97" i="4"/>
  <c r="H6" i="3"/>
  <c r="H7" i="3"/>
  <c r="H8" i="3"/>
  <c r="H9" i="3"/>
  <c r="H10" i="3"/>
  <c r="D6" i="3"/>
  <c r="D7" i="3"/>
  <c r="D8" i="3"/>
  <c r="D9" i="3"/>
  <c r="D10" i="3"/>
  <c r="F6" i="3"/>
  <c r="F7" i="3"/>
  <c r="F8" i="3"/>
  <c r="F9" i="3"/>
  <c r="F10" i="3"/>
  <c r="C6" i="3"/>
  <c r="C7" i="3"/>
  <c r="C8" i="3"/>
  <c r="C9" i="3"/>
  <c r="C10" i="3"/>
  <c r="G6" i="3"/>
  <c r="G7" i="3"/>
  <c r="G8" i="3"/>
  <c r="G9" i="3"/>
  <c r="G10" i="3"/>
  <c r="G21" i="10"/>
  <c r="G21" i="8"/>
  <c r="G21" i="6"/>
  <c r="G21" i="5"/>
  <c r="G21" i="7"/>
  <c r="G21" i="4"/>
  <c r="G21" i="9"/>
  <c r="T22" i="10"/>
  <c r="T22" i="9"/>
  <c r="U22" i="9"/>
  <c r="W22" i="9" a="1"/>
  <c r="O22" i="3"/>
  <c r="T16" i="9"/>
  <c r="T22" i="8"/>
  <c r="U22" i="8"/>
  <c r="T22" i="6"/>
  <c r="T17" i="6"/>
  <c r="U17" i="6"/>
  <c r="T16" i="6"/>
  <c r="T22" i="5"/>
  <c r="U22" i="5"/>
  <c r="T17" i="5"/>
  <c r="T16" i="5"/>
  <c r="T22" i="4"/>
  <c r="G20" i="10"/>
  <c r="G20" i="9"/>
  <c r="G20" i="8"/>
  <c r="G20" i="7"/>
  <c r="G20" i="6"/>
  <c r="G20" i="5"/>
  <c r="G20" i="4"/>
  <c r="S20" i="10"/>
  <c r="R20" i="10"/>
  <c r="Q20" i="10"/>
  <c r="S20" i="9"/>
  <c r="R20" i="9"/>
  <c r="Q20" i="9"/>
  <c r="S20" i="8"/>
  <c r="R20" i="8"/>
  <c r="Q20" i="8"/>
  <c r="G19" i="9"/>
  <c r="G19" i="7"/>
  <c r="G19" i="5"/>
  <c r="G19" i="4"/>
  <c r="G19" i="10"/>
  <c r="G19" i="8"/>
  <c r="G19" i="6"/>
  <c r="G18" i="10"/>
  <c r="S18" i="9"/>
  <c r="R18" i="9"/>
  <c r="Q18" i="9"/>
  <c r="S18" i="8"/>
  <c r="R18" i="8"/>
  <c r="Q18" i="8"/>
  <c r="S18" i="6"/>
  <c r="R18" i="6"/>
  <c r="Q18" i="6"/>
  <c r="S18" i="5"/>
  <c r="R18" i="5"/>
  <c r="Q18" i="5"/>
  <c r="G17" i="8"/>
  <c r="G17" i="9"/>
  <c r="G17" i="10"/>
  <c r="S17" i="9"/>
  <c r="Q17" i="9"/>
  <c r="R17" i="9"/>
  <c r="T16" i="8"/>
  <c r="U16" i="8"/>
  <c r="G16" i="10"/>
  <c r="G15" i="10"/>
  <c r="G15" i="9"/>
  <c r="G15" i="8"/>
  <c r="G15" i="7"/>
  <c r="G15" i="6"/>
  <c r="G15" i="5"/>
  <c r="G15" i="4"/>
  <c r="G14" i="10"/>
  <c r="G14" i="9"/>
  <c r="G14" i="8"/>
  <c r="G14" i="7"/>
  <c r="G14" i="6"/>
  <c r="G14" i="5"/>
  <c r="G14" i="4"/>
  <c r="S13" i="5"/>
  <c r="R13" i="5"/>
  <c r="Q13" i="5"/>
  <c r="S13" i="4"/>
  <c r="R13" i="4"/>
  <c r="Q13" i="4"/>
  <c r="G13" i="8"/>
  <c r="G13" i="7"/>
  <c r="G13" i="6"/>
  <c r="G13" i="9"/>
  <c r="G13" i="10"/>
  <c r="G12" i="10"/>
  <c r="G12" i="9"/>
  <c r="G12" i="7"/>
  <c r="G12" i="8"/>
  <c r="G12" i="6"/>
  <c r="G12" i="5"/>
  <c r="G12" i="4"/>
  <c r="G11" i="10"/>
  <c r="G11" i="9"/>
  <c r="G11" i="8"/>
  <c r="G11" i="7"/>
  <c r="G11" i="6"/>
  <c r="G11" i="5"/>
  <c r="G11" i="4"/>
  <c r="S21" i="10"/>
  <c r="Q21" i="10"/>
  <c r="R21" i="10"/>
  <c r="Q21" i="8"/>
  <c r="R21" i="8"/>
  <c r="S21" i="8"/>
  <c r="Q21" i="6"/>
  <c r="R21" i="6"/>
  <c r="S21" i="6"/>
  <c r="Q21" i="5"/>
  <c r="R21" i="5"/>
  <c r="S21" i="5"/>
  <c r="Q21" i="9"/>
  <c r="R21" i="9"/>
  <c r="S21" i="9"/>
  <c r="U22" i="10"/>
  <c r="W22" i="10" a="1"/>
  <c r="P22" i="3"/>
  <c r="T20" i="10"/>
  <c r="T20" i="9"/>
  <c r="U16" i="9"/>
  <c r="W22" i="8" a="1"/>
  <c r="N22" i="3"/>
  <c r="T18" i="8"/>
  <c r="W16" i="8" a="1"/>
  <c r="N16" i="3"/>
  <c r="U22" i="6"/>
  <c r="W17" i="6" a="1"/>
  <c r="L17" i="3"/>
  <c r="U16" i="6"/>
  <c r="W16" i="6" a="1"/>
  <c r="L16" i="3"/>
  <c r="W22" i="5" a="1"/>
  <c r="K22" i="3"/>
  <c r="U17" i="5"/>
  <c r="U16" i="5"/>
  <c r="W16" i="5" a="1"/>
  <c r="K16" i="3"/>
  <c r="U22" i="4"/>
  <c r="W22" i="4" a="1"/>
  <c r="T20" i="8"/>
  <c r="Q20" i="6"/>
  <c r="R20" i="6"/>
  <c r="S20" i="6"/>
  <c r="Q20" i="5"/>
  <c r="R20" i="5"/>
  <c r="S20" i="5"/>
  <c r="Q19" i="9"/>
  <c r="R19" i="9"/>
  <c r="S19" i="9"/>
  <c r="Q19" i="5"/>
  <c r="R19" i="5"/>
  <c r="S19" i="5"/>
  <c r="R19" i="10"/>
  <c r="Q19" i="10"/>
  <c r="S19" i="10"/>
  <c r="Q19" i="8"/>
  <c r="R19" i="8"/>
  <c r="S19" i="8"/>
  <c r="S19" i="6"/>
  <c r="R19" i="6"/>
  <c r="Q19" i="6"/>
  <c r="S18" i="10"/>
  <c r="R18" i="10"/>
  <c r="Q18" i="10"/>
  <c r="T18" i="9"/>
  <c r="T18" i="6"/>
  <c r="T18" i="5"/>
  <c r="S17" i="8"/>
  <c r="R17" i="8"/>
  <c r="Q17" i="8"/>
  <c r="S17" i="10"/>
  <c r="R17" i="10"/>
  <c r="Q17" i="10"/>
  <c r="T17" i="9"/>
  <c r="R16" i="10"/>
  <c r="Q16" i="10"/>
  <c r="S16" i="10"/>
  <c r="S15" i="10"/>
  <c r="R15" i="10"/>
  <c r="Q15" i="10"/>
  <c r="Q15" i="9"/>
  <c r="R15" i="9"/>
  <c r="S15" i="9"/>
  <c r="Q15" i="8"/>
  <c r="R15" i="8"/>
  <c r="S15" i="8"/>
  <c r="Q15" i="6"/>
  <c r="R15" i="6"/>
  <c r="S15" i="6"/>
  <c r="Q15" i="5"/>
  <c r="R15" i="5"/>
  <c r="S15" i="5"/>
  <c r="Q14" i="9"/>
  <c r="R14" i="9"/>
  <c r="S14" i="9"/>
  <c r="R14" i="8"/>
  <c r="Q14" i="8"/>
  <c r="S14" i="8"/>
  <c r="Q14" i="6"/>
  <c r="R14" i="6"/>
  <c r="S14" i="6"/>
  <c r="Q14" i="5"/>
  <c r="R14" i="5"/>
  <c r="S14" i="5"/>
  <c r="S14" i="10"/>
  <c r="R14" i="10"/>
  <c r="Q14" i="10"/>
  <c r="T13" i="5"/>
  <c r="Q13" i="8"/>
  <c r="R13" i="8"/>
  <c r="S13" i="8"/>
  <c r="R13" i="6"/>
  <c r="Q13" i="6"/>
  <c r="S13" i="6"/>
  <c r="S13" i="9"/>
  <c r="Q13" i="9"/>
  <c r="R13" i="9"/>
  <c r="R13" i="10"/>
  <c r="S13" i="10"/>
  <c r="Q13" i="10"/>
  <c r="S12" i="10"/>
  <c r="Q12" i="10"/>
  <c r="R12" i="10"/>
  <c r="S12" i="9"/>
  <c r="Q12" i="9"/>
  <c r="R12" i="9"/>
  <c r="R12" i="8"/>
  <c r="S12" i="8"/>
  <c r="Q12" i="8"/>
  <c r="Q12" i="6"/>
  <c r="R12" i="6"/>
  <c r="S12" i="6"/>
  <c r="Q12" i="5"/>
  <c r="R12" i="5"/>
  <c r="S12" i="5"/>
  <c r="S11" i="10"/>
  <c r="R11" i="10"/>
  <c r="Q11" i="10"/>
  <c r="Q11" i="9"/>
  <c r="R11" i="9"/>
  <c r="S11" i="9"/>
  <c r="Q11" i="8"/>
  <c r="R11" i="8"/>
  <c r="S11" i="8"/>
  <c r="Q11" i="6"/>
  <c r="R11" i="6"/>
  <c r="S11" i="6"/>
  <c r="Q11" i="5"/>
  <c r="R11" i="5"/>
  <c r="S11" i="5"/>
  <c r="T21" i="6"/>
  <c r="T21" i="8"/>
  <c r="T21" i="9"/>
  <c r="U21" i="9"/>
  <c r="W21" i="9" a="1"/>
  <c r="O21" i="3"/>
  <c r="T21" i="5"/>
  <c r="T21" i="10"/>
  <c r="U20" i="10"/>
  <c r="U20" i="9"/>
  <c r="W16" i="9" a="1"/>
  <c r="O16" i="3"/>
  <c r="U20" i="8"/>
  <c r="W18" i="8" a="1"/>
  <c r="N18" i="3"/>
  <c r="U18" i="8"/>
  <c r="T17" i="8"/>
  <c r="W22" i="6" a="1"/>
  <c r="L22" i="3"/>
  <c r="W17" i="5" a="1"/>
  <c r="K17" i="3"/>
  <c r="T20" i="6"/>
  <c r="T20" i="5"/>
  <c r="W20" i="10" a="1"/>
  <c r="P20" i="3"/>
  <c r="W20" i="9" a="1"/>
  <c r="O20" i="3"/>
  <c r="W20" i="8" a="1"/>
  <c r="N20" i="3"/>
  <c r="T19" i="8"/>
  <c r="T19" i="9"/>
  <c r="T19" i="5"/>
  <c r="T19" i="10"/>
  <c r="T19" i="6"/>
  <c r="U18" i="9"/>
  <c r="W18" i="9" a="1"/>
  <c r="O18" i="3"/>
  <c r="T18" i="10"/>
  <c r="U18" i="5"/>
  <c r="W18" i="5" a="1"/>
  <c r="K18" i="3"/>
  <c r="U18" i="6"/>
  <c r="W18" i="6" a="1"/>
  <c r="L18" i="3"/>
  <c r="T17" i="10"/>
  <c r="U17" i="9"/>
  <c r="W17" i="9" a="1"/>
  <c r="O17" i="3"/>
  <c r="T16" i="10"/>
  <c r="T15" i="5"/>
  <c r="T15" i="9"/>
  <c r="T15" i="10"/>
  <c r="T15" i="8"/>
  <c r="T15" i="6"/>
  <c r="T14" i="5"/>
  <c r="T14" i="10"/>
  <c r="T14" i="6"/>
  <c r="T14" i="9"/>
  <c r="T14" i="8"/>
  <c r="U13" i="5"/>
  <c r="W13" i="5" a="1"/>
  <c r="K13" i="3"/>
  <c r="T13" i="6"/>
  <c r="T13" i="9"/>
  <c r="T13" i="10"/>
  <c r="T13" i="8"/>
  <c r="T12" i="9"/>
  <c r="T12" i="5"/>
  <c r="T12" i="10"/>
  <c r="T12" i="8"/>
  <c r="T12" i="6"/>
  <c r="T11" i="10"/>
  <c r="T11" i="9"/>
  <c r="T11" i="8"/>
  <c r="T11" i="6"/>
  <c r="T11" i="5"/>
  <c r="U21" i="10"/>
  <c r="U21" i="8"/>
  <c r="U21" i="6"/>
  <c r="W21" i="6" a="1"/>
  <c r="L21" i="3"/>
  <c r="U21" i="5"/>
  <c r="W21" i="5" a="1"/>
  <c r="K21" i="3"/>
  <c r="W21" i="8" a="1"/>
  <c r="N21" i="3"/>
  <c r="U17" i="8"/>
  <c r="U20" i="6"/>
  <c r="U20" i="5"/>
  <c r="U19" i="9"/>
  <c r="U19" i="5"/>
  <c r="U19" i="10"/>
  <c r="U19" i="8"/>
  <c r="U19" i="6"/>
  <c r="U18" i="10"/>
  <c r="W17" i="8" a="1"/>
  <c r="N17" i="3"/>
  <c r="U17" i="10"/>
  <c r="U16" i="10"/>
  <c r="U15" i="8"/>
  <c r="U15" i="6"/>
  <c r="U15" i="5"/>
  <c r="U15" i="10"/>
  <c r="U15" i="9"/>
  <c r="W15" i="8" a="1"/>
  <c r="N15" i="3"/>
  <c r="U14" i="5"/>
  <c r="U14" i="10"/>
  <c r="W14" i="10" a="1"/>
  <c r="P14" i="3"/>
  <c r="W14" i="5" a="1"/>
  <c r="K14" i="3"/>
  <c r="U14" i="6"/>
  <c r="U14" i="9"/>
  <c r="W14" i="9" a="1"/>
  <c r="O14" i="3"/>
  <c r="U14" i="8"/>
  <c r="U13" i="10"/>
  <c r="W13" i="10" a="1"/>
  <c r="P13" i="3"/>
  <c r="U13" i="8"/>
  <c r="W13" i="8" a="1"/>
  <c r="N13" i="3"/>
  <c r="U13" i="6"/>
  <c r="U13" i="9"/>
  <c r="U12" i="9"/>
  <c r="W12" i="9" a="1"/>
  <c r="O12" i="3"/>
  <c r="U12" i="10"/>
  <c r="U12" i="8"/>
  <c r="U12" i="6"/>
  <c r="U12" i="5"/>
  <c r="W12" i="5" a="1"/>
  <c r="K12" i="3"/>
  <c r="U11" i="9"/>
  <c r="U11" i="8"/>
  <c r="U11" i="10"/>
  <c r="U11" i="6"/>
  <c r="U11" i="5"/>
  <c r="W11" i="5" a="1"/>
  <c r="W11" i="6" a="1"/>
  <c r="W21" i="10" a="1"/>
  <c r="P21" i="3"/>
  <c r="W18" i="10" a="1"/>
  <c r="P18" i="3"/>
  <c r="W15" i="5" a="1"/>
  <c r="K15" i="3"/>
  <c r="W20" i="6" a="1"/>
  <c r="L20" i="3"/>
  <c r="W20" i="5" a="1"/>
  <c r="K20" i="3"/>
  <c r="W19" i="8" a="1"/>
  <c r="N19" i="3"/>
  <c r="W19" i="9" a="1"/>
  <c r="O19" i="3"/>
  <c r="W19" i="10" a="1"/>
  <c r="P19" i="3"/>
  <c r="W19" i="6" a="1"/>
  <c r="L19" i="3"/>
  <c r="W19" i="5" a="1"/>
  <c r="K19" i="3"/>
  <c r="W17" i="10" a="1"/>
  <c r="P17" i="3"/>
  <c r="W16" i="10" a="1"/>
  <c r="P16" i="3"/>
  <c r="W15" i="9" a="1"/>
  <c r="O15" i="3"/>
  <c r="W15" i="6" a="1"/>
  <c r="L15" i="3"/>
  <c r="W15" i="10" a="1"/>
  <c r="P15" i="3"/>
  <c r="W14" i="6" a="1"/>
  <c r="L14" i="3"/>
  <c r="W14" i="8" a="1"/>
  <c r="N14" i="3"/>
  <c r="W13" i="6" a="1"/>
  <c r="L13" i="3"/>
  <c r="W13" i="9" a="1"/>
  <c r="O13" i="3"/>
  <c r="W12" i="10" a="1"/>
  <c r="P12" i="3"/>
  <c r="W12" i="8" a="1"/>
  <c r="N12" i="3"/>
  <c r="W12" i="6" a="1"/>
  <c r="L12" i="3"/>
  <c r="W11" i="9" a="1"/>
  <c r="C11" i="3"/>
  <c r="C12" i="3"/>
  <c r="C13" i="3"/>
  <c r="C14" i="3"/>
  <c r="W11" i="8" a="1"/>
  <c r="W11" i="10" a="1"/>
  <c r="F11" i="3"/>
  <c r="F12" i="3"/>
  <c r="F13" i="3"/>
  <c r="F14" i="3"/>
  <c r="F15" i="3"/>
  <c r="F16" i="3"/>
  <c r="F17" i="3"/>
  <c r="F18" i="3"/>
  <c r="D11" i="3"/>
  <c r="D12" i="3"/>
  <c r="D13" i="3"/>
  <c r="F19" i="3"/>
  <c r="F20" i="3"/>
  <c r="F21" i="3"/>
  <c r="F22" i="3"/>
  <c r="C15" i="3"/>
  <c r="C16" i="3"/>
  <c r="C17" i="3"/>
  <c r="C18" i="3"/>
  <c r="D14" i="3"/>
  <c r="D15" i="3"/>
  <c r="D16" i="3"/>
  <c r="D17" i="3"/>
  <c r="D18" i="3"/>
  <c r="D19" i="3"/>
  <c r="D20" i="3"/>
  <c r="D21" i="3"/>
  <c r="D22" i="3"/>
  <c r="H11" i="3"/>
  <c r="H12" i="3"/>
  <c r="H13" i="3"/>
  <c r="H14" i="3"/>
  <c r="H15" i="3"/>
  <c r="H16" i="3"/>
  <c r="H17" i="3"/>
  <c r="H18" i="3"/>
  <c r="H19" i="3"/>
  <c r="H20" i="3"/>
  <c r="H21" i="3"/>
  <c r="H22" i="3"/>
  <c r="G11" i="3"/>
  <c r="G12" i="3"/>
  <c r="G13" i="3"/>
  <c r="G14" i="3"/>
  <c r="G15" i="3"/>
  <c r="G16" i="3"/>
  <c r="G17" i="3"/>
  <c r="G18" i="3"/>
  <c r="G19" i="3"/>
  <c r="G20" i="3"/>
  <c r="G21" i="3"/>
  <c r="G22" i="3"/>
  <c r="C19" i="3"/>
  <c r="C20" i="3"/>
  <c r="C21" i="3"/>
  <c r="C22" i="3"/>
  <c r="G61" i="6" l="1"/>
  <c r="G61" i="4"/>
  <c r="G58" i="4"/>
  <c r="G62" i="4"/>
  <c r="G62" i="6"/>
  <c r="G61" i="9"/>
  <c r="G61" i="8"/>
  <c r="G61" i="10"/>
  <c r="G61" i="7"/>
  <c r="G61" i="5"/>
  <c r="G60" i="10"/>
  <c r="G60" i="9"/>
  <c r="G59" i="6"/>
  <c r="G59" i="4"/>
  <c r="G58" i="5"/>
  <c r="G58" i="6"/>
  <c r="G58" i="10"/>
  <c r="G58" i="8"/>
  <c r="G58" i="7"/>
  <c r="G58" i="9"/>
  <c r="G57" i="10"/>
  <c r="G57" i="7"/>
  <c r="G57" i="5"/>
  <c r="G57" i="8"/>
  <c r="G57" i="9"/>
  <c r="G57" i="6"/>
  <c r="S59" i="6"/>
  <c r="R59" i="6"/>
  <c r="Q59" i="6"/>
  <c r="S59" i="4"/>
  <c r="R59" i="4"/>
  <c r="Q59" i="4"/>
  <c r="G59" i="8"/>
  <c r="G59" i="9"/>
  <c r="G59" i="7"/>
  <c r="G59" i="5"/>
  <c r="G60" i="8"/>
  <c r="G60" i="7"/>
  <c r="G60" i="5"/>
  <c r="G60" i="6"/>
  <c r="G60" i="4"/>
  <c r="S60" i="10"/>
  <c r="R60" i="10"/>
  <c r="Q60" i="10"/>
  <c r="S60" i="9"/>
  <c r="R60" i="9"/>
  <c r="Q60" i="9"/>
  <c r="G62" i="5"/>
  <c r="G59" i="10"/>
  <c r="Q62" i="5"/>
  <c r="S62" i="6"/>
  <c r="R62" i="6"/>
  <c r="Q62" i="6"/>
  <c r="S62" i="4"/>
  <c r="R62" i="4"/>
  <c r="Q62" i="4"/>
  <c r="G62" i="10"/>
  <c r="G62" i="9"/>
  <c r="G62" i="8"/>
  <c r="G62" i="7"/>
  <c r="Q58" i="5"/>
  <c r="S58" i="4"/>
  <c r="R58" i="4"/>
  <c r="Q58" i="4"/>
  <c r="S58" i="5"/>
  <c r="R58" i="5"/>
  <c r="S59" i="5"/>
  <c r="Q59" i="5"/>
  <c r="R59" i="5"/>
  <c r="S61" i="7"/>
  <c r="R61" i="7"/>
  <c r="Q61" i="7"/>
  <c r="G56" i="9"/>
  <c r="G56" i="7"/>
  <c r="G56" i="5"/>
  <c r="G56" i="6"/>
  <c r="G56" i="8"/>
  <c r="G56" i="10"/>
  <c r="G55" i="10"/>
  <c r="G55" i="9"/>
  <c r="G55" i="8"/>
  <c r="G55" i="7"/>
  <c r="G55" i="5"/>
  <c r="G55" i="6"/>
  <c r="G54" i="9"/>
  <c r="G54" i="8"/>
  <c r="G54" i="7"/>
  <c r="G54" i="5"/>
  <c r="G54" i="6"/>
  <c r="G53" i="10"/>
  <c r="G53" i="8"/>
  <c r="G53" i="7"/>
  <c r="G53" i="5"/>
  <c r="G53" i="6"/>
  <c r="G53" i="9"/>
  <c r="G52" i="6"/>
  <c r="G52" i="10"/>
  <c r="G52" i="9"/>
  <c r="G52" i="8"/>
  <c r="G52" i="7"/>
  <c r="G52" i="5"/>
  <c r="G51" i="5"/>
  <c r="G51" i="7"/>
  <c r="G51" i="9"/>
  <c r="G51" i="8"/>
  <c r="G51" i="6"/>
  <c r="G51" i="10"/>
  <c r="G57" i="4"/>
  <c r="S57" i="10"/>
  <c r="R57" i="10"/>
  <c r="Q57" i="10"/>
  <c r="S57" i="8"/>
  <c r="Q57" i="8"/>
  <c r="R57" i="8"/>
  <c r="S57" i="5"/>
  <c r="Q57" i="5"/>
  <c r="S57" i="7"/>
  <c r="R57" i="7"/>
  <c r="Q57" i="7"/>
  <c r="S57" i="6"/>
  <c r="R57" i="6"/>
  <c r="Q57" i="6"/>
  <c r="R57" i="5"/>
  <c r="G54" i="10"/>
  <c r="L56" i="10"/>
  <c r="D56" i="9"/>
  <c r="L56" i="9" s="1"/>
  <c r="D55" i="9"/>
  <c r="L55" i="9" s="1"/>
  <c r="D54" i="9"/>
  <c r="L54" i="9" s="1"/>
  <c r="D53" i="9"/>
  <c r="L53" i="9" s="1"/>
  <c r="D52" i="9"/>
  <c r="L52" i="9" s="1"/>
  <c r="D51" i="9"/>
  <c r="L51" i="9" s="1"/>
  <c r="D56" i="8"/>
  <c r="L56" i="8" s="1"/>
  <c r="D55" i="8"/>
  <c r="L55" i="8" s="1"/>
  <c r="D54" i="8"/>
  <c r="L54" i="8" s="1"/>
  <c r="D53" i="8"/>
  <c r="L53" i="8" s="1"/>
  <c r="D52" i="8"/>
  <c r="L52" i="8" s="1"/>
  <c r="D51" i="8"/>
  <c r="L51" i="8" s="1"/>
  <c r="D56" i="7"/>
  <c r="L56" i="7" s="1"/>
  <c r="D55" i="7"/>
  <c r="L55" i="7" s="1"/>
  <c r="D54" i="7"/>
  <c r="L54" i="7" s="1"/>
  <c r="D53" i="7"/>
  <c r="L53" i="7" s="1"/>
  <c r="D52" i="7"/>
  <c r="L52" i="7" s="1"/>
  <c r="D51" i="7"/>
  <c r="L51" i="7" s="1"/>
  <c r="D56" i="6"/>
  <c r="L56" i="6" s="1"/>
  <c r="D55" i="6"/>
  <c r="L55" i="6" s="1"/>
  <c r="D54" i="6"/>
  <c r="L54" i="6" s="1"/>
  <c r="D53" i="6"/>
  <c r="L53" i="6" s="1"/>
  <c r="D52" i="6"/>
  <c r="L52" i="6" s="1"/>
  <c r="D51" i="6"/>
  <c r="L51" i="6" s="1"/>
  <c r="D56" i="5"/>
  <c r="L56" i="5" s="1"/>
  <c r="D55" i="5"/>
  <c r="L55" i="5" s="1"/>
  <c r="D54" i="5"/>
  <c r="L54" i="5" s="1"/>
  <c r="D53" i="5"/>
  <c r="L53" i="5" s="1"/>
  <c r="D52" i="5"/>
  <c r="L52" i="5" s="1"/>
  <c r="D51" i="5"/>
  <c r="L51" i="5" s="1"/>
  <c r="R51" i="5"/>
  <c r="L56" i="4"/>
  <c r="G56" i="4"/>
  <c r="L55" i="4"/>
  <c r="G55" i="4"/>
  <c r="L54" i="4"/>
  <c r="G54" i="4"/>
  <c r="L53" i="4"/>
  <c r="G53" i="4"/>
  <c r="L52" i="4"/>
  <c r="G52" i="4"/>
  <c r="L51" i="4"/>
  <c r="G51" i="4"/>
  <c r="R55" i="9"/>
  <c r="Q55" i="9"/>
  <c r="S54" i="9"/>
  <c r="R54" i="9"/>
  <c r="Q54" i="9"/>
  <c r="R52" i="9"/>
  <c r="Q52" i="9"/>
  <c r="S51" i="9"/>
  <c r="R51" i="9"/>
  <c r="Q51" i="9"/>
  <c r="S55" i="5"/>
  <c r="Q55" i="5"/>
  <c r="R53" i="5"/>
  <c r="S52" i="5"/>
  <c r="R52" i="5"/>
  <c r="R55" i="5"/>
  <c r="S53" i="5"/>
  <c r="Q53" i="5"/>
  <c r="Q52" i="5"/>
  <c r="S51" i="5"/>
  <c r="Q51" i="5"/>
  <c r="S55" i="8"/>
  <c r="R55" i="8"/>
  <c r="Q55" i="8"/>
  <c r="S53" i="8"/>
  <c r="R53" i="8"/>
  <c r="Q53" i="8"/>
  <c r="S52" i="8"/>
  <c r="R52" i="8"/>
  <c r="Q52" i="8"/>
  <c r="S51" i="8"/>
  <c r="R51" i="8"/>
  <c r="Q51" i="8"/>
  <c r="S55" i="6"/>
  <c r="R55" i="6"/>
  <c r="Q55" i="6"/>
  <c r="S53" i="6"/>
  <c r="R53" i="6"/>
  <c r="Q53" i="6"/>
  <c r="S52" i="6"/>
  <c r="R52" i="6"/>
  <c r="Q52" i="6"/>
  <c r="S51" i="6"/>
  <c r="R51" i="6"/>
  <c r="Q51" i="6"/>
  <c r="S52" i="10"/>
  <c r="R53" i="10"/>
  <c r="R52" i="10"/>
  <c r="Q52" i="10"/>
  <c r="R51" i="10"/>
  <c r="S55" i="10"/>
  <c r="R55" i="10"/>
  <c r="Q55" i="10"/>
  <c r="S53" i="10"/>
  <c r="Q53" i="10"/>
  <c r="S51" i="10"/>
  <c r="Q51" i="10"/>
  <c r="Q55" i="7"/>
  <c r="S55" i="7"/>
  <c r="R53" i="7"/>
  <c r="R52" i="7"/>
  <c r="S51" i="7"/>
  <c r="S56" i="7"/>
  <c r="S53" i="7"/>
  <c r="Q53" i="7"/>
  <c r="S52" i="7"/>
  <c r="Q52" i="7"/>
  <c r="R51" i="7"/>
  <c r="Q51" i="7"/>
  <c r="G50" i="10"/>
  <c r="G50" i="9"/>
  <c r="G50" i="8"/>
  <c r="G50" i="7"/>
  <c r="G50" i="5"/>
  <c r="G50" i="6"/>
  <c r="G50" i="4"/>
  <c r="G49" i="10"/>
  <c r="G49" i="9"/>
  <c r="G49" i="8"/>
  <c r="U49" i="5"/>
  <c r="U49" i="7"/>
  <c r="G47" i="10"/>
  <c r="G47" i="9"/>
  <c r="G47" i="7"/>
  <c r="G47" i="5"/>
  <c r="G47" i="8"/>
  <c r="G47" i="6"/>
  <c r="G47" i="4"/>
  <c r="Q50" i="10"/>
  <c r="U48" i="10"/>
  <c r="T48" i="9"/>
  <c r="U48" i="9" s="1"/>
  <c r="W48" i="9" a="1"/>
  <c r="O48" i="3" s="1"/>
  <c r="W48" i="8" a="1"/>
  <c r="N48" i="3" s="1"/>
  <c r="T48" i="7"/>
  <c r="T49" i="6"/>
  <c r="W48" i="6" a="1"/>
  <c r="L48" i="3" s="1"/>
  <c r="W49" i="5" a="1"/>
  <c r="K49" i="3" s="1"/>
  <c r="T48" i="5"/>
  <c r="U48" i="5"/>
  <c r="W48" i="5" a="1"/>
  <c r="K48" i="3" s="1"/>
  <c r="T49" i="4"/>
  <c r="U49" i="4" s="1"/>
  <c r="T48" i="4"/>
  <c r="G46" i="10"/>
  <c r="G46" i="9"/>
  <c r="G46" i="7"/>
  <c r="G46" i="8"/>
  <c r="G46" i="6"/>
  <c r="G46" i="5"/>
  <c r="G46" i="4"/>
  <c r="G45" i="10"/>
  <c r="G45" i="8"/>
  <c r="G45" i="7"/>
  <c r="G45" i="5"/>
  <c r="G45" i="9"/>
  <c r="G45" i="6"/>
  <c r="G45" i="4"/>
  <c r="G44" i="10"/>
  <c r="G44" i="8"/>
  <c r="G44" i="7"/>
  <c r="G44" i="6"/>
  <c r="G44" i="5"/>
  <c r="G44" i="4"/>
  <c r="G44" i="9"/>
  <c r="S44" i="9"/>
  <c r="R44" i="9"/>
  <c r="Q44" i="9"/>
  <c r="G43" i="9"/>
  <c r="G43" i="7"/>
  <c r="G43" i="10"/>
  <c r="G43" i="8"/>
  <c r="G43" i="6"/>
  <c r="T43" i="5"/>
  <c r="T43" i="4"/>
  <c r="G42" i="10"/>
  <c r="G42" i="8"/>
  <c r="G42" i="7"/>
  <c r="G42" i="5"/>
  <c r="G42" i="4"/>
  <c r="G42" i="9"/>
  <c r="G42" i="6"/>
  <c r="G41" i="10"/>
  <c r="G41" i="8"/>
  <c r="G41" i="6"/>
  <c r="G41" i="5"/>
  <c r="G41" i="4"/>
  <c r="G41" i="9"/>
  <c r="G41" i="7"/>
  <c r="G40" i="10"/>
  <c r="G40" i="9"/>
  <c r="G40" i="8"/>
  <c r="G40" i="7"/>
  <c r="G40" i="5"/>
  <c r="G40" i="4"/>
  <c r="G40" i="6"/>
  <c r="R42" i="10"/>
  <c r="Q42" i="10"/>
  <c r="S40" i="10"/>
  <c r="R40" i="10"/>
  <c r="Q40" i="10"/>
  <c r="S42" i="9"/>
  <c r="R42" i="9"/>
  <c r="Q42" i="9"/>
  <c r="R42" i="8"/>
  <c r="S42" i="8"/>
  <c r="Q42" i="8"/>
  <c r="S42" i="5"/>
  <c r="R40" i="4"/>
  <c r="Q40" i="4"/>
  <c r="S40" i="4"/>
  <c r="G39" i="10"/>
  <c r="G39" i="9"/>
  <c r="G39" i="8"/>
  <c r="G39" i="7"/>
  <c r="T39" i="5"/>
  <c r="G39" i="6"/>
  <c r="T39" i="4"/>
  <c r="G38" i="4"/>
  <c r="G38" i="5"/>
  <c r="Q38" i="4"/>
  <c r="G38" i="8"/>
  <c r="G38" i="10"/>
  <c r="G38" i="9"/>
  <c r="G38" i="7"/>
  <c r="G38" i="6"/>
  <c r="G37" i="10"/>
  <c r="G37" i="9"/>
  <c r="G37" i="8"/>
  <c r="G37" i="7"/>
  <c r="G37" i="6"/>
  <c r="G37" i="5"/>
  <c r="G37" i="4"/>
  <c r="G36" i="10"/>
  <c r="G36" i="8"/>
  <c r="G36" i="7"/>
  <c r="G36" i="6"/>
  <c r="G36" i="5"/>
  <c r="G36" i="9"/>
  <c r="G36" i="4"/>
  <c r="G35" i="5"/>
  <c r="G35" i="7"/>
  <c r="G35" i="6"/>
  <c r="G35" i="4"/>
  <c r="G35" i="10"/>
  <c r="G35" i="9"/>
  <c r="G35" i="8"/>
  <c r="S35" i="9"/>
  <c r="R35" i="9"/>
  <c r="Q35" i="9"/>
  <c r="G34" i="9"/>
  <c r="G34" i="8"/>
  <c r="G34" i="7"/>
  <c r="G34" i="5"/>
  <c r="G34" i="4"/>
  <c r="G34" i="10"/>
  <c r="G34" i="6"/>
  <c r="G33" i="8"/>
  <c r="T33" i="6"/>
  <c r="G33" i="10"/>
  <c r="G33" i="9"/>
  <c r="G33" i="7"/>
  <c r="G32" i="10"/>
  <c r="R32" i="10" s="1"/>
  <c r="G32" i="9"/>
  <c r="G32" i="8"/>
  <c r="G31" i="6"/>
  <c r="G31" i="9"/>
  <c r="G31" i="8"/>
  <c r="G31" i="10"/>
  <c r="G31" i="7"/>
  <c r="G31" i="5"/>
  <c r="S34" i="5"/>
  <c r="S33" i="5"/>
  <c r="Q33" i="5"/>
  <c r="R33" i="5"/>
  <c r="S32" i="5"/>
  <c r="Q32" i="5"/>
  <c r="R32" i="5"/>
  <c r="O31" i="5"/>
  <c r="S34" i="6"/>
  <c r="R34" i="6"/>
  <c r="Q34" i="6"/>
  <c r="S32" i="6"/>
  <c r="R32" i="6"/>
  <c r="Q32" i="6"/>
  <c r="S32" i="8"/>
  <c r="R32" i="8"/>
  <c r="Q32" i="8"/>
  <c r="S33" i="10"/>
  <c r="Q33" i="10"/>
  <c r="Q32" i="10"/>
  <c r="S32" i="10"/>
  <c r="L31" i="7"/>
  <c r="L32" i="7"/>
  <c r="L33" i="7"/>
  <c r="L34" i="7"/>
  <c r="L34" i="4"/>
  <c r="L33" i="4"/>
  <c r="L32" i="4"/>
  <c r="L31" i="4"/>
  <c r="L35" i="7"/>
  <c r="W63" i="7" a="1"/>
  <c r="W65" i="7" a="1"/>
  <c r="W66" i="7" a="1"/>
  <c r="W67" i="7" a="1"/>
  <c r="W68" i="7" a="1"/>
  <c r="W69" i="7" a="1"/>
  <c r="W70" i="7" a="1"/>
  <c r="W71" i="7" a="1"/>
  <c r="W72" i="7" a="1"/>
  <c r="W73" i="7" a="1"/>
  <c r="W74" i="7" a="1"/>
  <c r="W75" i="7" a="1"/>
  <c r="W76" i="7" a="1"/>
  <c r="W77" i="7" a="1"/>
  <c r="W78" i="7" a="1"/>
  <c r="W79" i="7" a="1"/>
  <c r="W80" i="7" a="1"/>
  <c r="W81" i="7" a="1"/>
  <c r="W82" i="7" a="1"/>
  <c r="W83" i="7" a="1"/>
  <c r="W84" i="7" a="1"/>
  <c r="W85" i="7" a="1"/>
  <c r="W86" i="7" a="1"/>
  <c r="W87" i="7" a="1"/>
  <c r="W88" i="7" a="1"/>
  <c r="W89" i="7" a="1"/>
  <c r="W90" i="7" a="1"/>
  <c r="W91" i="7" a="1"/>
  <c r="W92" i="7" a="1"/>
  <c r="W93" i="7" a="1"/>
  <c r="W94" i="7" a="1"/>
  <c r="W95" i="7" a="1"/>
  <c r="W96" i="7" a="1"/>
  <c r="W98" i="7" a="1"/>
  <c r="W101" i="7" a="1"/>
  <c r="W103" i="7" a="1"/>
  <c r="W105" i="7" a="1"/>
  <c r="W106" i="7" a="1"/>
  <c r="O28" i="7"/>
  <c r="O24" i="7"/>
  <c r="O21" i="7"/>
  <c r="O20" i="7"/>
  <c r="O12" i="7"/>
  <c r="O10" i="7"/>
  <c r="O3" i="7"/>
  <c r="O33" i="4"/>
  <c r="O24" i="4"/>
  <c r="O23" i="4"/>
  <c r="O21" i="4"/>
  <c r="O20" i="4"/>
  <c r="O16" i="4"/>
  <c r="O15" i="4"/>
  <c r="O14" i="4"/>
  <c r="O11" i="4"/>
  <c r="O9" i="4"/>
  <c r="O4" i="4"/>
  <c r="S104" i="7"/>
  <c r="R102" i="7"/>
  <c r="S100" i="7"/>
  <c r="Q106" i="4"/>
  <c r="Q87" i="4"/>
  <c r="R64" i="7"/>
  <c r="S87" i="4"/>
  <c r="O3" i="4"/>
  <c r="R64" i="4"/>
  <c r="N97" i="7"/>
  <c r="L97" i="7"/>
  <c r="J97" i="7"/>
  <c r="W97" i="7" s="1" a="1"/>
  <c r="O29" i="7"/>
  <c r="O26" i="7"/>
  <c r="O15" i="7"/>
  <c r="O9" i="7"/>
  <c r="O8" i="7"/>
  <c r="O6" i="7"/>
  <c r="O31" i="4"/>
  <c r="O30" i="4"/>
  <c r="O29" i="4"/>
  <c r="O18" i="4"/>
  <c r="O12" i="4"/>
  <c r="O8" i="4"/>
  <c r="O7" i="4"/>
  <c r="O6" i="4"/>
  <c r="O5" i="4"/>
  <c r="R99" i="7"/>
  <c r="T99" i="7" s="1"/>
  <c r="S88" i="4"/>
  <c r="S64" i="7"/>
  <c r="S64" i="4"/>
  <c r="I97" i="7"/>
  <c r="N32" i="7"/>
  <c r="O19" i="7"/>
  <c r="O17" i="7"/>
  <c r="O16" i="7"/>
  <c r="O32" i="4"/>
  <c r="O17" i="4"/>
  <c r="Q64" i="4"/>
  <c r="O30" i="7"/>
  <c r="O27" i="7"/>
  <c r="O23" i="7"/>
  <c r="O11" i="7"/>
  <c r="O5" i="7"/>
  <c r="O34" i="4"/>
  <c r="O27" i="4"/>
  <c r="O26" i="4"/>
  <c r="O25" i="4"/>
  <c r="O19" i="4"/>
  <c r="R104" i="7"/>
  <c r="S102" i="7"/>
  <c r="R100" i="7"/>
  <c r="T100" i="7" s="1"/>
  <c r="S106" i="4"/>
  <c r="J10" i="3"/>
  <c r="M63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101" i="3"/>
  <c r="M103" i="3"/>
  <c r="M105" i="3"/>
  <c r="M106" i="3"/>
  <c r="W63" i="4" a="1"/>
  <c r="J63" i="3" s="1"/>
  <c r="W65" i="4" a="1"/>
  <c r="J65" i="3" s="1"/>
  <c r="W66" i="4" a="1"/>
  <c r="J66" i="3" s="1"/>
  <c r="W67" i="4" a="1"/>
  <c r="J67" i="3" s="1"/>
  <c r="W68" i="4" a="1"/>
  <c r="J68" i="3" s="1"/>
  <c r="W69" i="4" a="1"/>
  <c r="J69" i="3" s="1"/>
  <c r="W70" i="4" a="1"/>
  <c r="J70" i="3" s="1"/>
  <c r="W71" i="4" a="1"/>
  <c r="J71" i="3" s="1"/>
  <c r="W72" i="4" a="1"/>
  <c r="J72" i="3" s="1"/>
  <c r="W73" i="4" a="1"/>
  <c r="J73" i="3" s="1"/>
  <c r="W74" i="4" a="1"/>
  <c r="J74" i="3" s="1"/>
  <c r="W75" i="4" a="1"/>
  <c r="J75" i="3" s="1"/>
  <c r="W76" i="4" a="1"/>
  <c r="J76" i="3" s="1"/>
  <c r="W77" i="4" a="1"/>
  <c r="J77" i="3" s="1"/>
  <c r="W78" i="4" a="1"/>
  <c r="J78" i="3" s="1"/>
  <c r="W79" i="4" a="1"/>
  <c r="J79" i="3" s="1"/>
  <c r="W80" i="4" a="1"/>
  <c r="J80" i="3" s="1"/>
  <c r="W81" i="4" a="1"/>
  <c r="J81" i="3" s="1"/>
  <c r="W82" i="4" a="1"/>
  <c r="J82" i="3" s="1"/>
  <c r="W83" i="4" a="1"/>
  <c r="J83" i="3" s="1"/>
  <c r="W84" i="4" a="1"/>
  <c r="J84" i="3" s="1"/>
  <c r="W85" i="4" a="1"/>
  <c r="J85" i="3" s="1"/>
  <c r="W86" i="4" a="1"/>
  <c r="J86" i="3" s="1"/>
  <c r="W89" i="4" a="1"/>
  <c r="J89" i="3" s="1"/>
  <c r="W90" i="4" a="1"/>
  <c r="J90" i="3" s="1"/>
  <c r="W91" i="4" a="1"/>
  <c r="J91" i="3" s="1"/>
  <c r="W92" i="4" a="1"/>
  <c r="J92" i="3" s="1"/>
  <c r="W93" i="4" a="1"/>
  <c r="J93" i="3" s="1"/>
  <c r="W94" i="4" a="1"/>
  <c r="J94" i="3" s="1"/>
  <c r="W95" i="4" a="1"/>
  <c r="J95" i="3" s="1"/>
  <c r="W96" i="4" a="1"/>
  <c r="J96" i="3" s="1"/>
  <c r="W97" i="4" a="1"/>
  <c r="J97" i="3" s="1"/>
  <c r="W98" i="4" a="1"/>
  <c r="J98" i="3" s="1"/>
  <c r="W99" i="4" a="1"/>
  <c r="J99" i="3" s="1"/>
  <c r="W100" i="4" a="1"/>
  <c r="J100" i="3" s="1"/>
  <c r="W101" i="4" a="1"/>
  <c r="J101" i="3" s="1"/>
  <c r="W102" i="4" a="1"/>
  <c r="J102" i="3" s="1"/>
  <c r="W103" i="4" a="1"/>
  <c r="J103" i="3" s="1"/>
  <c r="W104" i="4" a="1"/>
  <c r="J104" i="3" s="1"/>
  <c r="W105" i="4" a="1"/>
  <c r="J105" i="3" s="1"/>
  <c r="S30" i="7"/>
  <c r="R30" i="7"/>
  <c r="Q30" i="7"/>
  <c r="S29" i="7"/>
  <c r="R29" i="7"/>
  <c r="Q29" i="7"/>
  <c r="Q32" i="7"/>
  <c r="S3" i="7"/>
  <c r="R22" i="7"/>
  <c r="R17" i="7"/>
  <c r="Q17" i="7"/>
  <c r="R16" i="7"/>
  <c r="S10" i="7"/>
  <c r="R9" i="7"/>
  <c r="R8" i="7"/>
  <c r="Q8" i="7"/>
  <c r="R7" i="7"/>
  <c r="Q6" i="7"/>
  <c r="Q5" i="7"/>
  <c r="Q4" i="7"/>
  <c r="T29" i="7"/>
  <c r="R20" i="7"/>
  <c r="R18" i="7"/>
  <c r="S21" i="7"/>
  <c r="S19" i="7"/>
  <c r="Q19" i="7"/>
  <c r="R19" i="7"/>
  <c r="S15" i="7"/>
  <c r="Q12" i="7"/>
  <c r="S12" i="7"/>
  <c r="T87" i="4"/>
  <c r="U87" i="4" s="1"/>
  <c r="R32" i="7"/>
  <c r="R3" i="7"/>
  <c r="S22" i="7"/>
  <c r="S17" i="7"/>
  <c r="Q16" i="7"/>
  <c r="Q10" i="7"/>
  <c r="Q9" i="7"/>
  <c r="S7" i="7"/>
  <c r="R6" i="7"/>
  <c r="R5" i="7"/>
  <c r="R4" i="7"/>
  <c r="U100" i="7"/>
  <c r="Q20" i="7"/>
  <c r="Q18" i="7"/>
  <c r="T13" i="4"/>
  <c r="Q21" i="7"/>
  <c r="Q15" i="7"/>
  <c r="Q14" i="7"/>
  <c r="R14" i="7"/>
  <c r="S14" i="7"/>
  <c r="R13" i="7"/>
  <c r="Q13" i="7"/>
  <c r="S13" i="7"/>
  <c r="R12" i="7"/>
  <c r="Q11" i="7"/>
  <c r="R11" i="7"/>
  <c r="S11" i="7"/>
  <c r="S32" i="7"/>
  <c r="Q3" i="7"/>
  <c r="Q22" i="7"/>
  <c r="S16" i="7"/>
  <c r="R10" i="7"/>
  <c r="S9" i="7"/>
  <c r="S8" i="7"/>
  <c r="Q7" i="7"/>
  <c r="S6" i="7"/>
  <c r="S5" i="7"/>
  <c r="S4" i="7"/>
  <c r="U99" i="7"/>
  <c r="T17" i="7"/>
  <c r="T9" i="7"/>
  <c r="T7" i="7"/>
  <c r="T4" i="7"/>
  <c r="T3" i="7"/>
  <c r="T22" i="7"/>
  <c r="S20" i="7"/>
  <c r="S18" i="7"/>
  <c r="R21" i="7"/>
  <c r="J22" i="3"/>
  <c r="R15" i="7"/>
  <c r="T19" i="7"/>
  <c r="T11" i="7"/>
  <c r="G30" i="10"/>
  <c r="G30" i="9"/>
  <c r="G28" i="9"/>
  <c r="G28" i="8"/>
  <c r="G28" i="7"/>
  <c r="G28" i="5"/>
  <c r="G28" i="4"/>
  <c r="G28" i="6"/>
  <c r="G28" i="10"/>
  <c r="T29" i="10"/>
  <c r="S29" i="9"/>
  <c r="R30" i="8"/>
  <c r="S30" i="8"/>
  <c r="T30" i="8"/>
  <c r="U30" i="8"/>
  <c r="W30" i="8" a="1"/>
  <c r="N30" i="3" s="1"/>
  <c r="U29" i="8"/>
  <c r="W29" i="8" a="1"/>
  <c r="N29" i="3" s="1"/>
  <c r="S28" i="8"/>
  <c r="R28" i="8"/>
  <c r="Q28" i="8"/>
  <c r="T30" i="6"/>
  <c r="T29" i="6"/>
  <c r="U29" i="6" s="1"/>
  <c r="S30" i="5"/>
  <c r="R30" i="5"/>
  <c r="Q30" i="5"/>
  <c r="T29" i="5"/>
  <c r="U29" i="5" s="1"/>
  <c r="W29" i="5" a="1"/>
  <c r="K29" i="3" s="1"/>
  <c r="G27" i="10"/>
  <c r="G27" i="9"/>
  <c r="G27" i="8"/>
  <c r="G27" i="6"/>
  <c r="G27" i="4"/>
  <c r="G27" i="7"/>
  <c r="G27" i="5"/>
  <c r="G26" i="4"/>
  <c r="G26" i="8"/>
  <c r="G26" i="9"/>
  <c r="G26" i="10"/>
  <c r="G26" i="6"/>
  <c r="G26" i="7"/>
  <c r="Q26" i="7" s="1"/>
  <c r="G26" i="5"/>
  <c r="G25" i="9"/>
  <c r="G25" i="7"/>
  <c r="G25" i="6"/>
  <c r="G25" i="4"/>
  <c r="G25" i="5"/>
  <c r="G25" i="10"/>
  <c r="G25" i="8"/>
  <c r="G24" i="8"/>
  <c r="G24" i="5"/>
  <c r="G24" i="9"/>
  <c r="G24" i="7"/>
  <c r="G24" i="6"/>
  <c r="G24" i="10"/>
  <c r="G23" i="10"/>
  <c r="G23" i="9"/>
  <c r="G23" i="8"/>
  <c r="G23" i="6"/>
  <c r="G23" i="7"/>
  <c r="G23" i="5"/>
  <c r="G23" i="4"/>
  <c r="Q25" i="10"/>
  <c r="S25" i="10"/>
  <c r="R25" i="10"/>
  <c r="Q24" i="4"/>
  <c r="R24" i="4"/>
  <c r="S24" i="4"/>
  <c r="T60" i="9" l="1"/>
  <c r="R61" i="6"/>
  <c r="Q61" i="6"/>
  <c r="S61" i="6"/>
  <c r="S61" i="4"/>
  <c r="Q61" i="4"/>
  <c r="R61" i="4"/>
  <c r="S58" i="6"/>
  <c r="R58" i="6"/>
  <c r="Q58" i="6"/>
  <c r="S62" i="5"/>
  <c r="R62" i="5"/>
  <c r="T62" i="5" s="1"/>
  <c r="T62" i="6"/>
  <c r="S61" i="9"/>
  <c r="Q61" i="9"/>
  <c r="R61" i="9"/>
  <c r="Q61" i="8"/>
  <c r="R61" i="8"/>
  <c r="S61" i="8"/>
  <c r="R61" i="10"/>
  <c r="S61" i="10"/>
  <c r="Q61" i="10"/>
  <c r="R61" i="5"/>
  <c r="Q61" i="5"/>
  <c r="S61" i="5"/>
  <c r="T61" i="7"/>
  <c r="T60" i="10"/>
  <c r="T59" i="5"/>
  <c r="S59" i="10"/>
  <c r="R59" i="10"/>
  <c r="Q59" i="10"/>
  <c r="T59" i="6"/>
  <c r="T59" i="4"/>
  <c r="S57" i="9"/>
  <c r="S58" i="7"/>
  <c r="R58" i="7"/>
  <c r="Q58" i="7"/>
  <c r="Q58" i="10"/>
  <c r="S58" i="10"/>
  <c r="R58" i="10"/>
  <c r="S58" i="8"/>
  <c r="Q58" i="8"/>
  <c r="R58" i="8"/>
  <c r="Q58" i="9"/>
  <c r="S58" i="9"/>
  <c r="R58" i="9"/>
  <c r="T58" i="7"/>
  <c r="T58" i="4"/>
  <c r="T57" i="6"/>
  <c r="R57" i="9"/>
  <c r="Q57" i="9"/>
  <c r="T57" i="9" s="1"/>
  <c r="T57" i="10"/>
  <c r="T57" i="5"/>
  <c r="T57" i="8"/>
  <c r="R59" i="8"/>
  <c r="Q59" i="8"/>
  <c r="S59" i="8"/>
  <c r="Q59" i="9"/>
  <c r="R59" i="9"/>
  <c r="S59" i="9"/>
  <c r="Q59" i="7"/>
  <c r="R59" i="7"/>
  <c r="S59" i="7"/>
  <c r="Q60" i="8"/>
  <c r="R60" i="8"/>
  <c r="S60" i="8"/>
  <c r="Q60" i="7"/>
  <c r="R60" i="7"/>
  <c r="S60" i="7"/>
  <c r="R60" i="5"/>
  <c r="Q60" i="5"/>
  <c r="S60" i="5"/>
  <c r="Q60" i="6"/>
  <c r="R60" i="6"/>
  <c r="S60" i="6"/>
  <c r="Q60" i="4"/>
  <c r="R60" i="4"/>
  <c r="S60" i="4"/>
  <c r="R62" i="10"/>
  <c r="Q62" i="10"/>
  <c r="S62" i="10"/>
  <c r="R62" i="9"/>
  <c r="Q62" i="9"/>
  <c r="S62" i="9"/>
  <c r="S62" i="8"/>
  <c r="Q62" i="8"/>
  <c r="R62" i="8"/>
  <c r="Q62" i="7"/>
  <c r="R62" i="7"/>
  <c r="S62" i="7"/>
  <c r="U62" i="5"/>
  <c r="W62" i="5" a="1"/>
  <c r="K62" i="3" s="1"/>
  <c r="T62" i="4"/>
  <c r="U62" i="6"/>
  <c r="T58" i="5"/>
  <c r="W62" i="6" a="1"/>
  <c r="L62" i="3" s="1"/>
  <c r="T57" i="7"/>
  <c r="S56" i="9"/>
  <c r="R56" i="9"/>
  <c r="Q56" i="9"/>
  <c r="R56" i="7"/>
  <c r="S56" i="5"/>
  <c r="Q56" i="5"/>
  <c r="R56" i="5"/>
  <c r="S56" i="8"/>
  <c r="R56" i="8"/>
  <c r="Q56" i="8"/>
  <c r="S56" i="6"/>
  <c r="R56" i="6"/>
  <c r="Q56" i="6"/>
  <c r="R56" i="10"/>
  <c r="Q56" i="10"/>
  <c r="S56" i="10"/>
  <c r="Q56" i="7"/>
  <c r="S55" i="9"/>
  <c r="R55" i="7"/>
  <c r="T55" i="6"/>
  <c r="T56" i="9"/>
  <c r="T55" i="9"/>
  <c r="T56" i="6"/>
  <c r="R54" i="5"/>
  <c r="Q54" i="5"/>
  <c r="T54" i="9"/>
  <c r="S54" i="8"/>
  <c r="R54" i="8"/>
  <c r="Q54" i="8"/>
  <c r="S54" i="6"/>
  <c r="R54" i="6"/>
  <c r="Q54" i="6"/>
  <c r="S54" i="10"/>
  <c r="Q54" i="10"/>
  <c r="R54" i="10"/>
  <c r="Q54" i="7"/>
  <c r="S54" i="7"/>
  <c r="R54" i="7"/>
  <c r="S54" i="5"/>
  <c r="S53" i="9"/>
  <c r="R53" i="9"/>
  <c r="Q53" i="9"/>
  <c r="T53" i="6"/>
  <c r="S52" i="9"/>
  <c r="Q57" i="4"/>
  <c r="R57" i="4"/>
  <c r="S57" i="4"/>
  <c r="U57" i="10"/>
  <c r="U57" i="5"/>
  <c r="U57" i="6"/>
  <c r="T51" i="6"/>
  <c r="R50" i="10"/>
  <c r="S50" i="10"/>
  <c r="T52" i="9"/>
  <c r="T51" i="9"/>
  <c r="T55" i="5"/>
  <c r="T52" i="5"/>
  <c r="T53" i="5"/>
  <c r="S50" i="4"/>
  <c r="U55" i="6"/>
  <c r="T52" i="6"/>
  <c r="Q56" i="4"/>
  <c r="R56" i="4"/>
  <c r="S56" i="4"/>
  <c r="Q55" i="4"/>
  <c r="R55" i="4"/>
  <c r="S55" i="4"/>
  <c r="Q54" i="4"/>
  <c r="R54" i="4"/>
  <c r="S54" i="4"/>
  <c r="Q53" i="4"/>
  <c r="R53" i="4"/>
  <c r="S53" i="4"/>
  <c r="Q52" i="4"/>
  <c r="R52" i="4"/>
  <c r="S52" i="4"/>
  <c r="Q51" i="4"/>
  <c r="R51" i="4"/>
  <c r="S51" i="4"/>
  <c r="U52" i="9"/>
  <c r="O52" i="3" s="1"/>
  <c r="U55" i="5"/>
  <c r="W55" i="5" s="1" a="1"/>
  <c r="T51" i="5"/>
  <c r="U51" i="5" s="1"/>
  <c r="T55" i="8"/>
  <c r="T53" i="8"/>
  <c r="T52" i="8"/>
  <c r="T51" i="8"/>
  <c r="W55" i="6" a="1"/>
  <c r="T52" i="10"/>
  <c r="T55" i="10"/>
  <c r="T51" i="10"/>
  <c r="T53" i="10"/>
  <c r="T55" i="7"/>
  <c r="T53" i="7"/>
  <c r="T52" i="7"/>
  <c r="T51" i="7"/>
  <c r="U55" i="7"/>
  <c r="Q50" i="9"/>
  <c r="S50" i="9"/>
  <c r="R50" i="9"/>
  <c r="R50" i="8"/>
  <c r="Q50" i="8"/>
  <c r="S50" i="8"/>
  <c r="S50" i="7"/>
  <c r="Q50" i="7"/>
  <c r="R50" i="7"/>
  <c r="S50" i="5"/>
  <c r="Q50" i="5"/>
  <c r="R50" i="5"/>
  <c r="Q50" i="6"/>
  <c r="S50" i="6"/>
  <c r="R50" i="6"/>
  <c r="Q50" i="4"/>
  <c r="R50" i="4"/>
  <c r="T50" i="10"/>
  <c r="S49" i="10"/>
  <c r="Q49" i="10"/>
  <c r="R49" i="10"/>
  <c r="R49" i="9"/>
  <c r="Q49" i="9"/>
  <c r="S49" i="9"/>
  <c r="S49" i="8"/>
  <c r="Q49" i="8"/>
  <c r="R49" i="8"/>
  <c r="W49" i="7" a="1"/>
  <c r="M49" i="3" s="1"/>
  <c r="Q47" i="10"/>
  <c r="R47" i="10"/>
  <c r="S47" i="10"/>
  <c r="Q47" i="9"/>
  <c r="R47" i="9"/>
  <c r="S47" i="9"/>
  <c r="R47" i="7"/>
  <c r="S47" i="7"/>
  <c r="Q47" i="7"/>
  <c r="S47" i="5"/>
  <c r="Q47" i="5"/>
  <c r="R47" i="5"/>
  <c r="Q47" i="8"/>
  <c r="R47" i="8"/>
  <c r="S47" i="8"/>
  <c r="Q47" i="6"/>
  <c r="R47" i="6"/>
  <c r="S47" i="6"/>
  <c r="Q47" i="4"/>
  <c r="S47" i="4"/>
  <c r="R47" i="4"/>
  <c r="W48" i="10" a="1"/>
  <c r="P48" i="3" s="1"/>
  <c r="U48" i="7"/>
  <c r="W48" i="7" a="1"/>
  <c r="M48" i="3" s="1"/>
  <c r="U49" i="6"/>
  <c r="W49" i="6" a="1"/>
  <c r="L49" i="3" s="1"/>
  <c r="W49" i="4" a="1"/>
  <c r="J49" i="3" s="1"/>
  <c r="U48" i="4"/>
  <c r="Q46" i="10"/>
  <c r="R46" i="10"/>
  <c r="S46" i="10"/>
  <c r="Q46" i="9"/>
  <c r="R46" i="9"/>
  <c r="S46" i="9"/>
  <c r="S46" i="7"/>
  <c r="Q46" i="7"/>
  <c r="R46" i="7"/>
  <c r="Q46" i="8"/>
  <c r="R46" i="8"/>
  <c r="S46" i="8"/>
  <c r="S46" i="6"/>
  <c r="R46" i="6"/>
  <c r="Q46" i="6"/>
  <c r="Q46" i="5"/>
  <c r="R46" i="5"/>
  <c r="S46" i="5"/>
  <c r="S46" i="4"/>
  <c r="R46" i="4"/>
  <c r="Q46" i="4"/>
  <c r="Q45" i="10"/>
  <c r="R45" i="10"/>
  <c r="S45" i="10"/>
  <c r="Q45" i="8"/>
  <c r="R45" i="8"/>
  <c r="S45" i="8"/>
  <c r="Q45" i="7"/>
  <c r="R45" i="7"/>
  <c r="S45" i="7"/>
  <c r="Q45" i="5"/>
  <c r="R45" i="5"/>
  <c r="S45" i="5"/>
  <c r="Q45" i="9"/>
  <c r="R45" i="9"/>
  <c r="S45" i="9"/>
  <c r="Q45" i="6"/>
  <c r="R45" i="6"/>
  <c r="S45" i="6"/>
  <c r="Q45" i="4"/>
  <c r="R45" i="4"/>
  <c r="S45" i="4"/>
  <c r="Q44" i="10"/>
  <c r="R44" i="10"/>
  <c r="S44" i="10"/>
  <c r="Q44" i="8"/>
  <c r="R44" i="8"/>
  <c r="S44" i="8"/>
  <c r="S44" i="7"/>
  <c r="Q44" i="7"/>
  <c r="R44" i="7"/>
  <c r="R44" i="6"/>
  <c r="Q44" i="6"/>
  <c r="S44" i="6"/>
  <c r="R44" i="5"/>
  <c r="Q44" i="5"/>
  <c r="S44" i="5"/>
  <c r="R44" i="4"/>
  <c r="S44" i="4"/>
  <c r="Q44" i="4"/>
  <c r="T44" i="9"/>
  <c r="U43" i="5"/>
  <c r="Q43" i="9"/>
  <c r="R43" i="9"/>
  <c r="S43" i="9"/>
  <c r="S43" i="7"/>
  <c r="Q43" i="7"/>
  <c r="R43" i="7"/>
  <c r="Q43" i="10"/>
  <c r="R43" i="10"/>
  <c r="S43" i="10"/>
  <c r="Q43" i="8"/>
  <c r="R43" i="8"/>
  <c r="S43" i="8"/>
  <c r="Q43" i="6"/>
  <c r="R43" i="6"/>
  <c r="S43" i="6"/>
  <c r="T43" i="6"/>
  <c r="W43" i="5" a="1"/>
  <c r="K43" i="3" s="1"/>
  <c r="U43" i="4"/>
  <c r="S42" i="10"/>
  <c r="Q42" i="7"/>
  <c r="R42" i="7"/>
  <c r="S42" i="7"/>
  <c r="R42" i="5"/>
  <c r="Q42" i="5"/>
  <c r="Q42" i="4"/>
  <c r="R42" i="4"/>
  <c r="S42" i="4"/>
  <c r="Q42" i="6"/>
  <c r="R42" i="6"/>
  <c r="S42" i="6"/>
  <c r="S41" i="4"/>
  <c r="Q41" i="10"/>
  <c r="R41" i="10"/>
  <c r="S41" i="10"/>
  <c r="Q41" i="8"/>
  <c r="R41" i="8"/>
  <c r="S41" i="8"/>
  <c r="Q41" i="6"/>
  <c r="R41" i="6"/>
  <c r="S41" i="6"/>
  <c r="R41" i="5"/>
  <c r="S41" i="5"/>
  <c r="Q41" i="5"/>
  <c r="Q41" i="4"/>
  <c r="R41" i="4"/>
  <c r="Q41" i="9"/>
  <c r="R41" i="9"/>
  <c r="S41" i="9"/>
  <c r="R41" i="7"/>
  <c r="Q41" i="7"/>
  <c r="S41" i="7"/>
  <c r="Q40" i="9"/>
  <c r="R40" i="9"/>
  <c r="S40" i="9"/>
  <c r="Q40" i="8"/>
  <c r="R40" i="8"/>
  <c r="S40" i="8"/>
  <c r="S40" i="7"/>
  <c r="Q40" i="7"/>
  <c r="R40" i="7"/>
  <c r="Q40" i="5"/>
  <c r="R40" i="5"/>
  <c r="S40" i="5"/>
  <c r="Q40" i="6"/>
  <c r="R40" i="6"/>
  <c r="S40" i="6"/>
  <c r="T42" i="10"/>
  <c r="T40" i="10"/>
  <c r="T42" i="9"/>
  <c r="T42" i="8"/>
  <c r="U42" i="8"/>
  <c r="W42" i="8" a="1"/>
  <c r="N42" i="3" s="1"/>
  <c r="T42" i="5"/>
  <c r="U42" i="5" s="1"/>
  <c r="T41" i="4"/>
  <c r="T40" i="4"/>
  <c r="S39" i="10"/>
  <c r="R39" i="10"/>
  <c r="Q39" i="10"/>
  <c r="Q39" i="9"/>
  <c r="S39" i="9"/>
  <c r="R39" i="9"/>
  <c r="R39" i="8"/>
  <c r="Q39" i="8"/>
  <c r="S39" i="8"/>
  <c r="Q39" i="7"/>
  <c r="R39" i="7"/>
  <c r="S39" i="7"/>
  <c r="Q39" i="6"/>
  <c r="R39" i="6"/>
  <c r="S39" i="6"/>
  <c r="U39" i="4"/>
  <c r="U39" i="5"/>
  <c r="R38" i="4"/>
  <c r="R38" i="5"/>
  <c r="S38" i="4"/>
  <c r="S38" i="5"/>
  <c r="Q38" i="5"/>
  <c r="R38" i="6"/>
  <c r="Q38" i="6"/>
  <c r="S38" i="6"/>
  <c r="Q38" i="8"/>
  <c r="R38" i="8"/>
  <c r="S38" i="8"/>
  <c r="S38" i="10"/>
  <c r="Q38" i="10"/>
  <c r="R38" i="10"/>
  <c r="Q38" i="9"/>
  <c r="R38" i="9"/>
  <c r="S38" i="9"/>
  <c r="Q38" i="7"/>
  <c r="R38" i="7"/>
  <c r="S38" i="7"/>
  <c r="Q37" i="10"/>
  <c r="R37" i="10"/>
  <c r="S37" i="10"/>
  <c r="Q37" i="9"/>
  <c r="R37" i="9"/>
  <c r="S37" i="9"/>
  <c r="Q37" i="8"/>
  <c r="R37" i="8"/>
  <c r="S37" i="8"/>
  <c r="S37" i="7"/>
  <c r="R37" i="7"/>
  <c r="Q37" i="7"/>
  <c r="R37" i="6"/>
  <c r="S37" i="6"/>
  <c r="Q37" i="6"/>
  <c r="R37" i="5"/>
  <c r="S37" i="5"/>
  <c r="Q37" i="5"/>
  <c r="Q37" i="4"/>
  <c r="R37" i="4"/>
  <c r="S37" i="4"/>
  <c r="Q36" i="10"/>
  <c r="S36" i="10"/>
  <c r="R36" i="10"/>
  <c r="S36" i="8"/>
  <c r="Q36" i="8"/>
  <c r="R36" i="8"/>
  <c r="Q36" i="7"/>
  <c r="R36" i="7"/>
  <c r="S36" i="7"/>
  <c r="Q36" i="6"/>
  <c r="R36" i="6"/>
  <c r="S36" i="6"/>
  <c r="Q36" i="5"/>
  <c r="R36" i="5"/>
  <c r="S36" i="5"/>
  <c r="Q36" i="9"/>
  <c r="R36" i="9"/>
  <c r="S36" i="9"/>
  <c r="Q36" i="4"/>
  <c r="R36" i="4"/>
  <c r="S36" i="4"/>
  <c r="S35" i="5"/>
  <c r="Q35" i="5"/>
  <c r="T35" i="5" s="1"/>
  <c r="R35" i="5"/>
  <c r="Q35" i="7"/>
  <c r="R35" i="7"/>
  <c r="S35" i="7"/>
  <c r="Q35" i="6"/>
  <c r="S35" i="6"/>
  <c r="R35" i="6"/>
  <c r="R35" i="4"/>
  <c r="Q35" i="4"/>
  <c r="S35" i="4"/>
  <c r="Q35" i="10"/>
  <c r="S35" i="10"/>
  <c r="R35" i="10"/>
  <c r="Q35" i="8"/>
  <c r="R35" i="8"/>
  <c r="S35" i="8"/>
  <c r="U35" i="5"/>
  <c r="W35" i="5" a="1"/>
  <c r="K35" i="3" s="1"/>
  <c r="T35" i="9"/>
  <c r="Q34" i="9"/>
  <c r="R34" i="9"/>
  <c r="S34" i="9"/>
  <c r="Q34" i="8"/>
  <c r="R34" i="8"/>
  <c r="S34" i="8"/>
  <c r="R34" i="5"/>
  <c r="Q34" i="5"/>
  <c r="S34" i="10"/>
  <c r="R34" i="10"/>
  <c r="Q34" i="10"/>
  <c r="R34" i="7"/>
  <c r="Q34" i="7"/>
  <c r="S34" i="7"/>
  <c r="Q33" i="8"/>
  <c r="S33" i="8"/>
  <c r="R33" i="8"/>
  <c r="R33" i="10"/>
  <c r="U33" i="6"/>
  <c r="W33" i="6" s="1" a="1"/>
  <c r="L33" i="3" s="1"/>
  <c r="R33" i="9"/>
  <c r="Q33" i="9"/>
  <c r="S33" i="9"/>
  <c r="T33" i="10"/>
  <c r="S33" i="7"/>
  <c r="R33" i="7"/>
  <c r="Q33" i="7"/>
  <c r="S32" i="9"/>
  <c r="R32" i="9"/>
  <c r="Q32" i="9"/>
  <c r="T32" i="10"/>
  <c r="U32" i="10" s="1"/>
  <c r="Q31" i="5"/>
  <c r="R31" i="5"/>
  <c r="S31" i="5"/>
  <c r="S31" i="6"/>
  <c r="Q31" i="6"/>
  <c r="R31" i="6"/>
  <c r="Q31" i="9"/>
  <c r="R31" i="9"/>
  <c r="S31" i="9"/>
  <c r="Q31" i="8"/>
  <c r="S31" i="8"/>
  <c r="R31" i="8"/>
  <c r="S31" i="10"/>
  <c r="R31" i="10"/>
  <c r="Q31" i="10"/>
  <c r="S31" i="7"/>
  <c r="Q31" i="7"/>
  <c r="R31" i="7"/>
  <c r="T33" i="5"/>
  <c r="T32" i="5"/>
  <c r="T31" i="5"/>
  <c r="U31" i="5" s="1"/>
  <c r="T34" i="6"/>
  <c r="U34" i="6" s="1"/>
  <c r="T32" i="6"/>
  <c r="U32" i="6" s="1"/>
  <c r="T32" i="8"/>
  <c r="U33" i="10"/>
  <c r="T31" i="7"/>
  <c r="R33" i="4"/>
  <c r="Q33" i="4"/>
  <c r="S33" i="4"/>
  <c r="Q21" i="4"/>
  <c r="R21" i="4"/>
  <c r="S21" i="4"/>
  <c r="S20" i="4"/>
  <c r="Q20" i="4"/>
  <c r="R20" i="4"/>
  <c r="Q16" i="4"/>
  <c r="R16" i="4"/>
  <c r="S16" i="4"/>
  <c r="R15" i="4"/>
  <c r="S15" i="4"/>
  <c r="Q15" i="4"/>
  <c r="S14" i="4"/>
  <c r="Q14" i="4"/>
  <c r="R14" i="4"/>
  <c r="Q11" i="4"/>
  <c r="S11" i="4"/>
  <c r="R11" i="4"/>
  <c r="Q9" i="4"/>
  <c r="R9" i="4"/>
  <c r="S9" i="4"/>
  <c r="Q4" i="4"/>
  <c r="S4" i="4"/>
  <c r="R4" i="4"/>
  <c r="T102" i="7"/>
  <c r="U102" i="7"/>
  <c r="T106" i="4"/>
  <c r="R3" i="4"/>
  <c r="S3" i="4"/>
  <c r="Q3" i="4"/>
  <c r="Q31" i="4"/>
  <c r="S31" i="4"/>
  <c r="R31" i="4"/>
  <c r="Q30" i="4"/>
  <c r="S30" i="4"/>
  <c r="R30" i="4"/>
  <c r="Q29" i="4"/>
  <c r="R29" i="4"/>
  <c r="S29" i="4"/>
  <c r="R18" i="4"/>
  <c r="Q18" i="4"/>
  <c r="S18" i="4"/>
  <c r="R12" i="4"/>
  <c r="S12" i="4"/>
  <c r="Q12" i="4"/>
  <c r="S8" i="4"/>
  <c r="Q8" i="4"/>
  <c r="R8" i="4"/>
  <c r="R7" i="4"/>
  <c r="Q7" i="4"/>
  <c r="S7" i="4"/>
  <c r="R6" i="4"/>
  <c r="Q6" i="4"/>
  <c r="S6" i="4"/>
  <c r="R5" i="4"/>
  <c r="Q5" i="4"/>
  <c r="S5" i="4"/>
  <c r="T88" i="4"/>
  <c r="Q32" i="4"/>
  <c r="S32" i="4"/>
  <c r="R32" i="4"/>
  <c r="Q17" i="4"/>
  <c r="R17" i="4"/>
  <c r="S17" i="4"/>
  <c r="T17" i="4"/>
  <c r="T64" i="4"/>
  <c r="R34" i="4"/>
  <c r="Q34" i="4"/>
  <c r="S34" i="4"/>
  <c r="S19" i="4"/>
  <c r="Q19" i="4"/>
  <c r="R19" i="4"/>
  <c r="T104" i="7"/>
  <c r="U104" i="7"/>
  <c r="W100" i="7" a="1"/>
  <c r="W99" i="7" a="1"/>
  <c r="W102" i="7" a="1"/>
  <c r="M102" i="3" s="1"/>
  <c r="T64" i="7"/>
  <c r="U64" i="7" s="1"/>
  <c r="S28" i="7"/>
  <c r="U17" i="7"/>
  <c r="W17" i="7" a="1"/>
  <c r="U4" i="7"/>
  <c r="U19" i="7"/>
  <c r="U9" i="7"/>
  <c r="U13" i="4"/>
  <c r="U11" i="7"/>
  <c r="W11" i="7" a="1"/>
  <c r="W3" i="7" a="1"/>
  <c r="U3" i="7"/>
  <c r="U22" i="7"/>
  <c r="U7" i="7"/>
  <c r="M100" i="3"/>
  <c r="T20" i="7"/>
  <c r="T18" i="7"/>
  <c r="T15" i="7"/>
  <c r="M99" i="3"/>
  <c r="W87" i="4" a="1"/>
  <c r="J87" i="3" s="1"/>
  <c r="T10" i="7"/>
  <c r="T32" i="7"/>
  <c r="T14" i="7"/>
  <c r="T12" i="7"/>
  <c r="T6" i="7"/>
  <c r="T16" i="7"/>
  <c r="T30" i="7"/>
  <c r="U29" i="7"/>
  <c r="T8" i="7"/>
  <c r="T5" i="7"/>
  <c r="T13" i="7"/>
  <c r="T21" i="7"/>
  <c r="R30" i="10"/>
  <c r="Q30" i="10"/>
  <c r="S30" i="10"/>
  <c r="Q30" i="9"/>
  <c r="R30" i="9"/>
  <c r="S30" i="9"/>
  <c r="U30" i="6"/>
  <c r="T30" i="10"/>
  <c r="W30" i="6" a="1"/>
  <c r="L30" i="3" s="1"/>
  <c r="W29" i="6" a="1"/>
  <c r="L29" i="3" s="1"/>
  <c r="Q28" i="9"/>
  <c r="R28" i="9"/>
  <c r="S28" i="9"/>
  <c r="Q28" i="5"/>
  <c r="R28" i="5"/>
  <c r="S28" i="5"/>
  <c r="Q28" i="4"/>
  <c r="R28" i="4"/>
  <c r="S28" i="4"/>
  <c r="R28" i="7"/>
  <c r="Q28" i="7"/>
  <c r="R28" i="6"/>
  <c r="S28" i="6"/>
  <c r="Q28" i="6"/>
  <c r="T28" i="5"/>
  <c r="U28" i="5" s="1"/>
  <c r="R28" i="10"/>
  <c r="S28" i="10"/>
  <c r="Q28" i="10"/>
  <c r="U29" i="10"/>
  <c r="W29" i="10" a="1"/>
  <c r="P29" i="3" s="1"/>
  <c r="T29" i="9"/>
  <c r="T28" i="8"/>
  <c r="U30" i="7"/>
  <c r="W29" i="7" a="1"/>
  <c r="M29" i="3" s="1"/>
  <c r="T30" i="5"/>
  <c r="U30" i="5"/>
  <c r="S27" i="10"/>
  <c r="Q27" i="10"/>
  <c r="R27" i="10"/>
  <c r="S27" i="9"/>
  <c r="Q27" i="9"/>
  <c r="R27" i="9"/>
  <c r="Q27" i="8"/>
  <c r="R27" i="8"/>
  <c r="S27" i="8"/>
  <c r="Q27" i="6"/>
  <c r="R27" i="6"/>
  <c r="S27" i="6"/>
  <c r="R27" i="4"/>
  <c r="Q27" i="4"/>
  <c r="S27" i="4"/>
  <c r="Q27" i="7"/>
  <c r="R27" i="7"/>
  <c r="S27" i="7"/>
  <c r="Q27" i="5"/>
  <c r="R27" i="5"/>
  <c r="S27" i="5"/>
  <c r="S26" i="7"/>
  <c r="R26" i="7"/>
  <c r="S26" i="4"/>
  <c r="Q26" i="4"/>
  <c r="R26" i="4"/>
  <c r="S26" i="8"/>
  <c r="R26" i="8"/>
  <c r="Q26" i="8"/>
  <c r="S26" i="9"/>
  <c r="R26" i="9"/>
  <c r="Q26" i="9"/>
  <c r="R26" i="10"/>
  <c r="Q26" i="10"/>
  <c r="S26" i="10"/>
  <c r="Q26" i="6"/>
  <c r="R26" i="6"/>
  <c r="S26" i="6"/>
  <c r="R26" i="5"/>
  <c r="S26" i="5"/>
  <c r="Q26" i="5"/>
  <c r="Q25" i="9"/>
  <c r="R25" i="9"/>
  <c r="S25" i="9"/>
  <c r="Q25" i="7"/>
  <c r="R25" i="7"/>
  <c r="S25" i="7"/>
  <c r="Q25" i="6"/>
  <c r="R25" i="6"/>
  <c r="S25" i="6"/>
  <c r="Q25" i="4"/>
  <c r="R25" i="4"/>
  <c r="S25" i="4"/>
  <c r="Q25" i="5"/>
  <c r="R25" i="5"/>
  <c r="S25" i="5"/>
  <c r="Q25" i="8"/>
  <c r="R25" i="8"/>
  <c r="S25" i="8"/>
  <c r="Q24" i="8"/>
  <c r="R24" i="8"/>
  <c r="S24" i="8"/>
  <c r="Q24" i="5"/>
  <c r="R24" i="5"/>
  <c r="S24" i="5"/>
  <c r="Q24" i="9"/>
  <c r="R24" i="9"/>
  <c r="S24" i="9"/>
  <c r="Q24" i="7"/>
  <c r="R24" i="7"/>
  <c r="S24" i="7"/>
  <c r="Q24" i="6"/>
  <c r="S24" i="6"/>
  <c r="R24" i="6"/>
  <c r="R24" i="10"/>
  <c r="Q24" i="10"/>
  <c r="S24" i="10"/>
  <c r="Q23" i="10"/>
  <c r="R23" i="10"/>
  <c r="S23" i="10"/>
  <c r="S23" i="9"/>
  <c r="R23" i="9"/>
  <c r="Q23" i="9"/>
  <c r="Q23" i="8"/>
  <c r="R23" i="8"/>
  <c r="S23" i="8"/>
  <c r="S23" i="6"/>
  <c r="Q23" i="6"/>
  <c r="R23" i="6"/>
  <c r="S23" i="7"/>
  <c r="R23" i="7"/>
  <c r="Q23" i="7"/>
  <c r="R23" i="5"/>
  <c r="Q23" i="5"/>
  <c r="S23" i="5"/>
  <c r="S23" i="4"/>
  <c r="Q23" i="4"/>
  <c r="R23" i="4"/>
  <c r="T25" i="10"/>
  <c r="T24" i="4"/>
  <c r="U60" i="9" l="1"/>
  <c r="W60" i="9" s="1" a="1"/>
  <c r="O60" i="3" s="1"/>
  <c r="U60" i="10"/>
  <c r="W60" i="10" s="1" a="1"/>
  <c r="P60" i="3" s="1"/>
  <c r="U59" i="5"/>
  <c r="W59" i="5" s="1" a="1"/>
  <c r="K59" i="3" s="1"/>
  <c r="T59" i="10"/>
  <c r="U59" i="6"/>
  <c r="W59" i="6" s="1" a="1"/>
  <c r="L59" i="3" s="1"/>
  <c r="T61" i="6"/>
  <c r="T61" i="4"/>
  <c r="U61" i="4" s="1"/>
  <c r="T58" i="6"/>
  <c r="T61" i="5"/>
  <c r="U61" i="7"/>
  <c r="W61" i="7" s="1" a="1"/>
  <c r="M61" i="3" s="1"/>
  <c r="T61" i="8"/>
  <c r="T61" i="9"/>
  <c r="W61" i="4" a="1"/>
  <c r="J61" i="3" s="1"/>
  <c r="T61" i="10"/>
  <c r="U59" i="4"/>
  <c r="W59" i="4" a="1"/>
  <c r="J59" i="3" s="1"/>
  <c r="U57" i="8"/>
  <c r="T58" i="10"/>
  <c r="T58" i="8"/>
  <c r="T58" i="9"/>
  <c r="U58" i="6"/>
  <c r="U58" i="4"/>
  <c r="W58" i="4" a="1"/>
  <c r="J58" i="3" s="1"/>
  <c r="U58" i="7"/>
  <c r="W58" i="7" s="1" a="1"/>
  <c r="M58" i="3" s="1"/>
  <c r="U57" i="7"/>
  <c r="U57" i="9"/>
  <c r="T59" i="7"/>
  <c r="T59" i="8"/>
  <c r="T59" i="9"/>
  <c r="T60" i="7"/>
  <c r="T60" i="5"/>
  <c r="T60" i="6"/>
  <c r="T60" i="8"/>
  <c r="T60" i="4"/>
  <c r="T62" i="9"/>
  <c r="T62" i="7"/>
  <c r="U62" i="4"/>
  <c r="T62" i="10"/>
  <c r="T62" i="8"/>
  <c r="U58" i="5"/>
  <c r="W58" i="5" s="1" a="1"/>
  <c r="K58" i="3" s="1"/>
  <c r="W57" i="5" a="1"/>
  <c r="K57" i="3" s="1"/>
  <c r="W57" i="8" a="1"/>
  <c r="N57" i="3" s="1"/>
  <c r="W57" i="9" a="1"/>
  <c r="O57" i="3" s="1"/>
  <c r="W57" i="7" a="1"/>
  <c r="M57" i="3" s="1"/>
  <c r="T56" i="8"/>
  <c r="T56" i="10"/>
  <c r="T56" i="7"/>
  <c r="T56" i="5"/>
  <c r="K55" i="3"/>
  <c r="L55" i="3"/>
  <c r="U56" i="9"/>
  <c r="U55" i="9"/>
  <c r="W55" i="9" s="1" a="1"/>
  <c r="U56" i="6"/>
  <c r="W56" i="6" s="1" a="1"/>
  <c r="L56" i="3" s="1"/>
  <c r="U54" i="9"/>
  <c r="O54" i="3" s="1"/>
  <c r="T54" i="5"/>
  <c r="T54" i="10"/>
  <c r="T54" i="7"/>
  <c r="T54" i="8"/>
  <c r="T54" i="6"/>
  <c r="U54" i="6" s="1"/>
  <c r="W54" i="6" s="1" a="1"/>
  <c r="L54" i="3" s="1"/>
  <c r="T53" i="9"/>
  <c r="U53" i="9" s="1"/>
  <c r="O53" i="3" s="1"/>
  <c r="U53" i="5"/>
  <c r="W53" i="5" s="1" a="1"/>
  <c r="K53" i="3" s="1"/>
  <c r="U53" i="6"/>
  <c r="W53" i="6" s="1" a="1"/>
  <c r="L53" i="3" s="1"/>
  <c r="U52" i="6"/>
  <c r="W52" i="6" s="1" a="1"/>
  <c r="L52" i="3" s="1"/>
  <c r="U52" i="5"/>
  <c r="W52" i="5" s="1" a="1"/>
  <c r="K52" i="3" s="1"/>
  <c r="U51" i="9"/>
  <c r="W51" i="5" a="1"/>
  <c r="K51" i="3" s="1"/>
  <c r="U51" i="6"/>
  <c r="W51" i="9" a="1"/>
  <c r="O51" i="3" s="1"/>
  <c r="T57" i="4"/>
  <c r="W57" i="10" a="1"/>
  <c r="P57" i="3" s="1"/>
  <c r="W57" i="6" a="1"/>
  <c r="L57" i="3" s="1"/>
  <c r="U56" i="8"/>
  <c r="U51" i="10"/>
  <c r="T56" i="4"/>
  <c r="T55" i="4"/>
  <c r="T54" i="4"/>
  <c r="T52" i="4"/>
  <c r="T53" i="4"/>
  <c r="T51" i="4"/>
  <c r="W56" i="8" a="1"/>
  <c r="N56" i="3" s="1"/>
  <c r="U53" i="8"/>
  <c r="U51" i="8"/>
  <c r="W51" i="8" s="1" a="1"/>
  <c r="N51" i="3" s="1"/>
  <c r="U52" i="8"/>
  <c r="U55" i="8"/>
  <c r="W55" i="8" s="1" a="1"/>
  <c r="W51" i="6" a="1"/>
  <c r="L51" i="3" s="1"/>
  <c r="W56" i="9" a="1"/>
  <c r="O56" i="3" s="1"/>
  <c r="U56" i="10"/>
  <c r="U52" i="10"/>
  <c r="U55" i="10"/>
  <c r="W55" i="10" s="1" a="1"/>
  <c r="U53" i="10"/>
  <c r="W51" i="10" a="1"/>
  <c r="P51" i="3" s="1"/>
  <c r="U56" i="7"/>
  <c r="U53" i="7"/>
  <c r="U51" i="7"/>
  <c r="W55" i="7" a="1"/>
  <c r="U52" i="7"/>
  <c r="W53" i="7" a="1"/>
  <c r="M53" i="3" s="1"/>
  <c r="T50" i="4"/>
  <c r="T50" i="6"/>
  <c r="T50" i="8"/>
  <c r="T50" i="7"/>
  <c r="U50" i="10"/>
  <c r="T50" i="9"/>
  <c r="U50" i="9" s="1"/>
  <c r="W50" i="9" s="1" a="1"/>
  <c r="T50" i="5"/>
  <c r="T49" i="10"/>
  <c r="T49" i="9"/>
  <c r="T49" i="8"/>
  <c r="T47" i="6"/>
  <c r="U47" i="6" s="1"/>
  <c r="T47" i="4"/>
  <c r="T47" i="10"/>
  <c r="T47" i="8"/>
  <c r="U47" i="4"/>
  <c r="T47" i="9"/>
  <c r="U47" i="9" s="1"/>
  <c r="T47" i="5"/>
  <c r="T47" i="7"/>
  <c r="W50" i="10" a="1"/>
  <c r="P50" i="3" s="1"/>
  <c r="U50" i="4"/>
  <c r="W48" i="4" a="1"/>
  <c r="J48" i="3" s="1"/>
  <c r="T46" i="9"/>
  <c r="T46" i="7"/>
  <c r="T46" i="10"/>
  <c r="T46" i="8"/>
  <c r="T46" i="6"/>
  <c r="U46" i="6" s="1"/>
  <c r="W46" i="6" s="1" a="1"/>
  <c r="L46" i="3" s="1"/>
  <c r="T46" i="5"/>
  <c r="T46" i="4"/>
  <c r="T45" i="7"/>
  <c r="T45" i="5"/>
  <c r="U45" i="5" s="1"/>
  <c r="T45" i="10"/>
  <c r="T45" i="9"/>
  <c r="T45" i="6"/>
  <c r="T45" i="4"/>
  <c r="T45" i="8"/>
  <c r="T44" i="8"/>
  <c r="T44" i="4"/>
  <c r="U44" i="9"/>
  <c r="W44" i="9" s="1" a="1"/>
  <c r="O44" i="3" s="1"/>
  <c r="U44" i="8"/>
  <c r="T44" i="7"/>
  <c r="T44" i="10"/>
  <c r="T44" i="6"/>
  <c r="T44" i="5"/>
  <c r="U43" i="6"/>
  <c r="W43" i="4" a="1"/>
  <c r="J43" i="3" s="1"/>
  <c r="T43" i="9"/>
  <c r="T43" i="7"/>
  <c r="T43" i="10"/>
  <c r="T43" i="8"/>
  <c r="T42" i="7"/>
  <c r="T42" i="4"/>
  <c r="T42" i="6"/>
  <c r="T41" i="10"/>
  <c r="U41" i="10" s="1"/>
  <c r="T41" i="5"/>
  <c r="T41" i="8"/>
  <c r="T41" i="9"/>
  <c r="T41" i="6"/>
  <c r="T41" i="7"/>
  <c r="U41" i="7" s="1"/>
  <c r="W41" i="7" s="1" a="1"/>
  <c r="M41" i="3" s="1"/>
  <c r="T40" i="9"/>
  <c r="U40" i="9" s="1"/>
  <c r="T40" i="8"/>
  <c r="T40" i="7"/>
  <c r="T40" i="5"/>
  <c r="T40" i="6"/>
  <c r="U42" i="10"/>
  <c r="U40" i="10"/>
  <c r="U42" i="9"/>
  <c r="W42" i="9" s="1" a="1"/>
  <c r="O42" i="3" s="1"/>
  <c r="W42" i="5" a="1"/>
  <c r="K42" i="3" s="1"/>
  <c r="U41" i="4"/>
  <c r="U40" i="4"/>
  <c r="W40" i="4" a="1"/>
  <c r="J40" i="3" s="1"/>
  <c r="W39" i="4" a="1"/>
  <c r="J39" i="3" s="1"/>
  <c r="W39" i="5" a="1"/>
  <c r="K39" i="3" s="1"/>
  <c r="T39" i="10"/>
  <c r="T39" i="8"/>
  <c r="T39" i="7"/>
  <c r="T39" i="6"/>
  <c r="T39" i="9"/>
  <c r="T38" i="4"/>
  <c r="U38" i="4" s="1"/>
  <c r="T38" i="5"/>
  <c r="T38" i="6"/>
  <c r="W38" i="4" a="1"/>
  <c r="J38" i="3" s="1"/>
  <c r="T38" i="7"/>
  <c r="T38" i="9"/>
  <c r="T38" i="10"/>
  <c r="U38" i="10" s="1"/>
  <c r="W38" i="10" s="1" a="1"/>
  <c r="P38" i="3" s="1"/>
  <c r="T38" i="8"/>
  <c r="T37" i="6"/>
  <c r="T37" i="10"/>
  <c r="T37" i="8"/>
  <c r="T37" i="5"/>
  <c r="U37" i="5" s="1"/>
  <c r="T37" i="4"/>
  <c r="T37" i="7"/>
  <c r="T37" i="9"/>
  <c r="T36" i="5"/>
  <c r="T36" i="10"/>
  <c r="T36" i="7"/>
  <c r="T36" i="4"/>
  <c r="T36" i="8"/>
  <c r="T36" i="9"/>
  <c r="U36" i="5"/>
  <c r="W36" i="5" s="1" a="1"/>
  <c r="K36" i="3" s="1"/>
  <c r="T36" i="6"/>
  <c r="T35" i="7"/>
  <c r="T35" i="6"/>
  <c r="T35" i="4"/>
  <c r="T35" i="10"/>
  <c r="T35" i="8"/>
  <c r="U35" i="9"/>
  <c r="W35" i="9" s="1" a="1"/>
  <c r="O35" i="3" s="1"/>
  <c r="T34" i="7"/>
  <c r="T34" i="9"/>
  <c r="T34" i="10"/>
  <c r="W34" i="6" a="1"/>
  <c r="L34" i="3" s="1"/>
  <c r="T34" i="8"/>
  <c r="T34" i="5"/>
  <c r="U34" i="5" s="1"/>
  <c r="T33" i="8"/>
  <c r="T33" i="7"/>
  <c r="T33" i="9"/>
  <c r="W32" i="10" a="1"/>
  <c r="P32" i="3" s="1"/>
  <c r="T32" i="9"/>
  <c r="T31" i="10"/>
  <c r="U31" i="7"/>
  <c r="W31" i="7" s="1" a="1"/>
  <c r="T31" i="9"/>
  <c r="U31" i="9" s="1"/>
  <c r="T31" i="8"/>
  <c r="T31" i="6"/>
  <c r="W34" i="5" a="1"/>
  <c r="K34" i="3" s="1"/>
  <c r="U33" i="5"/>
  <c r="U32" i="5"/>
  <c r="W31" i="5" a="1"/>
  <c r="K31" i="3" s="1"/>
  <c r="W32" i="6" a="1"/>
  <c r="L32" i="3" s="1"/>
  <c r="U32" i="8"/>
  <c r="W32" i="8" s="1" a="1"/>
  <c r="N32" i="3" s="1"/>
  <c r="W33" i="10" a="1"/>
  <c r="P33" i="3" s="1"/>
  <c r="U31" i="10"/>
  <c r="W31" i="10" s="1" a="1"/>
  <c r="P31" i="3" s="1"/>
  <c r="U21" i="4"/>
  <c r="U20" i="4"/>
  <c r="U16" i="4"/>
  <c r="U15" i="4"/>
  <c r="U14" i="4"/>
  <c r="W11" i="4" a="1"/>
  <c r="J11" i="3" s="1"/>
  <c r="U11" i="4"/>
  <c r="U9" i="4"/>
  <c r="W9" i="4" a="1"/>
  <c r="J9" i="3" s="1"/>
  <c r="U4" i="4"/>
  <c r="U3" i="4"/>
  <c r="U18" i="4"/>
  <c r="U12" i="4"/>
  <c r="W12" i="4" a="1"/>
  <c r="J12" i="3" s="1"/>
  <c r="U8" i="4"/>
  <c r="W8" i="4" a="1"/>
  <c r="J8" i="3" s="1"/>
  <c r="U17" i="4"/>
  <c r="T33" i="4"/>
  <c r="T21" i="4"/>
  <c r="T20" i="4"/>
  <c r="T16" i="4"/>
  <c r="T15" i="4"/>
  <c r="T14" i="4"/>
  <c r="T11" i="4"/>
  <c r="T7" i="4"/>
  <c r="T5" i="4"/>
  <c r="T9" i="4"/>
  <c r="T4" i="4"/>
  <c r="U106" i="4"/>
  <c r="W106" i="4" s="1" a="1"/>
  <c r="J106" i="3" s="1"/>
  <c r="T3" i="4"/>
  <c r="T31" i="4"/>
  <c r="T30" i="4"/>
  <c r="T18" i="4"/>
  <c r="T8" i="4"/>
  <c r="T6" i="4"/>
  <c r="T29" i="4"/>
  <c r="U29" i="4" s="1"/>
  <c r="W29" i="4" s="1" a="1"/>
  <c r="J29" i="3" s="1"/>
  <c r="T12" i="4"/>
  <c r="U88" i="4"/>
  <c r="W88" i="4" s="1" a="1"/>
  <c r="J88" i="3" s="1"/>
  <c r="T32" i="4"/>
  <c r="U64" i="4"/>
  <c r="W64" i="4" s="1" a="1"/>
  <c r="J64" i="3" s="1"/>
  <c r="T34" i="4"/>
  <c r="U34" i="4" s="1"/>
  <c r="T19" i="4"/>
  <c r="W104" i="7" a="1"/>
  <c r="M104" i="3" s="1"/>
  <c r="W64" i="7" a="1"/>
  <c r="M64" i="3" s="1"/>
  <c r="U15" i="7"/>
  <c r="M17" i="3"/>
  <c r="M11" i="3"/>
  <c r="M3" i="3"/>
  <c r="E3" i="3"/>
  <c r="U32" i="7"/>
  <c r="W32" i="7" s="1" a="1"/>
  <c r="U8" i="7"/>
  <c r="U6" i="7"/>
  <c r="W5" i="7" a="1"/>
  <c r="U5" i="7"/>
  <c r="W4" i="7" a="1"/>
  <c r="W19" i="7" a="1"/>
  <c r="U12" i="7"/>
  <c r="U16" i="7"/>
  <c r="W16" i="7" a="1"/>
  <c r="U10" i="7"/>
  <c r="W9" i="7" a="1"/>
  <c r="U20" i="7"/>
  <c r="W20" i="7" a="1"/>
  <c r="U18" i="7"/>
  <c r="W13" i="4" a="1"/>
  <c r="U21" i="7"/>
  <c r="W21" i="7" a="1"/>
  <c r="W15" i="7" a="1"/>
  <c r="U14" i="7"/>
  <c r="W14" i="7" a="1"/>
  <c r="U13" i="7"/>
  <c r="T28" i="7"/>
  <c r="W22" i="7" a="1"/>
  <c r="W7" i="7" a="1"/>
  <c r="U30" i="10"/>
  <c r="T30" i="9"/>
  <c r="W30" i="5" a="1"/>
  <c r="K30" i="3" s="1"/>
  <c r="U29" i="9"/>
  <c r="T28" i="6"/>
  <c r="U28" i="6"/>
  <c r="T28" i="9"/>
  <c r="T28" i="4"/>
  <c r="T28" i="10"/>
  <c r="W28" i="5" a="1"/>
  <c r="K28" i="3" s="1"/>
  <c r="U28" i="10"/>
  <c r="W28" i="10" s="1" a="1"/>
  <c r="P28" i="3" s="1"/>
  <c r="W29" i="9" a="1"/>
  <c r="O29" i="3" s="1"/>
  <c r="U28" i="8"/>
  <c r="W28" i="8" s="1" a="1"/>
  <c r="N28" i="3" s="1"/>
  <c r="W30" i="7" a="1"/>
  <c r="M30" i="3" s="1"/>
  <c r="W28" i="6" a="1"/>
  <c r="L28" i="3" s="1"/>
  <c r="T27" i="8"/>
  <c r="T27" i="6"/>
  <c r="T27" i="4"/>
  <c r="T27" i="7"/>
  <c r="T27" i="5"/>
  <c r="T27" i="9"/>
  <c r="T27" i="10"/>
  <c r="T26" i="7"/>
  <c r="T26" i="4"/>
  <c r="T26" i="8"/>
  <c r="T26" i="9"/>
  <c r="T26" i="10"/>
  <c r="T26" i="6"/>
  <c r="T26" i="5"/>
  <c r="T25" i="8"/>
  <c r="T25" i="5"/>
  <c r="U25" i="5" s="1"/>
  <c r="U25" i="8"/>
  <c r="T25" i="9"/>
  <c r="T25" i="7"/>
  <c r="T25" i="6"/>
  <c r="T25" i="4"/>
  <c r="T24" i="7"/>
  <c r="U24" i="7" s="1"/>
  <c r="T24" i="8"/>
  <c r="T24" i="5"/>
  <c r="U24" i="8"/>
  <c r="T24" i="10"/>
  <c r="U24" i="10" s="1"/>
  <c r="W24" i="10" a="1"/>
  <c r="U24" i="5"/>
  <c r="W24" i="5" s="1" a="1"/>
  <c r="K24" i="3" s="1"/>
  <c r="T24" i="6"/>
  <c r="T24" i="9"/>
  <c r="T23" i="10"/>
  <c r="T23" i="9"/>
  <c r="T23" i="6"/>
  <c r="T23" i="5"/>
  <c r="T23" i="4"/>
  <c r="T23" i="8"/>
  <c r="T23" i="7"/>
  <c r="U25" i="10"/>
  <c r="U24" i="4"/>
  <c r="W24" i="4" a="1"/>
  <c r="J24" i="3" s="1"/>
  <c r="U59" i="10" l="1"/>
  <c r="W59" i="10" s="1" a="1"/>
  <c r="P59" i="3" s="1"/>
  <c r="U61" i="6"/>
  <c r="W58" i="6" a="1"/>
  <c r="L58" i="3" s="1"/>
  <c r="U62" i="7"/>
  <c r="U61" i="10"/>
  <c r="U61" i="9"/>
  <c r="W61" i="9" a="1"/>
  <c r="O61" i="3" s="1"/>
  <c r="U61" i="8"/>
  <c r="U61" i="5"/>
  <c r="W61" i="5" a="1"/>
  <c r="K61" i="3" s="1"/>
  <c r="W61" i="10" a="1"/>
  <c r="P61" i="3" s="1"/>
  <c r="U60" i="8"/>
  <c r="U58" i="9"/>
  <c r="U58" i="8"/>
  <c r="W58" i="9" a="1"/>
  <c r="O58" i="3" s="1"/>
  <c r="U58" i="10"/>
  <c r="W58" i="10" s="1" a="1"/>
  <c r="P58" i="3" s="1"/>
  <c r="U59" i="8"/>
  <c r="U59" i="9"/>
  <c r="U59" i="7"/>
  <c r="U60" i="7"/>
  <c r="U60" i="5"/>
  <c r="U60" i="6"/>
  <c r="U60" i="4"/>
  <c r="W60" i="8" a="1"/>
  <c r="N60" i="3" s="1"/>
  <c r="W62" i="7" a="1"/>
  <c r="M62" i="3" s="1"/>
  <c r="U62" i="8"/>
  <c r="W62" i="4" a="1"/>
  <c r="J62" i="3" s="1"/>
  <c r="U62" i="9"/>
  <c r="U62" i="10"/>
  <c r="W62" i="10" s="1" a="1"/>
  <c r="P62" i="3" s="1"/>
  <c r="U56" i="5"/>
  <c r="W56" i="5" s="1" a="1"/>
  <c r="K56" i="3" s="1"/>
  <c r="O55" i="3"/>
  <c r="N55" i="3"/>
  <c r="P55" i="3"/>
  <c r="M55" i="3"/>
  <c r="U54" i="10"/>
  <c r="W53" i="10" a="1"/>
  <c r="P53" i="3" s="1"/>
  <c r="U54" i="5"/>
  <c r="W54" i="5" s="1" a="1"/>
  <c r="K54" i="3" s="1"/>
  <c r="U54" i="7"/>
  <c r="U54" i="8"/>
  <c r="W54" i="8" s="1" a="1"/>
  <c r="N54" i="3" s="1"/>
  <c r="U50" i="6"/>
  <c r="U57" i="4"/>
  <c r="W57" i="4" a="1"/>
  <c r="J57" i="3" s="1"/>
  <c r="W56" i="10" a="1"/>
  <c r="P56" i="3" s="1"/>
  <c r="W54" i="10" a="1"/>
  <c r="P54" i="3" s="1"/>
  <c r="W52" i="10" a="1"/>
  <c r="P52" i="3" s="1"/>
  <c r="U53" i="4"/>
  <c r="U56" i="4"/>
  <c r="U54" i="4"/>
  <c r="U51" i="4"/>
  <c r="U55" i="4"/>
  <c r="U52" i="4"/>
  <c r="W53" i="8" a="1"/>
  <c r="N53" i="3" s="1"/>
  <c r="W52" i="8" a="1"/>
  <c r="N52" i="3" s="1"/>
  <c r="W56" i="7" a="1"/>
  <c r="M56" i="3" s="1"/>
  <c r="W51" i="7" a="1"/>
  <c r="M51" i="3" s="1"/>
  <c r="W54" i="7" a="1"/>
  <c r="M54" i="3" s="1"/>
  <c r="W52" i="7" a="1"/>
  <c r="M52" i="3" s="1"/>
  <c r="O50" i="3"/>
  <c r="U50" i="8"/>
  <c r="U50" i="7"/>
  <c r="W50" i="6" a="1"/>
  <c r="L50" i="3" s="1"/>
  <c r="U50" i="5"/>
  <c r="U49" i="8"/>
  <c r="U49" i="10"/>
  <c r="U49" i="9"/>
  <c r="W47" i="9" a="1"/>
  <c r="O47" i="3" s="1"/>
  <c r="U47" i="10"/>
  <c r="U47" i="8"/>
  <c r="W47" i="6" a="1"/>
  <c r="L47" i="3" s="1"/>
  <c r="U47" i="5"/>
  <c r="W47" i="5" s="1" a="1"/>
  <c r="K47" i="3" s="1"/>
  <c r="W47" i="4" a="1"/>
  <c r="J47" i="3" s="1"/>
  <c r="W47" i="10" a="1"/>
  <c r="P47" i="3" s="1"/>
  <c r="U47" i="7"/>
  <c r="W47" i="7" s="1" a="1"/>
  <c r="M47" i="3" s="1"/>
  <c r="W50" i="4" a="1"/>
  <c r="J50" i="3" s="1"/>
  <c r="U46" i="8"/>
  <c r="U46" i="5"/>
  <c r="U46" i="4"/>
  <c r="U46" i="10"/>
  <c r="U46" i="9"/>
  <c r="U46" i="7"/>
  <c r="W46" i="7" s="1" a="1"/>
  <c r="M46" i="3" s="1"/>
  <c r="W46" i="5" a="1"/>
  <c r="K46" i="3" s="1"/>
  <c r="U45" i="6"/>
  <c r="U45" i="10"/>
  <c r="U45" i="8"/>
  <c r="U45" i="7"/>
  <c r="W45" i="7" s="1" a="1"/>
  <c r="M45" i="3" s="1"/>
  <c r="W45" i="5" a="1"/>
  <c r="K45" i="3" s="1"/>
  <c r="U45" i="9"/>
  <c r="U45" i="4"/>
  <c r="W45" i="10" a="1"/>
  <c r="P45" i="3" s="1"/>
  <c r="W45" i="6" a="1"/>
  <c r="L45" i="3" s="1"/>
  <c r="U44" i="4"/>
  <c r="W44" i="8" a="1"/>
  <c r="N44" i="3" s="1"/>
  <c r="W44" i="5" a="1"/>
  <c r="K44" i="3" s="1"/>
  <c r="U44" i="5"/>
  <c r="U44" i="6"/>
  <c r="U44" i="7"/>
  <c r="U44" i="10"/>
  <c r="W44" i="10" s="1" a="1"/>
  <c r="P44" i="3" s="1"/>
  <c r="U43" i="9"/>
  <c r="U43" i="7"/>
  <c r="U43" i="10"/>
  <c r="U43" i="8"/>
  <c r="W43" i="8" a="1"/>
  <c r="N43" i="3" s="1"/>
  <c r="W43" i="6" a="1"/>
  <c r="L43" i="3" s="1"/>
  <c r="W42" i="10" a="1"/>
  <c r="P42" i="3" s="1"/>
  <c r="U42" i="7"/>
  <c r="U42" i="6"/>
  <c r="U42" i="4"/>
  <c r="W41" i="10" a="1"/>
  <c r="P41" i="3" s="1"/>
  <c r="U41" i="5"/>
  <c r="W41" i="5" s="1" a="1"/>
  <c r="K41" i="3" s="1"/>
  <c r="U41" i="9"/>
  <c r="W41" i="9" s="1" a="1"/>
  <c r="O41" i="3" s="1"/>
  <c r="U41" i="6"/>
  <c r="U41" i="8"/>
  <c r="W41" i="8" s="1" a="1"/>
  <c r="N41" i="3" s="1"/>
  <c r="U40" i="6"/>
  <c r="W40" i="6" s="1" a="1"/>
  <c r="L40" i="3" s="1"/>
  <c r="U40" i="5"/>
  <c r="U40" i="7"/>
  <c r="W40" i="9" a="1"/>
  <c r="O40" i="3" s="1"/>
  <c r="U40" i="8"/>
  <c r="W40" i="10" a="1"/>
  <c r="P40" i="3" s="1"/>
  <c r="W41" i="4" a="1"/>
  <c r="J41" i="3" s="1"/>
  <c r="U39" i="10"/>
  <c r="W39" i="10" a="1"/>
  <c r="P39" i="3" s="1"/>
  <c r="U39" i="9"/>
  <c r="U39" i="8"/>
  <c r="U39" i="7"/>
  <c r="U39" i="6"/>
  <c r="W39" i="6" a="1"/>
  <c r="L39" i="3" s="1"/>
  <c r="U38" i="5"/>
  <c r="U38" i="6"/>
  <c r="U38" i="8"/>
  <c r="U38" i="9"/>
  <c r="U38" i="7"/>
  <c r="W38" i="7" s="1" a="1"/>
  <c r="M38" i="3" s="1"/>
  <c r="W38" i="6" a="1"/>
  <c r="L38" i="3" s="1"/>
  <c r="U37" i="6"/>
  <c r="U37" i="10"/>
  <c r="U37" i="7"/>
  <c r="W37" i="7" s="1" a="1"/>
  <c r="M37" i="3" s="1"/>
  <c r="W37" i="10" a="1"/>
  <c r="P37" i="3" s="1"/>
  <c r="W37" i="5" a="1"/>
  <c r="K37" i="3" s="1"/>
  <c r="U37" i="9"/>
  <c r="W37" i="9" s="1" a="1"/>
  <c r="O37" i="3" s="1"/>
  <c r="U37" i="8"/>
  <c r="U37" i="4"/>
  <c r="U36" i="4"/>
  <c r="U36" i="7"/>
  <c r="U36" i="6"/>
  <c r="U36" i="9"/>
  <c r="U36" i="10"/>
  <c r="W36" i="7" a="1"/>
  <c r="M36" i="3" s="1"/>
  <c r="W36" i="6" a="1"/>
  <c r="L36" i="3" s="1"/>
  <c r="W36" i="9" a="1"/>
  <c r="O36" i="3" s="1"/>
  <c r="W36" i="10" a="1"/>
  <c r="P36" i="3" s="1"/>
  <c r="U36" i="8"/>
  <c r="W36" i="4" a="1"/>
  <c r="J36" i="3" s="1"/>
  <c r="W35" i="7" a="1"/>
  <c r="M35" i="3" s="1"/>
  <c r="U35" i="7"/>
  <c r="U35" i="4"/>
  <c r="U35" i="6"/>
  <c r="W35" i="6" a="1"/>
  <c r="L35" i="3" s="1"/>
  <c r="U35" i="10"/>
  <c r="U35" i="8"/>
  <c r="U34" i="7"/>
  <c r="W34" i="7" s="1" a="1"/>
  <c r="M34" i="3" s="1"/>
  <c r="U34" i="10"/>
  <c r="U34" i="8"/>
  <c r="U34" i="9"/>
  <c r="U33" i="8"/>
  <c r="W33" i="8" s="1" a="1"/>
  <c r="N33" i="3" s="1"/>
  <c r="U33" i="9"/>
  <c r="U33" i="7"/>
  <c r="W33" i="7" s="1" a="1"/>
  <c r="W33" i="9" a="1"/>
  <c r="O33" i="3" s="1"/>
  <c r="U32" i="9"/>
  <c r="W32" i="5" a="1"/>
  <c r="K32" i="3" s="1"/>
  <c r="W31" i="9" a="1"/>
  <c r="O31" i="3" s="1"/>
  <c r="U31" i="6"/>
  <c r="U31" i="8"/>
  <c r="M31" i="3"/>
  <c r="W33" i="5" a="1"/>
  <c r="K33" i="3" s="1"/>
  <c r="W34" i="4" a="1"/>
  <c r="J34" i="3" s="1"/>
  <c r="U33" i="4"/>
  <c r="U31" i="4"/>
  <c r="U30" i="4"/>
  <c r="W21" i="4" a="1"/>
  <c r="J21" i="3" s="1"/>
  <c r="W20" i="4" a="1"/>
  <c r="J20" i="3" s="1"/>
  <c r="W16" i="4" a="1"/>
  <c r="J16" i="3" s="1"/>
  <c r="W15" i="4" a="1"/>
  <c r="J15" i="3" s="1"/>
  <c r="W14" i="4" a="1"/>
  <c r="J14" i="3" s="1"/>
  <c r="W7" i="4" a="1"/>
  <c r="J7" i="3" s="1"/>
  <c r="U7" i="4"/>
  <c r="U6" i="4"/>
  <c r="U5" i="4"/>
  <c r="W17" i="4" a="1"/>
  <c r="J17" i="3" s="1"/>
  <c r="U19" i="4"/>
  <c r="U32" i="4"/>
  <c r="W32" i="4" s="1" a="1"/>
  <c r="J32" i="3" s="1"/>
  <c r="W13" i="7" a="1"/>
  <c r="U28" i="7"/>
  <c r="W28" i="7" s="1" a="1"/>
  <c r="M28" i="3" s="1"/>
  <c r="W4" i="4" a="1"/>
  <c r="W3" i="4" a="1"/>
  <c r="W18" i="4" a="1"/>
  <c r="J18" i="3" s="1"/>
  <c r="M5" i="3"/>
  <c r="E4" i="3"/>
  <c r="M4" i="3"/>
  <c r="M19" i="3"/>
  <c r="M16" i="3"/>
  <c r="M9" i="3"/>
  <c r="M20" i="3"/>
  <c r="J13" i="3"/>
  <c r="M21" i="3"/>
  <c r="M15" i="3"/>
  <c r="M14" i="3"/>
  <c r="M13" i="3"/>
  <c r="M22" i="3"/>
  <c r="M7" i="3"/>
  <c r="W12" i="7" a="1"/>
  <c r="W10" i="7" a="1"/>
  <c r="W18" i="7" a="1"/>
  <c r="W8" i="7" a="1"/>
  <c r="W6" i="7" a="1"/>
  <c r="M32" i="3"/>
  <c r="W30" i="10" a="1"/>
  <c r="P30" i="3" s="1"/>
  <c r="U30" i="9"/>
  <c r="W30" i="9" a="1"/>
  <c r="O30" i="3" s="1"/>
  <c r="U28" i="4"/>
  <c r="W28" i="4" a="1"/>
  <c r="J28" i="3" s="1"/>
  <c r="U28" i="9"/>
  <c r="W28" i="9" s="1" a="1"/>
  <c r="O28" i="3" s="1"/>
  <c r="U27" i="10"/>
  <c r="U27" i="9"/>
  <c r="U27" i="6"/>
  <c r="U27" i="4"/>
  <c r="U27" i="7"/>
  <c r="W27" i="7" a="1"/>
  <c r="M27" i="3" s="1"/>
  <c r="U27" i="8"/>
  <c r="U27" i="5"/>
  <c r="U26" i="7"/>
  <c r="W26" i="7" a="1"/>
  <c r="M26" i="3" s="1"/>
  <c r="U26" i="4"/>
  <c r="U26" i="8"/>
  <c r="U26" i="9"/>
  <c r="U26" i="6"/>
  <c r="U26" i="5"/>
  <c r="U26" i="10"/>
  <c r="U25" i="4"/>
  <c r="U25" i="9"/>
  <c r="U25" i="7"/>
  <c r="U25" i="6"/>
  <c r="W25" i="5" a="1"/>
  <c r="K25" i="3" s="1"/>
  <c r="W25" i="8" a="1"/>
  <c r="N25" i="3" s="1"/>
  <c r="W24" i="7" a="1"/>
  <c r="M24" i="3" s="1"/>
  <c r="P24" i="3"/>
  <c r="W24" i="8" a="1"/>
  <c r="N24" i="3" s="1"/>
  <c r="U24" i="9"/>
  <c r="U24" i="6"/>
  <c r="U23" i="9"/>
  <c r="U23" i="5"/>
  <c r="U23" i="7"/>
  <c r="U23" i="6"/>
  <c r="U23" i="4"/>
  <c r="U23" i="10"/>
  <c r="U23" i="8"/>
  <c r="W25" i="10" a="1"/>
  <c r="W23" i="4" a="1"/>
  <c r="W61" i="6" l="1" a="1"/>
  <c r="L61" i="3" s="1"/>
  <c r="W61" i="8" a="1"/>
  <c r="N61" i="3" s="1"/>
  <c r="W58" i="8" a="1"/>
  <c r="N58" i="3" s="1"/>
  <c r="W59" i="8" a="1"/>
  <c r="N59" i="3" s="1"/>
  <c r="W59" i="9" a="1"/>
  <c r="O59" i="3" s="1"/>
  <c r="W59" i="7" a="1"/>
  <c r="M59" i="3" s="1"/>
  <c r="W60" i="7" a="1"/>
  <c r="M60" i="3" s="1"/>
  <c r="W60" i="5" a="1"/>
  <c r="W60" i="6" a="1"/>
  <c r="W60" i="4" a="1"/>
  <c r="J60" i="3" s="1"/>
  <c r="W62" i="8" a="1"/>
  <c r="W62" i="9" a="1"/>
  <c r="Y3" i="10"/>
  <c r="Y3" i="7"/>
  <c r="W53" i="4" a="1"/>
  <c r="J53" i="3" s="1"/>
  <c r="W51" i="4" a="1"/>
  <c r="J51" i="3" s="1"/>
  <c r="W56" i="4" a="1"/>
  <c r="J56" i="3" s="1"/>
  <c r="W55" i="4" a="1"/>
  <c r="W54" i="4" a="1"/>
  <c r="J54" i="3" s="1"/>
  <c r="W52" i="4" a="1"/>
  <c r="J52" i="3" s="1"/>
  <c r="W50" i="5" a="1"/>
  <c r="K50" i="3" s="1"/>
  <c r="W50" i="8" a="1"/>
  <c r="N50" i="3" s="1"/>
  <c r="W50" i="7" a="1"/>
  <c r="M50" i="3" s="1"/>
  <c r="W49" i="8" a="1"/>
  <c r="N49" i="3" s="1"/>
  <c r="W49" i="10" a="1"/>
  <c r="P49" i="3" s="1"/>
  <c r="W49" i="9" a="1"/>
  <c r="O49" i="3" s="1"/>
  <c r="W47" i="8" a="1"/>
  <c r="N47" i="3" s="1"/>
  <c r="W46" i="10" a="1"/>
  <c r="P46" i="3" s="1"/>
  <c r="W46" i="9" a="1"/>
  <c r="O46" i="3" s="1"/>
  <c r="W46" i="8" a="1"/>
  <c r="N46" i="3" s="1"/>
  <c r="W46" i="4" a="1"/>
  <c r="J46" i="3" s="1"/>
  <c r="W45" i="8" a="1"/>
  <c r="N45" i="3" s="1"/>
  <c r="W45" i="9" a="1"/>
  <c r="O45" i="3" s="1"/>
  <c r="W45" i="4" a="1"/>
  <c r="J45" i="3" s="1"/>
  <c r="W44" i="4" a="1"/>
  <c r="J44" i="3" s="1"/>
  <c r="W44" i="7" a="1"/>
  <c r="M44" i="3" s="1"/>
  <c r="W44" i="6" a="1"/>
  <c r="L44" i="3" s="1"/>
  <c r="W43" i="9" a="1"/>
  <c r="O43" i="3" s="1"/>
  <c r="W43" i="7" a="1"/>
  <c r="M43" i="3" s="1"/>
  <c r="W43" i="10" a="1"/>
  <c r="P43" i="3" s="1"/>
  <c r="W42" i="4" a="1"/>
  <c r="J42" i="3" s="1"/>
  <c r="W42" i="7" a="1"/>
  <c r="M42" i="3" s="1"/>
  <c r="W42" i="6" a="1"/>
  <c r="L42" i="3" s="1"/>
  <c r="W41" i="6" a="1"/>
  <c r="L41" i="3" s="1"/>
  <c r="W40" i="5" a="1"/>
  <c r="K40" i="3" s="1"/>
  <c r="W40" i="8" a="1"/>
  <c r="N40" i="3" s="1"/>
  <c r="W40" i="7" a="1"/>
  <c r="M40" i="3" s="1"/>
  <c r="W39" i="8" a="1"/>
  <c r="N39" i="3" s="1"/>
  <c r="W39" i="7" a="1"/>
  <c r="M39" i="3" s="1"/>
  <c r="W39" i="9" a="1"/>
  <c r="O39" i="3" s="1"/>
  <c r="W38" i="5" a="1"/>
  <c r="K38" i="3" s="1"/>
  <c r="W38" i="8" a="1"/>
  <c r="N38" i="3" s="1"/>
  <c r="W38" i="9" a="1"/>
  <c r="O38" i="3" s="1"/>
  <c r="W37" i="6" a="1"/>
  <c r="L37" i="3" s="1"/>
  <c r="W37" i="8" a="1"/>
  <c r="N37" i="3" s="1"/>
  <c r="W37" i="4" a="1"/>
  <c r="J37" i="3" s="1"/>
  <c r="W36" i="8" a="1"/>
  <c r="N36" i="3" s="1"/>
  <c r="W35" i="4" a="1"/>
  <c r="J35" i="3" s="1"/>
  <c r="W35" i="10" a="1"/>
  <c r="P35" i="3" s="1"/>
  <c r="W35" i="8" a="1"/>
  <c r="N35" i="3" s="1"/>
  <c r="W34" i="10" a="1"/>
  <c r="P34" i="3" s="1"/>
  <c r="W34" i="8" a="1"/>
  <c r="N34" i="3" s="1"/>
  <c r="W34" i="9" a="1"/>
  <c r="O34" i="3" s="1"/>
  <c r="M33" i="3"/>
  <c r="W32" i="9" a="1"/>
  <c r="O32" i="3" s="1"/>
  <c r="W31" i="6" a="1"/>
  <c r="L31" i="3" s="1"/>
  <c r="W31" i="8" a="1"/>
  <c r="N31" i="3" s="1"/>
  <c r="J4" i="3"/>
  <c r="B3" i="3"/>
  <c r="J3" i="3"/>
  <c r="W33" i="4" a="1"/>
  <c r="J33" i="3" s="1"/>
  <c r="W31" i="4" a="1"/>
  <c r="J31" i="3" s="1"/>
  <c r="W30" i="4" a="1"/>
  <c r="J30" i="3" s="1"/>
  <c r="W6" i="4" a="1"/>
  <c r="W5" i="4" a="1"/>
  <c r="W19" i="4" a="1"/>
  <c r="J19" i="3" s="1"/>
  <c r="M12" i="3"/>
  <c r="M10" i="3"/>
  <c r="M18" i="3"/>
  <c r="M8" i="3"/>
  <c r="M6" i="3"/>
  <c r="W25" i="4" a="1"/>
  <c r="J25" i="3" s="1"/>
  <c r="E5" i="3"/>
  <c r="W27" i="8" a="1"/>
  <c r="N27" i="3" s="1"/>
  <c r="W27" i="5" a="1"/>
  <c r="K27" i="3" s="1"/>
  <c r="W27" i="10" a="1"/>
  <c r="P27" i="3" s="1"/>
  <c r="W27" i="9" a="1"/>
  <c r="O27" i="3" s="1"/>
  <c r="W27" i="6" a="1"/>
  <c r="L27" i="3" s="1"/>
  <c r="W27" i="4" a="1"/>
  <c r="J27" i="3" s="1"/>
  <c r="W26" i="4" a="1"/>
  <c r="J26" i="3" s="1"/>
  <c r="W26" i="5" a="1"/>
  <c r="K26" i="3" s="1"/>
  <c r="W26" i="10" a="1"/>
  <c r="P26" i="3" s="1"/>
  <c r="W26" i="6" a="1"/>
  <c r="L26" i="3" s="1"/>
  <c r="W26" i="9" a="1"/>
  <c r="O26" i="3" s="1"/>
  <c r="W26" i="8" a="1"/>
  <c r="N26" i="3" s="1"/>
  <c r="W25" i="9" a="1"/>
  <c r="O25" i="3" s="1"/>
  <c r="W25" i="7" a="1"/>
  <c r="M25" i="3" s="1"/>
  <c r="W25" i="6" a="1"/>
  <c r="L25" i="3" s="1"/>
  <c r="W24" i="6" a="1"/>
  <c r="L24" i="3" s="1"/>
  <c r="W24" i="9" a="1"/>
  <c r="O24" i="3" s="1"/>
  <c r="W23" i="9" a="1"/>
  <c r="W23" i="7" a="1"/>
  <c r="W23" i="6" a="1"/>
  <c r="W23" i="5" a="1"/>
  <c r="W23" i="10" a="1"/>
  <c r="W23" i="8" a="1"/>
  <c r="P25" i="3"/>
  <c r="J23" i="3"/>
  <c r="Y3" i="5" l="1"/>
  <c r="K60" i="3"/>
  <c r="Y3" i="6"/>
  <c r="L60" i="3"/>
  <c r="Y3" i="8"/>
  <c r="N62" i="3"/>
  <c r="Y3" i="9"/>
  <c r="O62" i="3"/>
  <c r="J55" i="3"/>
  <c r="Y3" i="4"/>
  <c r="J6" i="3"/>
  <c r="J5" i="3"/>
  <c r="B4" i="3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X3" i="4"/>
  <c r="B3" i="2" s="1"/>
  <c r="X3" i="9"/>
  <c r="B8" i="2" s="1"/>
  <c r="O23" i="3"/>
  <c r="G23" i="3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X3" i="7"/>
  <c r="B6" i="2" s="1"/>
  <c r="E23" i="3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C6" i="2"/>
  <c r="M23" i="3"/>
  <c r="L23" i="3"/>
  <c r="X3" i="6"/>
  <c r="B5" i="2" s="1"/>
  <c r="D23" i="3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X3" i="5"/>
  <c r="B4" i="2" s="1"/>
  <c r="K23" i="3"/>
  <c r="C23" i="3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H23" i="3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P23" i="3"/>
  <c r="X3" i="8"/>
  <c r="B7" i="2" s="1"/>
  <c r="N23" i="3"/>
  <c r="F23" i="3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C9" i="2"/>
  <c r="X3" i="10"/>
  <c r="B9" i="2" s="1"/>
  <c r="C8" i="2" l="1"/>
  <c r="C4" i="2"/>
  <c r="C5" i="2"/>
  <c r="C7" i="2"/>
  <c r="C3" i="2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F3" i="2" l="1" a="1"/>
  <c r="E5" i="2" l="1"/>
  <c r="E9" i="2"/>
  <c r="E4" i="2"/>
  <c r="E8" i="2"/>
  <c r="E6" i="2"/>
  <c r="E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<sst xmlns="http://schemas.openxmlformats.org/spreadsheetml/2006/main" count="355" uniqueCount="77">
  <si>
    <t>Tabela de Jogos</t>
  </si>
  <si>
    <t>Jogo</t>
  </si>
  <si>
    <t>Seleção A</t>
  </si>
  <si>
    <t>Gols A</t>
  </si>
  <si>
    <t>x</t>
  </si>
  <si>
    <t>Gols B</t>
  </si>
  <si>
    <t>Seleção B</t>
  </si>
  <si>
    <t>Vencedor</t>
  </si>
  <si>
    <t>México</t>
  </si>
  <si>
    <t>África do Sul</t>
  </si>
  <si>
    <t>Coreia do Sul</t>
  </si>
  <si>
    <t>Tchéquia</t>
  </si>
  <si>
    <t>Canadá</t>
  </si>
  <si>
    <t>Bósnia</t>
  </si>
  <si>
    <t>EUA</t>
  </si>
  <si>
    <t>Paraguai</t>
  </si>
  <si>
    <t>Catar</t>
  </si>
  <si>
    <t>Suíça</t>
  </si>
  <si>
    <t>Brasil</t>
  </si>
  <si>
    <t>Marrocos</t>
  </si>
  <si>
    <t>Haiti</t>
  </si>
  <si>
    <t>Escócia</t>
  </si>
  <si>
    <t>Austrália</t>
  </si>
  <si>
    <t>Turquia</t>
  </si>
  <si>
    <t>Alemanha</t>
  </si>
  <si>
    <t>Curaçao</t>
  </si>
  <si>
    <t>Holanda</t>
  </si>
  <si>
    <t>Japão</t>
  </si>
  <si>
    <t>Costa do Marfim</t>
  </si>
  <si>
    <t>Equador</t>
  </si>
  <si>
    <t>Suécia</t>
  </si>
  <si>
    <t>Tunísia</t>
  </si>
  <si>
    <t>Espanha</t>
  </si>
  <si>
    <t>Cabo Verde</t>
  </si>
  <si>
    <t>Bélgica</t>
  </si>
  <si>
    <t>Egito</t>
  </si>
  <si>
    <t>Arábia Saudita</t>
  </si>
  <si>
    <t>Uruguai</t>
  </si>
  <si>
    <t>Irã</t>
  </si>
  <si>
    <t>Nova Zelândia</t>
  </si>
  <si>
    <t>França</t>
  </si>
  <si>
    <t>Senegal</t>
  </si>
  <si>
    <t>Iraque</t>
  </si>
  <si>
    <t>Noruega</t>
  </si>
  <si>
    <t>Argentina</t>
  </si>
  <si>
    <t>Argélia</t>
  </si>
  <si>
    <t>Áustria</t>
  </si>
  <si>
    <t>Jordânia</t>
  </si>
  <si>
    <t>Portugal</t>
  </si>
  <si>
    <t>RD Congo</t>
  </si>
  <si>
    <t>Inglaterra</t>
  </si>
  <si>
    <t>Croácia</t>
  </si>
  <si>
    <t>Gana</t>
  </si>
  <si>
    <t>Panamá</t>
  </si>
  <si>
    <t>Uzbequistão</t>
  </si>
  <si>
    <t>Colômbia</t>
  </si>
  <si>
    <t>Classificação Geral</t>
  </si>
  <si>
    <t>Pontos</t>
  </si>
  <si>
    <t>Acertos</t>
  </si>
  <si>
    <t>Posição</t>
  </si>
  <si>
    <t>Nome</t>
  </si>
  <si>
    <t>Rodrigo</t>
  </si>
  <si>
    <t>Arthur</t>
  </si>
  <si>
    <t>Dudu</t>
  </si>
  <si>
    <t>Carol</t>
  </si>
  <si>
    <t>Ana</t>
  </si>
  <si>
    <t>Isa</t>
  </si>
  <si>
    <t>Trops</t>
  </si>
  <si>
    <t>Palpites</t>
  </si>
  <si>
    <t>6 pontos</t>
  </si>
  <si>
    <t>4 pontos</t>
  </si>
  <si>
    <t>3 pontos</t>
  </si>
  <si>
    <t>2 pontos</t>
  </si>
  <si>
    <t>0 pontos</t>
  </si>
  <si>
    <t>Total</t>
  </si>
  <si>
    <t>Total de Acertos</t>
  </si>
  <si>
    <t xml:space="preserve"> 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</si>
</sst>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8"/>
      <color theme="1"/>
      <name val="Aptos Narrow"/>
      <family val="2"/>
      <scheme val="minor"/>
    </font>
    <font>
      <sz val="1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Pontuação Acumulada por Rodada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'Pontuação por rodada'!$B$1</c:f>
              <c:strCache>
                <c:ptCount val="1"/>
                <c:pt idx="0">
                  <c:v>Rodrigo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'Pontuação por rodada'!$A$2:$A$106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'Pontuação por rodada'!$B$2:$B$106</c:f>
              <c:numCache>
                <c:formatCode>General</c:formatCode>
                <c:ptCount val="105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31</c:v>
                </c:pt>
                <c:pt idx="28">
                  <c:v>33</c:v>
                </c:pt>
                <c:pt idx="29">
                  <c:v>36</c:v>
                </c:pt>
                <c:pt idx="30">
                  <c:v>38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46</c:v>
                </c:pt>
                <c:pt idx="35">
                  <c:v>46</c:v>
                </c:pt>
                <c:pt idx="36">
                  <c:v>48</c:v>
                </c:pt>
                <c:pt idx="37">
                  <c:v>54</c:v>
                </c:pt>
                <c:pt idx="38">
                  <c:v>54</c:v>
                </c:pt>
                <c:pt idx="39">
                  <c:v>54</c:v>
                </c:pt>
                <c:pt idx="40">
                  <c:v>56</c:v>
                </c:pt>
                <c:pt idx="41">
                  <c:v>60</c:v>
                </c:pt>
                <c:pt idx="42">
                  <c:v>62</c:v>
                </c:pt>
                <c:pt idx="43">
                  <c:v>66</c:v>
                </c:pt>
                <c:pt idx="44">
                  <c:v>66</c:v>
                </c:pt>
                <c:pt idx="45">
                  <c:v>68</c:v>
                </c:pt>
                <c:pt idx="46">
                  <c:v>68</c:v>
                </c:pt>
                <c:pt idx="47">
                  <c:v>70</c:v>
                </c:pt>
                <c:pt idx="48">
                  <c:v>72</c:v>
                </c:pt>
                <c:pt idx="49">
                  <c:v>72</c:v>
                </c:pt>
                <c:pt idx="50">
                  <c:v>74</c:v>
                </c:pt>
                <c:pt idx="51">
                  <c:v>78</c:v>
                </c:pt>
                <c:pt idx="52">
                  <c:v>86</c:v>
                </c:pt>
                <c:pt idx="53">
                  <c:v>86</c:v>
                </c:pt>
                <c:pt idx="54">
                  <c:v>88</c:v>
                </c:pt>
                <c:pt idx="55">
                  <c:v>94</c:v>
                </c:pt>
                <c:pt idx="56">
                  <c:v>94</c:v>
                </c:pt>
                <c:pt idx="57">
                  <c:v>96</c:v>
                </c:pt>
                <c:pt idx="58">
                  <c:v>96</c:v>
                </c:pt>
                <c:pt idx="59">
                  <c:v>96</c:v>
                </c:pt>
                <c:pt idx="60">
                  <c:v>96</c:v>
                </c:pt>
                <c:pt idx="61">
                  <c:v>96</c:v>
                </c:pt>
                <c:pt idx="62">
                  <c:v>96</c:v>
                </c:pt>
                <c:pt idx="63">
                  <c:v>96</c:v>
                </c:pt>
                <c:pt idx="64">
                  <c:v>96</c:v>
                </c:pt>
                <c:pt idx="65">
                  <c:v>96</c:v>
                </c:pt>
                <c:pt idx="66">
                  <c:v>96</c:v>
                </c:pt>
                <c:pt idx="67">
                  <c:v>96</c:v>
                </c:pt>
                <c:pt idx="68">
                  <c:v>96</c:v>
                </c:pt>
                <c:pt idx="69">
                  <c:v>96</c:v>
                </c:pt>
                <c:pt idx="70">
                  <c:v>96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5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96</c:v>
                </c:pt>
                <c:pt idx="79">
                  <c:v>96</c:v>
                </c:pt>
                <c:pt idx="80">
                  <c:v>96</c:v>
                </c:pt>
                <c:pt idx="81">
                  <c:v>96</c:v>
                </c:pt>
                <c:pt idx="82">
                  <c:v>96</c:v>
                </c:pt>
                <c:pt idx="83">
                  <c:v>96</c:v>
                </c:pt>
                <c:pt idx="84">
                  <c:v>96</c:v>
                </c:pt>
                <c:pt idx="85">
                  <c:v>96</c:v>
                </c:pt>
                <c:pt idx="86">
                  <c:v>96</c:v>
                </c:pt>
                <c:pt idx="87">
                  <c:v>96</c:v>
                </c:pt>
                <c:pt idx="88">
                  <c:v>96</c:v>
                </c:pt>
                <c:pt idx="89">
                  <c:v>96</c:v>
                </c:pt>
                <c:pt idx="90">
                  <c:v>96</c:v>
                </c:pt>
                <c:pt idx="91">
                  <c:v>96</c:v>
                </c:pt>
                <c:pt idx="92">
                  <c:v>96</c:v>
                </c:pt>
                <c:pt idx="93">
                  <c:v>96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96</c:v>
                </c:pt>
                <c:pt idx="98">
                  <c:v>96</c:v>
                </c:pt>
                <c:pt idx="99">
                  <c:v>96</c:v>
                </c:pt>
                <c:pt idx="100">
                  <c:v>96</c:v>
                </c:pt>
                <c:pt idx="101">
                  <c:v>96</c:v>
                </c:pt>
                <c:pt idx="102">
                  <c:v>96</c:v>
                </c:pt>
                <c:pt idx="103">
                  <c:v>96</c:v>
                </c:pt>
                <c:pt idx="104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0-4F03-A0C1-C4FB105CAFEB}"/>
            </c:ext>
          </c:extLst>
        </c:ser>
        <c:ser>
          <c:idx val="1"/>
          <c:order val="1"/>
          <c:tx>
            <c:strRef>
              <c:f>'Pontuação por rodada'!$C$1</c:f>
              <c:strCache>
                <c:ptCount val="1"/>
                <c:pt idx="0">
                  <c:v>Arthur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'Pontuação por rodada'!$A$2:$A$106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'Pontuação por rodada'!$C$2:$C$106</c:f>
              <c:numCache>
                <c:formatCode>General</c:formatCode>
                <c:ptCount val="10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22</c:v>
                </c:pt>
                <c:pt idx="18">
                  <c:v>24</c:v>
                </c:pt>
                <c:pt idx="19">
                  <c:v>30</c:v>
                </c:pt>
                <c:pt idx="20">
                  <c:v>33</c:v>
                </c:pt>
                <c:pt idx="21">
                  <c:v>33</c:v>
                </c:pt>
                <c:pt idx="22">
                  <c:v>36</c:v>
                </c:pt>
                <c:pt idx="23">
                  <c:v>38</c:v>
                </c:pt>
                <c:pt idx="24">
                  <c:v>41</c:v>
                </c:pt>
                <c:pt idx="25">
                  <c:v>41</c:v>
                </c:pt>
                <c:pt idx="26">
                  <c:v>43</c:v>
                </c:pt>
                <c:pt idx="27">
                  <c:v>45</c:v>
                </c:pt>
                <c:pt idx="28">
                  <c:v>48</c:v>
                </c:pt>
                <c:pt idx="29">
                  <c:v>52</c:v>
                </c:pt>
                <c:pt idx="30">
                  <c:v>54</c:v>
                </c:pt>
                <c:pt idx="31">
                  <c:v>58</c:v>
                </c:pt>
                <c:pt idx="32">
                  <c:v>58</c:v>
                </c:pt>
                <c:pt idx="33">
                  <c:v>60</c:v>
                </c:pt>
                <c:pt idx="34">
                  <c:v>62</c:v>
                </c:pt>
                <c:pt idx="35">
                  <c:v>62</c:v>
                </c:pt>
                <c:pt idx="36">
                  <c:v>68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72</c:v>
                </c:pt>
                <c:pt idx="41">
                  <c:v>74</c:v>
                </c:pt>
                <c:pt idx="42">
                  <c:v>76</c:v>
                </c:pt>
                <c:pt idx="43">
                  <c:v>79</c:v>
                </c:pt>
                <c:pt idx="44">
                  <c:v>85</c:v>
                </c:pt>
                <c:pt idx="45">
                  <c:v>87</c:v>
                </c:pt>
                <c:pt idx="46">
                  <c:v>87</c:v>
                </c:pt>
                <c:pt idx="47">
                  <c:v>89</c:v>
                </c:pt>
                <c:pt idx="48">
                  <c:v>92</c:v>
                </c:pt>
                <c:pt idx="49">
                  <c:v>92</c:v>
                </c:pt>
                <c:pt idx="50">
                  <c:v>95</c:v>
                </c:pt>
                <c:pt idx="51">
                  <c:v>99</c:v>
                </c:pt>
                <c:pt idx="52">
                  <c:v>103</c:v>
                </c:pt>
                <c:pt idx="53">
                  <c:v>103</c:v>
                </c:pt>
                <c:pt idx="54">
                  <c:v>105</c:v>
                </c:pt>
                <c:pt idx="55">
                  <c:v>107</c:v>
                </c:pt>
                <c:pt idx="56">
                  <c:v>107</c:v>
                </c:pt>
                <c:pt idx="57">
                  <c:v>107</c:v>
                </c:pt>
                <c:pt idx="58">
                  <c:v>107</c:v>
                </c:pt>
                <c:pt idx="59">
                  <c:v>107</c:v>
                </c:pt>
                <c:pt idx="60">
                  <c:v>107</c:v>
                </c:pt>
                <c:pt idx="61">
                  <c:v>107</c:v>
                </c:pt>
                <c:pt idx="62">
                  <c:v>107</c:v>
                </c:pt>
                <c:pt idx="63">
                  <c:v>107</c:v>
                </c:pt>
                <c:pt idx="64">
                  <c:v>107</c:v>
                </c:pt>
                <c:pt idx="65">
                  <c:v>107</c:v>
                </c:pt>
                <c:pt idx="66">
                  <c:v>107</c:v>
                </c:pt>
                <c:pt idx="67">
                  <c:v>107</c:v>
                </c:pt>
                <c:pt idx="68">
                  <c:v>107</c:v>
                </c:pt>
                <c:pt idx="69">
                  <c:v>107</c:v>
                </c:pt>
                <c:pt idx="70">
                  <c:v>107</c:v>
                </c:pt>
                <c:pt idx="71">
                  <c:v>107</c:v>
                </c:pt>
                <c:pt idx="72">
                  <c:v>107</c:v>
                </c:pt>
                <c:pt idx="73">
                  <c:v>107</c:v>
                </c:pt>
                <c:pt idx="74">
                  <c:v>107</c:v>
                </c:pt>
                <c:pt idx="75">
                  <c:v>107</c:v>
                </c:pt>
                <c:pt idx="76">
                  <c:v>107</c:v>
                </c:pt>
                <c:pt idx="77">
                  <c:v>107</c:v>
                </c:pt>
                <c:pt idx="78">
                  <c:v>107</c:v>
                </c:pt>
                <c:pt idx="79">
                  <c:v>107</c:v>
                </c:pt>
                <c:pt idx="80">
                  <c:v>107</c:v>
                </c:pt>
                <c:pt idx="81">
                  <c:v>107</c:v>
                </c:pt>
                <c:pt idx="82">
                  <c:v>107</c:v>
                </c:pt>
                <c:pt idx="83">
                  <c:v>107</c:v>
                </c:pt>
                <c:pt idx="84">
                  <c:v>107</c:v>
                </c:pt>
                <c:pt idx="85">
                  <c:v>107</c:v>
                </c:pt>
                <c:pt idx="86">
                  <c:v>107</c:v>
                </c:pt>
                <c:pt idx="87">
                  <c:v>107</c:v>
                </c:pt>
                <c:pt idx="88">
                  <c:v>107</c:v>
                </c:pt>
                <c:pt idx="89">
                  <c:v>107</c:v>
                </c:pt>
                <c:pt idx="90">
                  <c:v>107</c:v>
                </c:pt>
                <c:pt idx="91">
                  <c:v>107</c:v>
                </c:pt>
                <c:pt idx="92">
                  <c:v>107</c:v>
                </c:pt>
                <c:pt idx="93">
                  <c:v>107</c:v>
                </c:pt>
                <c:pt idx="94">
                  <c:v>107</c:v>
                </c:pt>
                <c:pt idx="95">
                  <c:v>107</c:v>
                </c:pt>
                <c:pt idx="96">
                  <c:v>107</c:v>
                </c:pt>
                <c:pt idx="97">
                  <c:v>107</c:v>
                </c:pt>
                <c:pt idx="98">
                  <c:v>107</c:v>
                </c:pt>
                <c:pt idx="99">
                  <c:v>107</c:v>
                </c:pt>
                <c:pt idx="100">
                  <c:v>107</c:v>
                </c:pt>
                <c:pt idx="101">
                  <c:v>107</c:v>
                </c:pt>
                <c:pt idx="102">
                  <c:v>107</c:v>
                </c:pt>
                <c:pt idx="103">
                  <c:v>107</c:v>
                </c:pt>
                <c:pt idx="104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0-4F03-A0C1-C4FB105CAFEB}"/>
            </c:ext>
          </c:extLst>
        </c:ser>
        <c:ser>
          <c:idx val="2"/>
          <c:order val="2"/>
          <c:tx>
            <c:strRef>
              <c:f>'Pontuação por rodada'!$D$1</c:f>
              <c:strCache>
                <c:ptCount val="1"/>
                <c:pt idx="0">
                  <c:v>Dudu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'Pontuação por rodada'!$A$2:$A$106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'Pontuação por rodada'!$D$2:$D$106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6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13</c:v>
                </c:pt>
                <c:pt idx="23">
                  <c:v>15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23</c:v>
                </c:pt>
                <c:pt idx="28">
                  <c:v>23</c:v>
                </c:pt>
                <c:pt idx="29">
                  <c:v>27</c:v>
                </c:pt>
                <c:pt idx="30">
                  <c:v>29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39</c:v>
                </c:pt>
                <c:pt idx="35">
                  <c:v>39</c:v>
                </c:pt>
                <c:pt idx="36">
                  <c:v>41</c:v>
                </c:pt>
                <c:pt idx="37">
                  <c:v>43</c:v>
                </c:pt>
                <c:pt idx="38">
                  <c:v>43</c:v>
                </c:pt>
                <c:pt idx="39">
                  <c:v>43</c:v>
                </c:pt>
                <c:pt idx="40">
                  <c:v>46</c:v>
                </c:pt>
                <c:pt idx="41">
                  <c:v>52</c:v>
                </c:pt>
                <c:pt idx="42">
                  <c:v>58</c:v>
                </c:pt>
                <c:pt idx="43">
                  <c:v>62</c:v>
                </c:pt>
                <c:pt idx="44">
                  <c:v>62</c:v>
                </c:pt>
                <c:pt idx="45">
                  <c:v>64</c:v>
                </c:pt>
                <c:pt idx="46">
                  <c:v>64</c:v>
                </c:pt>
                <c:pt idx="47">
                  <c:v>66</c:v>
                </c:pt>
                <c:pt idx="48">
                  <c:v>69</c:v>
                </c:pt>
                <c:pt idx="49">
                  <c:v>75</c:v>
                </c:pt>
                <c:pt idx="50">
                  <c:v>78</c:v>
                </c:pt>
                <c:pt idx="51">
                  <c:v>80</c:v>
                </c:pt>
                <c:pt idx="52">
                  <c:v>84</c:v>
                </c:pt>
                <c:pt idx="53">
                  <c:v>84</c:v>
                </c:pt>
                <c:pt idx="54">
                  <c:v>86</c:v>
                </c:pt>
                <c:pt idx="55">
                  <c:v>92</c:v>
                </c:pt>
                <c:pt idx="56">
                  <c:v>92</c:v>
                </c:pt>
                <c:pt idx="57">
                  <c:v>96</c:v>
                </c:pt>
                <c:pt idx="58">
                  <c:v>96</c:v>
                </c:pt>
                <c:pt idx="59">
                  <c:v>96</c:v>
                </c:pt>
                <c:pt idx="60">
                  <c:v>96</c:v>
                </c:pt>
                <c:pt idx="61">
                  <c:v>96</c:v>
                </c:pt>
                <c:pt idx="62">
                  <c:v>96</c:v>
                </c:pt>
                <c:pt idx="63">
                  <c:v>96</c:v>
                </c:pt>
                <c:pt idx="64">
                  <c:v>96</c:v>
                </c:pt>
                <c:pt idx="65">
                  <c:v>96</c:v>
                </c:pt>
                <c:pt idx="66">
                  <c:v>96</c:v>
                </c:pt>
                <c:pt idx="67">
                  <c:v>96</c:v>
                </c:pt>
                <c:pt idx="68">
                  <c:v>96</c:v>
                </c:pt>
                <c:pt idx="69">
                  <c:v>96</c:v>
                </c:pt>
                <c:pt idx="70">
                  <c:v>96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5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96</c:v>
                </c:pt>
                <c:pt idx="79">
                  <c:v>96</c:v>
                </c:pt>
                <c:pt idx="80">
                  <c:v>96</c:v>
                </c:pt>
                <c:pt idx="81">
                  <c:v>96</c:v>
                </c:pt>
                <c:pt idx="82">
                  <c:v>96</c:v>
                </c:pt>
                <c:pt idx="83">
                  <c:v>96</c:v>
                </c:pt>
                <c:pt idx="84">
                  <c:v>96</c:v>
                </c:pt>
                <c:pt idx="85">
                  <c:v>96</c:v>
                </c:pt>
                <c:pt idx="86">
                  <c:v>96</c:v>
                </c:pt>
                <c:pt idx="87">
                  <c:v>96</c:v>
                </c:pt>
                <c:pt idx="88">
                  <c:v>96</c:v>
                </c:pt>
                <c:pt idx="89">
                  <c:v>96</c:v>
                </c:pt>
                <c:pt idx="90">
                  <c:v>96</c:v>
                </c:pt>
                <c:pt idx="91">
                  <c:v>96</c:v>
                </c:pt>
                <c:pt idx="92">
                  <c:v>96</c:v>
                </c:pt>
                <c:pt idx="93">
                  <c:v>96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96</c:v>
                </c:pt>
                <c:pt idx="98">
                  <c:v>96</c:v>
                </c:pt>
                <c:pt idx="99">
                  <c:v>96</c:v>
                </c:pt>
                <c:pt idx="100">
                  <c:v>96</c:v>
                </c:pt>
                <c:pt idx="101">
                  <c:v>96</c:v>
                </c:pt>
                <c:pt idx="102">
                  <c:v>96</c:v>
                </c:pt>
                <c:pt idx="103">
                  <c:v>96</c:v>
                </c:pt>
                <c:pt idx="104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0-4F03-A0C1-C4FB105CAFEB}"/>
            </c:ext>
          </c:extLst>
        </c:ser>
        <c:ser>
          <c:idx val="3"/>
          <c:order val="3"/>
          <c:tx>
            <c:strRef>
              <c:f>'Pontuação por rodada'!$E$1</c:f>
              <c:strCache>
                <c:ptCount val="1"/>
                <c:pt idx="0">
                  <c:v>Carol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'Pontuação por rodada'!$A$2:$A$106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'Pontuação por rodada'!$E$2:$E$106</c:f>
              <c:numCache>
                <c:formatCode>General</c:formatCode>
                <c:ptCount val="105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10</c:v>
                </c:pt>
                <c:pt idx="8">
                  <c:v>10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24</c:v>
                </c:pt>
                <c:pt idx="23">
                  <c:v>24</c:v>
                </c:pt>
                <c:pt idx="24">
                  <c:v>26</c:v>
                </c:pt>
                <c:pt idx="25">
                  <c:v>26</c:v>
                </c:pt>
                <c:pt idx="26">
                  <c:v>28</c:v>
                </c:pt>
                <c:pt idx="27">
                  <c:v>30</c:v>
                </c:pt>
                <c:pt idx="28">
                  <c:v>33</c:v>
                </c:pt>
                <c:pt idx="29">
                  <c:v>35</c:v>
                </c:pt>
                <c:pt idx="30">
                  <c:v>38</c:v>
                </c:pt>
                <c:pt idx="31">
                  <c:v>44</c:v>
                </c:pt>
                <c:pt idx="32">
                  <c:v>47</c:v>
                </c:pt>
                <c:pt idx="33">
                  <c:v>47</c:v>
                </c:pt>
                <c:pt idx="34">
                  <c:v>49</c:v>
                </c:pt>
                <c:pt idx="35">
                  <c:v>49</c:v>
                </c:pt>
                <c:pt idx="36">
                  <c:v>51</c:v>
                </c:pt>
                <c:pt idx="37">
                  <c:v>53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56</c:v>
                </c:pt>
                <c:pt idx="42">
                  <c:v>59</c:v>
                </c:pt>
                <c:pt idx="43">
                  <c:v>63</c:v>
                </c:pt>
                <c:pt idx="44">
                  <c:v>66</c:v>
                </c:pt>
                <c:pt idx="45">
                  <c:v>68</c:v>
                </c:pt>
                <c:pt idx="46">
                  <c:v>68</c:v>
                </c:pt>
                <c:pt idx="47">
                  <c:v>70</c:v>
                </c:pt>
                <c:pt idx="48">
                  <c:v>72</c:v>
                </c:pt>
                <c:pt idx="49">
                  <c:v>72</c:v>
                </c:pt>
                <c:pt idx="50">
                  <c:v>74</c:v>
                </c:pt>
                <c:pt idx="51">
                  <c:v>76</c:v>
                </c:pt>
                <c:pt idx="52">
                  <c:v>80</c:v>
                </c:pt>
                <c:pt idx="53">
                  <c:v>80</c:v>
                </c:pt>
                <c:pt idx="54">
                  <c:v>82</c:v>
                </c:pt>
                <c:pt idx="55">
                  <c:v>88</c:v>
                </c:pt>
                <c:pt idx="56">
                  <c:v>88</c:v>
                </c:pt>
                <c:pt idx="57">
                  <c:v>92</c:v>
                </c:pt>
                <c:pt idx="58">
                  <c:v>92</c:v>
                </c:pt>
                <c:pt idx="59">
                  <c:v>92</c:v>
                </c:pt>
                <c:pt idx="60">
                  <c:v>92</c:v>
                </c:pt>
                <c:pt idx="61">
                  <c:v>92</c:v>
                </c:pt>
                <c:pt idx="62">
                  <c:v>92</c:v>
                </c:pt>
                <c:pt idx="63">
                  <c:v>92</c:v>
                </c:pt>
                <c:pt idx="64">
                  <c:v>92</c:v>
                </c:pt>
                <c:pt idx="65">
                  <c:v>92</c:v>
                </c:pt>
                <c:pt idx="66">
                  <c:v>92</c:v>
                </c:pt>
                <c:pt idx="67">
                  <c:v>92</c:v>
                </c:pt>
                <c:pt idx="68">
                  <c:v>92</c:v>
                </c:pt>
                <c:pt idx="69">
                  <c:v>92</c:v>
                </c:pt>
                <c:pt idx="70">
                  <c:v>92</c:v>
                </c:pt>
                <c:pt idx="71">
                  <c:v>92</c:v>
                </c:pt>
                <c:pt idx="72">
                  <c:v>92</c:v>
                </c:pt>
                <c:pt idx="73">
                  <c:v>92</c:v>
                </c:pt>
                <c:pt idx="74">
                  <c:v>92</c:v>
                </c:pt>
                <c:pt idx="75">
                  <c:v>92</c:v>
                </c:pt>
                <c:pt idx="76">
                  <c:v>92</c:v>
                </c:pt>
                <c:pt idx="77">
                  <c:v>92</c:v>
                </c:pt>
                <c:pt idx="78">
                  <c:v>92</c:v>
                </c:pt>
                <c:pt idx="79">
                  <c:v>92</c:v>
                </c:pt>
                <c:pt idx="80">
                  <c:v>92</c:v>
                </c:pt>
                <c:pt idx="81">
                  <c:v>92</c:v>
                </c:pt>
                <c:pt idx="82">
                  <c:v>92</c:v>
                </c:pt>
                <c:pt idx="83">
                  <c:v>92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92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92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92</c:v>
                </c:pt>
                <c:pt idx="100">
                  <c:v>92</c:v>
                </c:pt>
                <c:pt idx="101">
                  <c:v>92</c:v>
                </c:pt>
                <c:pt idx="102">
                  <c:v>92</c:v>
                </c:pt>
                <c:pt idx="103">
                  <c:v>92</c:v>
                </c:pt>
                <c:pt idx="104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0-4F03-A0C1-C4FB105CAFEB}"/>
            </c:ext>
          </c:extLst>
        </c:ser>
        <c:ser>
          <c:idx val="4"/>
          <c:order val="4"/>
          <c:tx>
            <c:strRef>
              <c:f>'Pontuação por rodada'!$F$1</c:f>
              <c:strCache>
                <c:ptCount val="1"/>
                <c:pt idx="0">
                  <c:v>Ana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'Pontuação por rodada'!$A$2:$A$106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'Pontuação por rodada'!$F$2:$F$106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22</c:v>
                </c:pt>
                <c:pt idx="18">
                  <c:v>24</c:v>
                </c:pt>
                <c:pt idx="19">
                  <c:v>28</c:v>
                </c:pt>
                <c:pt idx="20">
                  <c:v>30</c:v>
                </c:pt>
                <c:pt idx="21">
                  <c:v>30</c:v>
                </c:pt>
                <c:pt idx="22">
                  <c:v>32</c:v>
                </c:pt>
                <c:pt idx="23">
                  <c:v>35</c:v>
                </c:pt>
                <c:pt idx="24">
                  <c:v>41</c:v>
                </c:pt>
                <c:pt idx="25">
                  <c:v>41</c:v>
                </c:pt>
                <c:pt idx="26">
                  <c:v>43</c:v>
                </c:pt>
                <c:pt idx="27">
                  <c:v>45</c:v>
                </c:pt>
                <c:pt idx="28">
                  <c:v>48</c:v>
                </c:pt>
                <c:pt idx="29">
                  <c:v>50</c:v>
                </c:pt>
                <c:pt idx="30">
                  <c:v>52</c:v>
                </c:pt>
                <c:pt idx="31">
                  <c:v>60</c:v>
                </c:pt>
                <c:pt idx="32">
                  <c:v>63</c:v>
                </c:pt>
                <c:pt idx="33">
                  <c:v>65</c:v>
                </c:pt>
                <c:pt idx="34">
                  <c:v>67</c:v>
                </c:pt>
                <c:pt idx="35">
                  <c:v>67</c:v>
                </c:pt>
                <c:pt idx="36">
                  <c:v>69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77</c:v>
                </c:pt>
                <c:pt idx="41">
                  <c:v>80</c:v>
                </c:pt>
                <c:pt idx="42">
                  <c:v>84</c:v>
                </c:pt>
                <c:pt idx="43">
                  <c:v>86</c:v>
                </c:pt>
                <c:pt idx="44">
                  <c:v>92</c:v>
                </c:pt>
                <c:pt idx="45">
                  <c:v>94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98</c:v>
                </c:pt>
                <c:pt idx="50">
                  <c:v>100</c:v>
                </c:pt>
                <c:pt idx="51">
                  <c:v>103</c:v>
                </c:pt>
                <c:pt idx="52">
                  <c:v>111</c:v>
                </c:pt>
                <c:pt idx="53">
                  <c:v>111</c:v>
                </c:pt>
                <c:pt idx="54">
                  <c:v>115</c:v>
                </c:pt>
                <c:pt idx="55">
                  <c:v>119</c:v>
                </c:pt>
                <c:pt idx="56">
                  <c:v>119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123</c:v>
                </c:pt>
                <c:pt idx="76">
                  <c:v>123</c:v>
                </c:pt>
                <c:pt idx="77">
                  <c:v>123</c:v>
                </c:pt>
                <c:pt idx="78">
                  <c:v>123</c:v>
                </c:pt>
                <c:pt idx="79">
                  <c:v>123</c:v>
                </c:pt>
                <c:pt idx="80">
                  <c:v>123</c:v>
                </c:pt>
                <c:pt idx="81">
                  <c:v>123</c:v>
                </c:pt>
                <c:pt idx="82">
                  <c:v>123</c:v>
                </c:pt>
                <c:pt idx="83">
                  <c:v>123</c:v>
                </c:pt>
                <c:pt idx="84">
                  <c:v>123</c:v>
                </c:pt>
                <c:pt idx="85">
                  <c:v>123</c:v>
                </c:pt>
                <c:pt idx="86">
                  <c:v>123</c:v>
                </c:pt>
                <c:pt idx="87">
                  <c:v>123</c:v>
                </c:pt>
                <c:pt idx="88">
                  <c:v>123</c:v>
                </c:pt>
                <c:pt idx="89">
                  <c:v>123</c:v>
                </c:pt>
                <c:pt idx="90">
                  <c:v>123</c:v>
                </c:pt>
                <c:pt idx="91">
                  <c:v>123</c:v>
                </c:pt>
                <c:pt idx="92">
                  <c:v>123</c:v>
                </c:pt>
                <c:pt idx="93">
                  <c:v>123</c:v>
                </c:pt>
                <c:pt idx="94">
                  <c:v>123</c:v>
                </c:pt>
                <c:pt idx="95">
                  <c:v>123</c:v>
                </c:pt>
                <c:pt idx="96">
                  <c:v>123</c:v>
                </c:pt>
                <c:pt idx="97">
                  <c:v>123</c:v>
                </c:pt>
                <c:pt idx="98">
                  <c:v>123</c:v>
                </c:pt>
                <c:pt idx="99">
                  <c:v>123</c:v>
                </c:pt>
                <c:pt idx="100">
                  <c:v>123</c:v>
                </c:pt>
                <c:pt idx="101">
                  <c:v>123</c:v>
                </c:pt>
                <c:pt idx="102">
                  <c:v>123</c:v>
                </c:pt>
                <c:pt idx="103">
                  <c:v>123</c:v>
                </c:pt>
                <c:pt idx="104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50-4F03-A0C1-C4FB105CAFEB}"/>
            </c:ext>
          </c:extLst>
        </c:ser>
        <c:ser>
          <c:idx val="5"/>
          <c:order val="5"/>
          <c:tx>
            <c:strRef>
              <c:f>'Pontuação por rodada'!$G$1</c:f>
              <c:strCache>
                <c:ptCount val="1"/>
                <c:pt idx="0">
                  <c:v> Isa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'Pontuação por rodada'!$A$2:$A$106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'Pontuação por rodada'!$G$2:$G$106</c:f>
              <c:numCache>
                <c:formatCode>General</c:formatCode>
                <c:ptCount val="105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9</c:v>
                </c:pt>
                <c:pt idx="8">
                  <c:v>9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13</c:v>
                </c:pt>
                <c:pt idx="17">
                  <c:v>17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22</c:v>
                </c:pt>
                <c:pt idx="24">
                  <c:v>25</c:v>
                </c:pt>
                <c:pt idx="25">
                  <c:v>27</c:v>
                </c:pt>
                <c:pt idx="26">
                  <c:v>29</c:v>
                </c:pt>
                <c:pt idx="27">
                  <c:v>29</c:v>
                </c:pt>
                <c:pt idx="28">
                  <c:v>32</c:v>
                </c:pt>
                <c:pt idx="29">
                  <c:v>35</c:v>
                </c:pt>
                <c:pt idx="30">
                  <c:v>37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47</c:v>
                </c:pt>
                <c:pt idx="35">
                  <c:v>49</c:v>
                </c:pt>
                <c:pt idx="36">
                  <c:v>51</c:v>
                </c:pt>
                <c:pt idx="37">
                  <c:v>57</c:v>
                </c:pt>
                <c:pt idx="38">
                  <c:v>57</c:v>
                </c:pt>
                <c:pt idx="39">
                  <c:v>57</c:v>
                </c:pt>
                <c:pt idx="40">
                  <c:v>60</c:v>
                </c:pt>
                <c:pt idx="41">
                  <c:v>62</c:v>
                </c:pt>
                <c:pt idx="42">
                  <c:v>65</c:v>
                </c:pt>
                <c:pt idx="43">
                  <c:v>69</c:v>
                </c:pt>
                <c:pt idx="44">
                  <c:v>75</c:v>
                </c:pt>
                <c:pt idx="45">
                  <c:v>77</c:v>
                </c:pt>
                <c:pt idx="46">
                  <c:v>77</c:v>
                </c:pt>
                <c:pt idx="47">
                  <c:v>77</c:v>
                </c:pt>
                <c:pt idx="48">
                  <c:v>80</c:v>
                </c:pt>
                <c:pt idx="49">
                  <c:v>80</c:v>
                </c:pt>
                <c:pt idx="50">
                  <c:v>83</c:v>
                </c:pt>
                <c:pt idx="51">
                  <c:v>87</c:v>
                </c:pt>
                <c:pt idx="52">
                  <c:v>99</c:v>
                </c:pt>
                <c:pt idx="53">
                  <c:v>99</c:v>
                </c:pt>
                <c:pt idx="54">
                  <c:v>101</c:v>
                </c:pt>
                <c:pt idx="55">
                  <c:v>103</c:v>
                </c:pt>
                <c:pt idx="56">
                  <c:v>103</c:v>
                </c:pt>
                <c:pt idx="57">
                  <c:v>105</c:v>
                </c:pt>
                <c:pt idx="58">
                  <c:v>105</c:v>
                </c:pt>
                <c:pt idx="59">
                  <c:v>105</c:v>
                </c:pt>
                <c:pt idx="60">
                  <c:v>105</c:v>
                </c:pt>
                <c:pt idx="61">
                  <c:v>105</c:v>
                </c:pt>
                <c:pt idx="62">
                  <c:v>105</c:v>
                </c:pt>
                <c:pt idx="63">
                  <c:v>105</c:v>
                </c:pt>
                <c:pt idx="64">
                  <c:v>105</c:v>
                </c:pt>
                <c:pt idx="65">
                  <c:v>105</c:v>
                </c:pt>
                <c:pt idx="66">
                  <c:v>105</c:v>
                </c:pt>
                <c:pt idx="67">
                  <c:v>105</c:v>
                </c:pt>
                <c:pt idx="68">
                  <c:v>105</c:v>
                </c:pt>
                <c:pt idx="69">
                  <c:v>105</c:v>
                </c:pt>
                <c:pt idx="70">
                  <c:v>105</c:v>
                </c:pt>
                <c:pt idx="71">
                  <c:v>105</c:v>
                </c:pt>
                <c:pt idx="72">
                  <c:v>105</c:v>
                </c:pt>
                <c:pt idx="73">
                  <c:v>105</c:v>
                </c:pt>
                <c:pt idx="74">
                  <c:v>105</c:v>
                </c:pt>
                <c:pt idx="75">
                  <c:v>105</c:v>
                </c:pt>
                <c:pt idx="76">
                  <c:v>105</c:v>
                </c:pt>
                <c:pt idx="77">
                  <c:v>105</c:v>
                </c:pt>
                <c:pt idx="78">
                  <c:v>105</c:v>
                </c:pt>
                <c:pt idx="79">
                  <c:v>105</c:v>
                </c:pt>
                <c:pt idx="80">
                  <c:v>105</c:v>
                </c:pt>
                <c:pt idx="81">
                  <c:v>105</c:v>
                </c:pt>
                <c:pt idx="82">
                  <c:v>105</c:v>
                </c:pt>
                <c:pt idx="83">
                  <c:v>105</c:v>
                </c:pt>
                <c:pt idx="84">
                  <c:v>105</c:v>
                </c:pt>
                <c:pt idx="85">
                  <c:v>105</c:v>
                </c:pt>
                <c:pt idx="86">
                  <c:v>105</c:v>
                </c:pt>
                <c:pt idx="87">
                  <c:v>105</c:v>
                </c:pt>
                <c:pt idx="88">
                  <c:v>105</c:v>
                </c:pt>
                <c:pt idx="89">
                  <c:v>105</c:v>
                </c:pt>
                <c:pt idx="90">
                  <c:v>105</c:v>
                </c:pt>
                <c:pt idx="91">
                  <c:v>105</c:v>
                </c:pt>
                <c:pt idx="92">
                  <c:v>105</c:v>
                </c:pt>
                <c:pt idx="93">
                  <c:v>105</c:v>
                </c:pt>
                <c:pt idx="94">
                  <c:v>105</c:v>
                </c:pt>
                <c:pt idx="95">
                  <c:v>105</c:v>
                </c:pt>
                <c:pt idx="96">
                  <c:v>105</c:v>
                </c:pt>
                <c:pt idx="97">
                  <c:v>105</c:v>
                </c:pt>
                <c:pt idx="98">
                  <c:v>105</c:v>
                </c:pt>
                <c:pt idx="99">
                  <c:v>105</c:v>
                </c:pt>
                <c:pt idx="100">
                  <c:v>105</c:v>
                </c:pt>
                <c:pt idx="101">
                  <c:v>105</c:v>
                </c:pt>
                <c:pt idx="102">
                  <c:v>105</c:v>
                </c:pt>
                <c:pt idx="103">
                  <c:v>105</c:v>
                </c:pt>
                <c:pt idx="104">
                  <c:v>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50-4F03-A0C1-C4FB105CAFEB}"/>
            </c:ext>
          </c:extLst>
        </c:ser>
        <c:ser>
          <c:idx val="6"/>
          <c:order val="6"/>
          <c:tx>
            <c:strRef>
              <c:f>'Pontuação por rodada'!$H$1</c:f>
              <c:strCache>
                <c:ptCount val="1"/>
                <c:pt idx="0">
                  <c:v>Trops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'Pontuação por rodada'!$A$2:$A$106</c:f>
              <c:numCache>
                <c:formatCode>General</c:formatCode>
                <c:ptCount val="1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</c:numCache>
            </c:numRef>
          </c:xVal>
          <c:yVal>
            <c:numRef>
              <c:f>'Pontuação por rodada'!$H$2:$H$106</c:f>
              <c:numCache>
                <c:formatCode>General</c:formatCode>
                <c:ptCount val="10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10</c:v>
                </c:pt>
                <c:pt idx="18">
                  <c:v>12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19</c:v>
                </c:pt>
                <c:pt idx="23">
                  <c:v>19</c:v>
                </c:pt>
                <c:pt idx="24">
                  <c:v>23</c:v>
                </c:pt>
                <c:pt idx="25">
                  <c:v>25</c:v>
                </c:pt>
                <c:pt idx="26">
                  <c:v>27</c:v>
                </c:pt>
                <c:pt idx="27">
                  <c:v>29</c:v>
                </c:pt>
                <c:pt idx="28">
                  <c:v>31</c:v>
                </c:pt>
                <c:pt idx="29">
                  <c:v>31</c:v>
                </c:pt>
                <c:pt idx="30">
                  <c:v>33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43</c:v>
                </c:pt>
                <c:pt idx="35">
                  <c:v>43</c:v>
                </c:pt>
                <c:pt idx="36">
                  <c:v>45</c:v>
                </c:pt>
                <c:pt idx="37">
                  <c:v>47</c:v>
                </c:pt>
                <c:pt idx="38">
                  <c:v>47</c:v>
                </c:pt>
                <c:pt idx="39">
                  <c:v>53</c:v>
                </c:pt>
                <c:pt idx="40">
                  <c:v>55</c:v>
                </c:pt>
                <c:pt idx="41">
                  <c:v>58</c:v>
                </c:pt>
                <c:pt idx="42">
                  <c:v>60</c:v>
                </c:pt>
                <c:pt idx="43">
                  <c:v>63</c:v>
                </c:pt>
                <c:pt idx="44">
                  <c:v>63</c:v>
                </c:pt>
                <c:pt idx="45">
                  <c:v>65</c:v>
                </c:pt>
                <c:pt idx="46">
                  <c:v>65</c:v>
                </c:pt>
                <c:pt idx="47">
                  <c:v>68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73</c:v>
                </c:pt>
                <c:pt idx="52">
                  <c:v>77</c:v>
                </c:pt>
                <c:pt idx="53">
                  <c:v>77</c:v>
                </c:pt>
                <c:pt idx="54">
                  <c:v>79</c:v>
                </c:pt>
                <c:pt idx="55">
                  <c:v>81</c:v>
                </c:pt>
                <c:pt idx="56">
                  <c:v>81</c:v>
                </c:pt>
                <c:pt idx="57">
                  <c:v>83</c:v>
                </c:pt>
                <c:pt idx="58">
                  <c:v>83</c:v>
                </c:pt>
                <c:pt idx="59">
                  <c:v>83</c:v>
                </c:pt>
                <c:pt idx="60">
                  <c:v>83</c:v>
                </c:pt>
                <c:pt idx="61">
                  <c:v>83</c:v>
                </c:pt>
                <c:pt idx="62">
                  <c:v>83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83</c:v>
                </c:pt>
                <c:pt idx="67">
                  <c:v>83</c:v>
                </c:pt>
                <c:pt idx="68">
                  <c:v>83</c:v>
                </c:pt>
                <c:pt idx="69">
                  <c:v>83</c:v>
                </c:pt>
                <c:pt idx="70">
                  <c:v>83</c:v>
                </c:pt>
                <c:pt idx="71">
                  <c:v>83</c:v>
                </c:pt>
                <c:pt idx="72">
                  <c:v>83</c:v>
                </c:pt>
                <c:pt idx="73">
                  <c:v>83</c:v>
                </c:pt>
                <c:pt idx="74">
                  <c:v>83</c:v>
                </c:pt>
                <c:pt idx="75">
                  <c:v>83</c:v>
                </c:pt>
                <c:pt idx="76">
                  <c:v>83</c:v>
                </c:pt>
                <c:pt idx="77">
                  <c:v>83</c:v>
                </c:pt>
                <c:pt idx="78">
                  <c:v>83</c:v>
                </c:pt>
                <c:pt idx="79">
                  <c:v>83</c:v>
                </c:pt>
                <c:pt idx="80">
                  <c:v>83</c:v>
                </c:pt>
                <c:pt idx="81">
                  <c:v>83</c:v>
                </c:pt>
                <c:pt idx="82">
                  <c:v>83</c:v>
                </c:pt>
                <c:pt idx="83">
                  <c:v>83</c:v>
                </c:pt>
                <c:pt idx="84">
                  <c:v>83</c:v>
                </c:pt>
                <c:pt idx="85">
                  <c:v>83</c:v>
                </c:pt>
                <c:pt idx="86">
                  <c:v>83</c:v>
                </c:pt>
                <c:pt idx="87">
                  <c:v>83</c:v>
                </c:pt>
                <c:pt idx="88">
                  <c:v>83</c:v>
                </c:pt>
                <c:pt idx="89">
                  <c:v>83</c:v>
                </c:pt>
                <c:pt idx="90">
                  <c:v>83</c:v>
                </c:pt>
                <c:pt idx="91">
                  <c:v>83</c:v>
                </c:pt>
                <c:pt idx="92">
                  <c:v>83</c:v>
                </c:pt>
                <c:pt idx="93">
                  <c:v>83</c:v>
                </c:pt>
                <c:pt idx="94">
                  <c:v>83</c:v>
                </c:pt>
                <c:pt idx="95">
                  <c:v>83</c:v>
                </c:pt>
                <c:pt idx="96">
                  <c:v>83</c:v>
                </c:pt>
                <c:pt idx="97">
                  <c:v>83</c:v>
                </c:pt>
                <c:pt idx="98">
                  <c:v>83</c:v>
                </c:pt>
                <c:pt idx="99">
                  <c:v>83</c:v>
                </c:pt>
                <c:pt idx="100">
                  <c:v>83</c:v>
                </c:pt>
                <c:pt idx="101">
                  <c:v>83</c:v>
                </c:pt>
                <c:pt idx="102">
                  <c:v>83</c:v>
                </c:pt>
                <c:pt idx="103">
                  <c:v>83</c:v>
                </c:pt>
                <c:pt idx="104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50-4F03-A0C1-C4FB105CA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82959"/>
        <c:axId val="735681039"/>
      </c:scatterChart>
      <c:valAx>
        <c:axId val="735682959"/>
        <c:scaling>
          <c:orientation val="minMax"/>
          <c:max val="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81039"/>
        <c:crosses val="autoZero"/>
        <c:crossBetween val="midCat"/>
        <c:majorUnit val="5"/>
      </c:valAx>
      <c:valAx>
        <c:axId val="73568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68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0</xdr:row>
      <xdr:rowOff>76200</xdr:rowOff>
    </xdr:from>
    <xdr:to>
      <xdr:col>19</xdr:col>
      <xdr:colOff>510540</xdr:colOff>
      <xdr:row>13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A89EF4-5978-40DF-B936-0D6097A5B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opLeftCell="A36" workbookViewId="0">
      <selection activeCell="C61" sqref="C61"/>
    </sheetView>
  </sheetViews>
  <sheetFormatPr defaultColWidth="12.6640625" defaultRowHeight="15" customHeight="1" x14ac:dyDescent="0.3"/>
  <cols>
    <col min="1" max="1" width="8.88671875" customWidth="1"/>
    <col min="2" max="2" width="14.109375" customWidth="1"/>
    <col min="3" max="5" width="8.88671875" customWidth="1"/>
    <col min="6" max="6" width="14.109375" customWidth="1"/>
    <col min="7" max="7" width="15" customWidth="1"/>
    <col min="8" max="26" width="8.5546875" customWidth="1"/>
  </cols>
  <sheetData>
    <row r="1" spans="1:7" ht="14.25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14.2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4.25" customHeight="1" x14ac:dyDescent="0.3">
      <c r="A3" s="3">
        <v>1</v>
      </c>
      <c r="B3" s="3" t="s">
        <v>8</v>
      </c>
      <c r="C3" s="3">
        <v>2</v>
      </c>
      <c r="D3" s="3" t="s">
        <v>4</v>
      </c>
      <c r="E3" s="3">
        <v>0</v>
      </c>
      <c r="F3" s="3" t="s">
        <v>9</v>
      </c>
      <c r="G3" s="3" t="str">
        <f t="shared" ref="G3:G106" si="0">IF(C3&gt;E3,B3,IF(E3&gt;C3,F3,IF(ISBLANK(C3),"-","Empate")))</f>
        <v>México</v>
      </c>
    </row>
    <row r="4" spans="1:7" ht="14.25" customHeight="1" x14ac:dyDescent="0.3">
      <c r="A4" s="3">
        <v>2</v>
      </c>
      <c r="B4" s="3" t="s">
        <v>10</v>
      </c>
      <c r="C4" s="3">
        <v>2</v>
      </c>
      <c r="D4" s="3" t="s">
        <v>4</v>
      </c>
      <c r="E4" s="3">
        <v>1</v>
      </c>
      <c r="F4" s="3" t="s">
        <v>11</v>
      </c>
      <c r="G4" s="3" t="str">
        <f t="shared" si="0"/>
        <v>Coreia do Sul</v>
      </c>
    </row>
    <row r="5" spans="1:7" ht="14.25" customHeight="1" x14ac:dyDescent="0.3">
      <c r="A5" s="3">
        <v>3</v>
      </c>
      <c r="B5" s="3" t="s">
        <v>12</v>
      </c>
      <c r="C5" s="3">
        <v>1</v>
      </c>
      <c r="D5" s="3" t="s">
        <v>4</v>
      </c>
      <c r="E5" s="3">
        <v>1</v>
      </c>
      <c r="F5" s="3" t="s">
        <v>13</v>
      </c>
      <c r="G5" s="3" t="str">
        <f t="shared" si="0"/>
        <v>Empate</v>
      </c>
    </row>
    <row r="6" spans="1:7" ht="14.25" customHeight="1" x14ac:dyDescent="0.3">
      <c r="A6" s="3">
        <v>4</v>
      </c>
      <c r="B6" s="3" t="s">
        <v>14</v>
      </c>
      <c r="C6" s="3">
        <v>4</v>
      </c>
      <c r="D6" s="3" t="s">
        <v>4</v>
      </c>
      <c r="E6" s="3">
        <v>1</v>
      </c>
      <c r="F6" s="3" t="s">
        <v>15</v>
      </c>
      <c r="G6" s="3" t="str">
        <f t="shared" si="0"/>
        <v>EUA</v>
      </c>
    </row>
    <row r="7" spans="1:7" ht="14.25" customHeight="1" x14ac:dyDescent="0.3">
      <c r="A7" s="3">
        <v>5</v>
      </c>
      <c r="B7" s="3" t="s">
        <v>16</v>
      </c>
      <c r="C7" s="3">
        <v>1</v>
      </c>
      <c r="D7" s="3" t="s">
        <v>4</v>
      </c>
      <c r="E7" s="3">
        <v>1</v>
      </c>
      <c r="F7" s="3" t="s">
        <v>17</v>
      </c>
      <c r="G7" s="3" t="str">
        <f t="shared" si="0"/>
        <v>Empate</v>
      </c>
    </row>
    <row r="8" spans="1:7" ht="14.25" customHeight="1" x14ac:dyDescent="0.3">
      <c r="A8" s="3">
        <v>6</v>
      </c>
      <c r="B8" s="3" t="s">
        <v>18</v>
      </c>
      <c r="C8" s="3">
        <v>1</v>
      </c>
      <c r="D8" s="3" t="s">
        <v>4</v>
      </c>
      <c r="E8" s="3">
        <v>1</v>
      </c>
      <c r="F8" s="3" t="s">
        <v>19</v>
      </c>
      <c r="G8" s="3" t="str">
        <f t="shared" si="0"/>
        <v>Empate</v>
      </c>
    </row>
    <row r="9" spans="1:7" ht="14.25" customHeight="1" x14ac:dyDescent="0.3">
      <c r="A9" s="3">
        <v>7</v>
      </c>
      <c r="B9" s="3" t="s">
        <v>20</v>
      </c>
      <c r="C9" s="3">
        <v>0</v>
      </c>
      <c r="D9" s="3" t="s">
        <v>4</v>
      </c>
      <c r="E9" s="3">
        <v>1</v>
      </c>
      <c r="F9" s="3" t="s">
        <v>21</v>
      </c>
      <c r="G9" s="3" t="str">
        <f t="shared" si="0"/>
        <v>Escócia</v>
      </c>
    </row>
    <row r="10" spans="1:7" ht="14.25" customHeight="1" x14ac:dyDescent="0.3">
      <c r="A10" s="3">
        <v>8</v>
      </c>
      <c r="B10" s="3" t="s">
        <v>22</v>
      </c>
      <c r="C10" s="3">
        <v>2</v>
      </c>
      <c r="D10" s="3" t="s">
        <v>4</v>
      </c>
      <c r="E10" s="3">
        <v>0</v>
      </c>
      <c r="F10" s="3" t="s">
        <v>23</v>
      </c>
      <c r="G10" s="3" t="str">
        <f t="shared" si="0"/>
        <v>Austrália</v>
      </c>
    </row>
    <row r="11" spans="1:7" ht="14.25" customHeight="1" x14ac:dyDescent="0.3">
      <c r="A11" s="3">
        <v>9</v>
      </c>
      <c r="B11" s="3" t="s">
        <v>24</v>
      </c>
      <c r="C11" s="3">
        <v>7</v>
      </c>
      <c r="D11" s="3" t="s">
        <v>4</v>
      </c>
      <c r="E11" s="3">
        <v>1</v>
      </c>
      <c r="F11" s="3" t="s">
        <v>25</v>
      </c>
      <c r="G11" s="3" t="str">
        <f t="shared" si="0"/>
        <v>Alemanha</v>
      </c>
    </row>
    <row r="12" spans="1:7" ht="14.25" customHeight="1" x14ac:dyDescent="0.3">
      <c r="A12" s="3">
        <v>10</v>
      </c>
      <c r="B12" s="3" t="s">
        <v>26</v>
      </c>
      <c r="C12" s="3">
        <v>2</v>
      </c>
      <c r="D12" s="3" t="s">
        <v>4</v>
      </c>
      <c r="E12" s="3">
        <v>2</v>
      </c>
      <c r="F12" s="3" t="s">
        <v>27</v>
      </c>
      <c r="G12" s="3" t="str">
        <f t="shared" si="0"/>
        <v>Empate</v>
      </c>
    </row>
    <row r="13" spans="1:7" ht="14.25" customHeight="1" x14ac:dyDescent="0.3">
      <c r="A13" s="3">
        <v>11</v>
      </c>
      <c r="B13" s="3" t="s">
        <v>28</v>
      </c>
      <c r="C13" s="3">
        <v>1</v>
      </c>
      <c r="D13" s="3" t="s">
        <v>4</v>
      </c>
      <c r="E13" s="3">
        <v>0</v>
      </c>
      <c r="F13" s="3" t="s">
        <v>29</v>
      </c>
      <c r="G13" s="3" t="str">
        <f t="shared" si="0"/>
        <v>Costa do Marfim</v>
      </c>
    </row>
    <row r="14" spans="1:7" ht="14.25" customHeight="1" x14ac:dyDescent="0.3">
      <c r="A14" s="3">
        <v>12</v>
      </c>
      <c r="B14" s="3" t="s">
        <v>30</v>
      </c>
      <c r="C14" s="3">
        <v>5</v>
      </c>
      <c r="D14" s="3" t="s">
        <v>4</v>
      </c>
      <c r="E14" s="3">
        <v>1</v>
      </c>
      <c r="F14" s="3" t="s">
        <v>31</v>
      </c>
      <c r="G14" s="3" t="str">
        <f t="shared" si="0"/>
        <v>Suécia</v>
      </c>
    </row>
    <row r="15" spans="1:7" ht="14.25" customHeight="1" x14ac:dyDescent="0.3">
      <c r="A15" s="3">
        <v>13</v>
      </c>
      <c r="B15" s="3" t="s">
        <v>32</v>
      </c>
      <c r="C15" s="3">
        <v>0</v>
      </c>
      <c r="D15" s="3" t="s">
        <v>4</v>
      </c>
      <c r="E15" s="3">
        <v>0</v>
      </c>
      <c r="F15" s="3" t="s">
        <v>33</v>
      </c>
      <c r="G15" s="3" t="str">
        <f t="shared" si="0"/>
        <v>Empate</v>
      </c>
    </row>
    <row r="16" spans="1:7" ht="14.25" customHeight="1" x14ac:dyDescent="0.3">
      <c r="A16" s="3">
        <v>14</v>
      </c>
      <c r="B16" s="3" t="s">
        <v>34</v>
      </c>
      <c r="C16" s="3">
        <v>1</v>
      </c>
      <c r="D16" s="3" t="s">
        <v>4</v>
      </c>
      <c r="E16" s="3">
        <v>1</v>
      </c>
      <c r="F16" s="3" t="s">
        <v>35</v>
      </c>
      <c r="G16" s="3" t="str">
        <f t="shared" si="0"/>
        <v>Empate</v>
      </c>
    </row>
    <row r="17" spans="1:7" ht="14.25" customHeight="1" x14ac:dyDescent="0.3">
      <c r="A17" s="3">
        <v>15</v>
      </c>
      <c r="B17" s="3" t="s">
        <v>36</v>
      </c>
      <c r="C17" s="3">
        <v>1</v>
      </c>
      <c r="D17" s="3" t="s">
        <v>4</v>
      </c>
      <c r="E17" s="3">
        <v>1</v>
      </c>
      <c r="F17" s="3" t="s">
        <v>37</v>
      </c>
      <c r="G17" s="3" t="str">
        <f t="shared" si="0"/>
        <v>Empate</v>
      </c>
    </row>
    <row r="18" spans="1:7" ht="14.25" customHeight="1" x14ac:dyDescent="0.3">
      <c r="A18" s="3">
        <v>16</v>
      </c>
      <c r="B18" s="3" t="s">
        <v>38</v>
      </c>
      <c r="C18" s="3">
        <v>2</v>
      </c>
      <c r="D18" s="3" t="s">
        <v>4</v>
      </c>
      <c r="E18" s="3">
        <v>2</v>
      </c>
      <c r="F18" s="3" t="s">
        <v>39</v>
      </c>
      <c r="G18" s="3" t="str">
        <f t="shared" si="0"/>
        <v>Empate</v>
      </c>
    </row>
    <row r="19" spans="1:7" ht="14.25" customHeight="1" x14ac:dyDescent="0.3">
      <c r="A19" s="3">
        <v>17</v>
      </c>
      <c r="B19" s="3" t="s">
        <v>40</v>
      </c>
      <c r="C19" s="3">
        <v>3</v>
      </c>
      <c r="D19" s="3" t="s">
        <v>4</v>
      </c>
      <c r="E19" s="3">
        <v>1</v>
      </c>
      <c r="F19" s="3" t="s">
        <v>41</v>
      </c>
      <c r="G19" s="3" t="str">
        <f t="shared" si="0"/>
        <v>França</v>
      </c>
    </row>
    <row r="20" spans="1:7" ht="14.25" customHeight="1" x14ac:dyDescent="0.3">
      <c r="A20" s="3">
        <v>18</v>
      </c>
      <c r="B20" s="3" t="s">
        <v>42</v>
      </c>
      <c r="C20" s="3">
        <v>1</v>
      </c>
      <c r="D20" s="3" t="s">
        <v>4</v>
      </c>
      <c r="E20" s="3">
        <v>4</v>
      </c>
      <c r="F20" s="3" t="s">
        <v>43</v>
      </c>
      <c r="G20" s="3" t="str">
        <f t="shared" si="0"/>
        <v>Noruega</v>
      </c>
    </row>
    <row r="21" spans="1:7" ht="14.25" customHeight="1" x14ac:dyDescent="0.3">
      <c r="A21" s="3">
        <v>19</v>
      </c>
      <c r="B21" s="3" t="s">
        <v>44</v>
      </c>
      <c r="C21" s="3">
        <v>3</v>
      </c>
      <c r="D21" s="3" t="s">
        <v>4</v>
      </c>
      <c r="E21" s="3">
        <v>0</v>
      </c>
      <c r="F21" s="3" t="s">
        <v>45</v>
      </c>
      <c r="G21" s="3" t="str">
        <f t="shared" si="0"/>
        <v>Argentina</v>
      </c>
    </row>
    <row r="22" spans="1:7" ht="14.25" customHeight="1" x14ac:dyDescent="0.3">
      <c r="A22" s="3">
        <v>20</v>
      </c>
      <c r="B22" s="3" t="s">
        <v>46</v>
      </c>
      <c r="C22" s="3">
        <v>3</v>
      </c>
      <c r="D22" s="3" t="s">
        <v>4</v>
      </c>
      <c r="E22" s="3">
        <v>1</v>
      </c>
      <c r="F22" s="3" t="s">
        <v>47</v>
      </c>
      <c r="G22" s="3" t="str">
        <f t="shared" si="0"/>
        <v>Áustria</v>
      </c>
    </row>
    <row r="23" spans="1:7" ht="14.25" customHeight="1" x14ac:dyDescent="0.3">
      <c r="A23" s="3">
        <v>21</v>
      </c>
      <c r="B23" s="3" t="s">
        <v>48</v>
      </c>
      <c r="C23" s="3">
        <v>1</v>
      </c>
      <c r="D23" s="3" t="s">
        <v>4</v>
      </c>
      <c r="E23" s="3">
        <v>1</v>
      </c>
      <c r="F23" s="3" t="s">
        <v>49</v>
      </c>
      <c r="G23" s="3" t="str">
        <f t="shared" si="0"/>
        <v>Empate</v>
      </c>
    </row>
    <row r="24" spans="1:7" ht="14.25" customHeight="1" x14ac:dyDescent="0.3">
      <c r="A24" s="3">
        <v>22</v>
      </c>
      <c r="B24" s="3" t="s">
        <v>50</v>
      </c>
      <c r="C24" s="3">
        <v>4</v>
      </c>
      <c r="D24" s="3" t="s">
        <v>4</v>
      </c>
      <c r="E24" s="3">
        <v>2</v>
      </c>
      <c r="F24" s="3" t="s">
        <v>51</v>
      </c>
      <c r="G24" s="3" t="str">
        <f t="shared" si="0"/>
        <v>Inglaterra</v>
      </c>
    </row>
    <row r="25" spans="1:7" ht="14.25" customHeight="1" x14ac:dyDescent="0.3">
      <c r="A25" s="3">
        <v>23</v>
      </c>
      <c r="B25" s="3" t="s">
        <v>52</v>
      </c>
      <c r="C25" s="3">
        <v>1</v>
      </c>
      <c r="D25" s="3" t="s">
        <v>4</v>
      </c>
      <c r="E25" s="3">
        <v>0</v>
      </c>
      <c r="F25" s="3" t="s">
        <v>53</v>
      </c>
      <c r="G25" s="3" t="str">
        <f t="shared" si="0"/>
        <v>Gana</v>
      </c>
    </row>
    <row r="26" spans="1:7" ht="14.25" customHeight="1" x14ac:dyDescent="0.3">
      <c r="A26" s="3">
        <v>24</v>
      </c>
      <c r="B26" s="3" t="s">
        <v>54</v>
      </c>
      <c r="C26" s="3">
        <v>1</v>
      </c>
      <c r="D26" s="3" t="s">
        <v>4</v>
      </c>
      <c r="E26" s="3">
        <v>3</v>
      </c>
      <c r="F26" s="3" t="s">
        <v>55</v>
      </c>
      <c r="G26" s="3" t="str">
        <f t="shared" si="0"/>
        <v>Colômbia</v>
      </c>
    </row>
    <row r="27" spans="1:7" ht="14.25" customHeight="1" x14ac:dyDescent="0.3">
      <c r="A27" s="3">
        <v>25</v>
      </c>
      <c r="B27" s="3" t="s">
        <v>11</v>
      </c>
      <c r="C27" s="3">
        <v>1</v>
      </c>
      <c r="D27" s="3" t="s">
        <v>4</v>
      </c>
      <c r="E27" s="3">
        <v>1</v>
      </c>
      <c r="F27" s="3" t="s">
        <v>9</v>
      </c>
      <c r="G27" s="3" t="str">
        <f t="shared" si="0"/>
        <v>Empate</v>
      </c>
    </row>
    <row r="28" spans="1:7" ht="14.25" customHeight="1" x14ac:dyDescent="0.3">
      <c r="A28" s="3">
        <v>26</v>
      </c>
      <c r="B28" s="3" t="s">
        <v>17</v>
      </c>
      <c r="C28" s="3">
        <v>4</v>
      </c>
      <c r="D28" s="3" t="s">
        <v>4</v>
      </c>
      <c r="E28" s="3">
        <v>1</v>
      </c>
      <c r="F28" s="3" t="s">
        <v>13</v>
      </c>
      <c r="G28" s="3" t="str">
        <f t="shared" si="0"/>
        <v>Suíça</v>
      </c>
    </row>
    <row r="29" spans="1:7" ht="14.25" customHeight="1" x14ac:dyDescent="0.3">
      <c r="A29" s="3">
        <v>27</v>
      </c>
      <c r="B29" s="3" t="s">
        <v>12</v>
      </c>
      <c r="C29" s="3">
        <v>6</v>
      </c>
      <c r="D29" s="3" t="s">
        <v>4</v>
      </c>
      <c r="E29" s="3">
        <v>0</v>
      </c>
      <c r="F29" s="3" t="s">
        <v>16</v>
      </c>
      <c r="G29" s="3" t="str">
        <f t="shared" si="0"/>
        <v>Canadá</v>
      </c>
    </row>
    <row r="30" spans="1:7" ht="14.25" customHeight="1" x14ac:dyDescent="0.3">
      <c r="A30" s="3">
        <v>28</v>
      </c>
      <c r="B30" s="3" t="s">
        <v>8</v>
      </c>
      <c r="C30" s="3">
        <v>1</v>
      </c>
      <c r="D30" s="3" t="s">
        <v>4</v>
      </c>
      <c r="E30" s="3">
        <v>0</v>
      </c>
      <c r="F30" s="3" t="s">
        <v>10</v>
      </c>
      <c r="G30" s="3" t="str">
        <f t="shared" si="0"/>
        <v>México</v>
      </c>
    </row>
    <row r="31" spans="1:7" ht="14.25" customHeight="1" x14ac:dyDescent="0.3">
      <c r="A31" s="3">
        <v>29</v>
      </c>
      <c r="B31" s="3" t="s">
        <v>14</v>
      </c>
      <c r="C31" s="3">
        <v>2</v>
      </c>
      <c r="D31" s="3" t="s">
        <v>4</v>
      </c>
      <c r="E31" s="3">
        <v>0</v>
      </c>
      <c r="F31" s="3" t="s">
        <v>22</v>
      </c>
      <c r="G31" s="3" t="str">
        <f t="shared" si="0"/>
        <v>EUA</v>
      </c>
    </row>
    <row r="32" spans="1:7" ht="14.25" customHeight="1" x14ac:dyDescent="0.3">
      <c r="A32" s="3">
        <v>30</v>
      </c>
      <c r="B32" s="3" t="s">
        <v>21</v>
      </c>
      <c r="C32" s="3">
        <v>0</v>
      </c>
      <c r="D32" s="3" t="s">
        <v>4</v>
      </c>
      <c r="E32" s="3">
        <v>1</v>
      </c>
      <c r="F32" s="3" t="s">
        <v>19</v>
      </c>
      <c r="G32" s="3" t="str">
        <f t="shared" si="0"/>
        <v>Marrocos</v>
      </c>
    </row>
    <row r="33" spans="1:7" ht="14.25" customHeight="1" x14ac:dyDescent="0.3">
      <c r="A33" s="3">
        <v>31</v>
      </c>
      <c r="B33" s="3" t="s">
        <v>18</v>
      </c>
      <c r="C33" s="3">
        <v>3</v>
      </c>
      <c r="D33" s="3" t="s">
        <v>4</v>
      </c>
      <c r="E33" s="3">
        <v>0</v>
      </c>
      <c r="F33" s="3" t="s">
        <v>20</v>
      </c>
      <c r="G33" s="3" t="str">
        <f t="shared" si="0"/>
        <v>Brasil</v>
      </c>
    </row>
    <row r="34" spans="1:7" ht="14.25" customHeight="1" x14ac:dyDescent="0.3">
      <c r="A34" s="3">
        <v>32</v>
      </c>
      <c r="B34" s="3" t="s">
        <v>23</v>
      </c>
      <c r="C34" s="3">
        <v>0</v>
      </c>
      <c r="D34" s="3" t="s">
        <v>4</v>
      </c>
      <c r="E34" s="3">
        <v>1</v>
      </c>
      <c r="F34" s="3" t="s">
        <v>15</v>
      </c>
      <c r="G34" s="3" t="str">
        <f t="shared" si="0"/>
        <v>Paraguai</v>
      </c>
    </row>
    <row r="35" spans="1:7" ht="14.25" customHeight="1" x14ac:dyDescent="0.3">
      <c r="A35" s="3">
        <v>33</v>
      </c>
      <c r="B35" s="3" t="s">
        <v>26</v>
      </c>
      <c r="C35" s="3">
        <v>5</v>
      </c>
      <c r="D35" s="3" t="s">
        <v>4</v>
      </c>
      <c r="E35" s="3">
        <v>1</v>
      </c>
      <c r="F35" s="3" t="s">
        <v>30</v>
      </c>
      <c r="G35" s="3" t="str">
        <f t="shared" si="0"/>
        <v>Holanda</v>
      </c>
    </row>
    <row r="36" spans="1:7" ht="14.25" customHeight="1" x14ac:dyDescent="0.3">
      <c r="A36" s="3">
        <v>34</v>
      </c>
      <c r="B36" s="3" t="s">
        <v>24</v>
      </c>
      <c r="C36" s="3">
        <v>2</v>
      </c>
      <c r="D36" s="3" t="s">
        <v>4</v>
      </c>
      <c r="E36" s="3">
        <v>1</v>
      </c>
      <c r="F36" s="3" t="s">
        <v>28</v>
      </c>
      <c r="G36" s="3" t="str">
        <f t="shared" si="0"/>
        <v>Alemanha</v>
      </c>
    </row>
    <row r="37" spans="1:7" ht="14.25" customHeight="1" x14ac:dyDescent="0.3">
      <c r="A37" s="3">
        <v>35</v>
      </c>
      <c r="B37" s="3" t="s">
        <v>29</v>
      </c>
      <c r="C37" s="3">
        <v>0</v>
      </c>
      <c r="D37" s="3" t="s">
        <v>4</v>
      </c>
      <c r="E37" s="3">
        <v>0</v>
      </c>
      <c r="F37" s="3" t="s">
        <v>25</v>
      </c>
      <c r="G37" s="3" t="str">
        <f t="shared" si="0"/>
        <v>Empate</v>
      </c>
    </row>
    <row r="38" spans="1:7" ht="14.25" customHeight="1" x14ac:dyDescent="0.3">
      <c r="A38" s="3">
        <v>36</v>
      </c>
      <c r="B38" s="3" t="s">
        <v>31</v>
      </c>
      <c r="C38" s="3">
        <v>0</v>
      </c>
      <c r="D38" s="3" t="s">
        <v>4</v>
      </c>
      <c r="E38" s="3">
        <v>4</v>
      </c>
      <c r="F38" s="3" t="s">
        <v>27</v>
      </c>
      <c r="G38" s="3" t="str">
        <f t="shared" si="0"/>
        <v>Japão</v>
      </c>
    </row>
    <row r="39" spans="1:7" ht="14.25" customHeight="1" x14ac:dyDescent="0.3">
      <c r="A39" s="3">
        <v>37</v>
      </c>
      <c r="B39" s="3" t="s">
        <v>32</v>
      </c>
      <c r="C39" s="3">
        <v>4</v>
      </c>
      <c r="D39" s="3" t="s">
        <v>4</v>
      </c>
      <c r="E39" s="3">
        <v>0</v>
      </c>
      <c r="F39" s="3" t="s">
        <v>36</v>
      </c>
      <c r="G39" s="3" t="str">
        <f t="shared" si="0"/>
        <v>Espanha</v>
      </c>
    </row>
    <row r="40" spans="1:7" ht="14.25" customHeight="1" x14ac:dyDescent="0.3">
      <c r="A40" s="3">
        <v>38</v>
      </c>
      <c r="B40" s="3" t="s">
        <v>34</v>
      </c>
      <c r="C40" s="3">
        <v>0</v>
      </c>
      <c r="D40" s="3" t="s">
        <v>4</v>
      </c>
      <c r="E40" s="3">
        <v>0</v>
      </c>
      <c r="F40" s="3" t="s">
        <v>38</v>
      </c>
      <c r="G40" s="3" t="str">
        <f t="shared" si="0"/>
        <v>Empate</v>
      </c>
    </row>
    <row r="41" spans="1:7" ht="14.25" customHeight="1" x14ac:dyDescent="0.3">
      <c r="A41" s="3">
        <v>39</v>
      </c>
      <c r="B41" s="3" t="s">
        <v>37</v>
      </c>
      <c r="C41" s="3">
        <v>2</v>
      </c>
      <c r="D41" s="3" t="s">
        <v>4</v>
      </c>
      <c r="E41" s="3">
        <v>2</v>
      </c>
      <c r="F41" s="3" t="s">
        <v>33</v>
      </c>
      <c r="G41" s="3" t="str">
        <f t="shared" si="0"/>
        <v>Empate</v>
      </c>
    </row>
    <row r="42" spans="1:7" ht="14.25" customHeight="1" x14ac:dyDescent="0.3">
      <c r="A42" s="3">
        <v>40</v>
      </c>
      <c r="B42" s="3" t="s">
        <v>39</v>
      </c>
      <c r="C42" s="3">
        <v>1</v>
      </c>
      <c r="D42" s="3" t="s">
        <v>4</v>
      </c>
      <c r="E42" s="3">
        <v>3</v>
      </c>
      <c r="F42" s="3" t="s">
        <v>35</v>
      </c>
      <c r="G42" s="3" t="str">
        <f t="shared" si="0"/>
        <v>Egito</v>
      </c>
    </row>
    <row r="43" spans="1:7" ht="14.25" customHeight="1" x14ac:dyDescent="0.3">
      <c r="A43" s="3">
        <v>41</v>
      </c>
      <c r="B43" s="3" t="s">
        <v>44</v>
      </c>
      <c r="C43" s="3">
        <v>2</v>
      </c>
      <c r="D43" s="3" t="s">
        <v>4</v>
      </c>
      <c r="E43" s="3">
        <v>0</v>
      </c>
      <c r="F43" s="3" t="s">
        <v>46</v>
      </c>
      <c r="G43" s="3" t="str">
        <f t="shared" si="0"/>
        <v>Argentina</v>
      </c>
    </row>
    <row r="44" spans="1:7" ht="14.25" customHeight="1" x14ac:dyDescent="0.3">
      <c r="A44" s="3">
        <v>42</v>
      </c>
      <c r="B44" s="3" t="s">
        <v>40</v>
      </c>
      <c r="C44" s="3">
        <v>3</v>
      </c>
      <c r="D44" s="3" t="s">
        <v>4</v>
      </c>
      <c r="E44" s="3">
        <v>0</v>
      </c>
      <c r="F44" s="3" t="s">
        <v>42</v>
      </c>
      <c r="G44" s="3" t="str">
        <f t="shared" si="0"/>
        <v>França</v>
      </c>
    </row>
    <row r="45" spans="1:7" ht="14.25" customHeight="1" x14ac:dyDescent="0.3">
      <c r="A45" s="3">
        <v>43</v>
      </c>
      <c r="B45" s="3" t="s">
        <v>43</v>
      </c>
      <c r="C45" s="3">
        <v>3</v>
      </c>
      <c r="D45" s="3" t="s">
        <v>4</v>
      </c>
      <c r="E45" s="3">
        <v>2</v>
      </c>
      <c r="F45" s="3" t="s">
        <v>41</v>
      </c>
      <c r="G45" s="3" t="str">
        <f t="shared" si="0"/>
        <v>Noruega</v>
      </c>
    </row>
    <row r="46" spans="1:7" ht="14.25" customHeight="1" x14ac:dyDescent="0.3">
      <c r="A46" s="3">
        <v>44</v>
      </c>
      <c r="B46" s="3" t="s">
        <v>47</v>
      </c>
      <c r="C46" s="3">
        <v>1</v>
      </c>
      <c r="D46" s="3" t="s">
        <v>4</v>
      </c>
      <c r="E46" s="3">
        <v>2</v>
      </c>
      <c r="F46" s="3" t="s">
        <v>45</v>
      </c>
      <c r="G46" s="3" t="str">
        <f t="shared" si="0"/>
        <v>Argélia</v>
      </c>
    </row>
    <row r="47" spans="1:7" ht="14.25" customHeight="1" x14ac:dyDescent="0.3">
      <c r="A47" s="3">
        <v>45</v>
      </c>
      <c r="B47" s="3" t="s">
        <v>48</v>
      </c>
      <c r="C47" s="3">
        <v>5</v>
      </c>
      <c r="D47" s="3" t="s">
        <v>4</v>
      </c>
      <c r="E47" s="3">
        <v>0</v>
      </c>
      <c r="F47" s="3" t="s">
        <v>54</v>
      </c>
      <c r="G47" s="3" t="str">
        <f t="shared" si="0"/>
        <v>Portugal</v>
      </c>
    </row>
    <row r="48" spans="1:7" ht="14.25" customHeight="1" x14ac:dyDescent="0.3">
      <c r="A48" s="3">
        <v>46</v>
      </c>
      <c r="B48" s="3" t="s">
        <v>50</v>
      </c>
      <c r="C48" s="3">
        <v>0</v>
      </c>
      <c r="D48" s="3" t="s">
        <v>4</v>
      </c>
      <c r="E48" s="3">
        <v>0</v>
      </c>
      <c r="F48" s="3" t="s">
        <v>52</v>
      </c>
      <c r="G48" s="3" t="str">
        <f t="shared" si="0"/>
        <v>Empate</v>
      </c>
    </row>
    <row r="49" spans="1:7" ht="14.25" customHeight="1" x14ac:dyDescent="0.3">
      <c r="A49" s="3">
        <v>47</v>
      </c>
      <c r="B49" s="3" t="s">
        <v>53</v>
      </c>
      <c r="C49" s="3">
        <v>0</v>
      </c>
      <c r="D49" s="3" t="s">
        <v>4</v>
      </c>
      <c r="E49" s="3">
        <v>1</v>
      </c>
      <c r="F49" s="3" t="s">
        <v>51</v>
      </c>
      <c r="G49" s="3" t="str">
        <f t="shared" si="0"/>
        <v>Croácia</v>
      </c>
    </row>
    <row r="50" spans="1:7" ht="14.25" customHeight="1" x14ac:dyDescent="0.3">
      <c r="A50" s="3">
        <v>48</v>
      </c>
      <c r="B50" s="3" t="s">
        <v>55</v>
      </c>
      <c r="C50" s="3">
        <v>1</v>
      </c>
      <c r="D50" s="3" t="s">
        <v>4</v>
      </c>
      <c r="E50" s="3">
        <v>0</v>
      </c>
      <c r="F50" s="3" t="s">
        <v>49</v>
      </c>
      <c r="G50" s="3" t="str">
        <f t="shared" si="0"/>
        <v>Colômbia</v>
      </c>
    </row>
    <row r="51" spans="1:7" ht="14.25" customHeight="1" x14ac:dyDescent="0.3">
      <c r="A51" s="3">
        <v>49</v>
      </c>
      <c r="B51" s="3" t="s">
        <v>17</v>
      </c>
      <c r="C51" s="4">
        <v>2</v>
      </c>
      <c r="D51" s="3" t="s">
        <v>4</v>
      </c>
      <c r="E51" s="4">
        <v>1</v>
      </c>
      <c r="F51" s="3" t="s">
        <v>12</v>
      </c>
      <c r="G51" s="3" t="str">
        <f t="shared" si="0"/>
        <v>Suíça</v>
      </c>
    </row>
    <row r="52" spans="1:7" ht="14.25" customHeight="1" x14ac:dyDescent="0.3">
      <c r="A52" s="3">
        <v>50</v>
      </c>
      <c r="B52" s="3" t="s">
        <v>13</v>
      </c>
      <c r="C52" s="4">
        <v>3</v>
      </c>
      <c r="D52" s="3" t="s">
        <v>4</v>
      </c>
      <c r="E52" s="4">
        <v>1</v>
      </c>
      <c r="F52" s="3" t="s">
        <v>16</v>
      </c>
      <c r="G52" s="3" t="str">
        <f t="shared" si="0"/>
        <v>Bósnia</v>
      </c>
    </row>
    <row r="53" spans="1:7" ht="14.25" customHeight="1" x14ac:dyDescent="0.3">
      <c r="A53" s="3">
        <v>51</v>
      </c>
      <c r="B53" s="3" t="s">
        <v>19</v>
      </c>
      <c r="C53" s="4">
        <v>4</v>
      </c>
      <c r="D53" s="3" t="s">
        <v>4</v>
      </c>
      <c r="E53" s="4">
        <v>2</v>
      </c>
      <c r="F53" s="3" t="s">
        <v>20</v>
      </c>
      <c r="G53" s="3" t="str">
        <f t="shared" si="0"/>
        <v>Marrocos</v>
      </c>
    </row>
    <row r="54" spans="1:7" ht="14.25" customHeight="1" x14ac:dyDescent="0.3">
      <c r="A54" s="3">
        <v>52</v>
      </c>
      <c r="B54" s="3" t="s">
        <v>21</v>
      </c>
      <c r="C54" s="4">
        <v>0</v>
      </c>
      <c r="D54" s="3" t="s">
        <v>4</v>
      </c>
      <c r="E54" s="4">
        <v>3</v>
      </c>
      <c r="F54" s="3" t="s">
        <v>18</v>
      </c>
      <c r="G54" s="3" t="str">
        <f t="shared" si="0"/>
        <v>Brasil</v>
      </c>
    </row>
    <row r="55" spans="1:7" ht="14.25" customHeight="1" x14ac:dyDescent="0.3">
      <c r="A55" s="3">
        <v>53</v>
      </c>
      <c r="B55" s="3" t="s">
        <v>9</v>
      </c>
      <c r="C55" s="4">
        <v>1</v>
      </c>
      <c r="D55" s="3" t="s">
        <v>4</v>
      </c>
      <c r="E55" s="4">
        <v>0</v>
      </c>
      <c r="F55" s="3" t="s">
        <v>10</v>
      </c>
      <c r="G55" s="3" t="str">
        <f t="shared" si="0"/>
        <v>África do Sul</v>
      </c>
    </row>
    <row r="56" spans="1:7" ht="14.25" customHeight="1" x14ac:dyDescent="0.3">
      <c r="A56" s="3">
        <v>54</v>
      </c>
      <c r="B56" s="3" t="s">
        <v>11</v>
      </c>
      <c r="C56" s="4">
        <v>0</v>
      </c>
      <c r="D56" s="3" t="s">
        <v>4</v>
      </c>
      <c r="E56" s="4">
        <v>3</v>
      </c>
      <c r="F56" s="3" t="s">
        <v>8</v>
      </c>
      <c r="G56" s="3" t="str">
        <f t="shared" si="0"/>
        <v>México</v>
      </c>
    </row>
    <row r="57" spans="1:7" ht="14.25" customHeight="1" x14ac:dyDescent="0.3">
      <c r="A57" s="3">
        <v>55</v>
      </c>
      <c r="B57" s="3" t="s">
        <v>25</v>
      </c>
      <c r="C57" s="3">
        <v>0</v>
      </c>
      <c r="D57" s="3" t="s">
        <v>4</v>
      </c>
      <c r="E57" s="3">
        <v>2</v>
      </c>
      <c r="F57" s="3" t="s">
        <v>28</v>
      </c>
      <c r="G57" s="3" t="str">
        <f t="shared" si="0"/>
        <v>Costa do Marfim</v>
      </c>
    </row>
    <row r="58" spans="1:7" ht="14.25" customHeight="1" x14ac:dyDescent="0.3">
      <c r="A58" s="3">
        <v>56</v>
      </c>
      <c r="B58" s="3" t="s">
        <v>29</v>
      </c>
      <c r="C58" s="3">
        <v>2</v>
      </c>
      <c r="D58" s="3" t="s">
        <v>4</v>
      </c>
      <c r="E58" s="3">
        <v>1</v>
      </c>
      <c r="F58" s="3" t="s">
        <v>24</v>
      </c>
      <c r="G58" s="3" t="str">
        <f t="shared" si="0"/>
        <v>Equador</v>
      </c>
    </row>
    <row r="59" spans="1:7" ht="14.25" customHeight="1" x14ac:dyDescent="0.3">
      <c r="A59" s="3">
        <v>57</v>
      </c>
      <c r="B59" s="3" t="s">
        <v>31</v>
      </c>
      <c r="C59" s="3">
        <v>1</v>
      </c>
      <c r="D59" s="3" t="s">
        <v>4</v>
      </c>
      <c r="E59" s="3">
        <v>3</v>
      </c>
      <c r="F59" s="3" t="s">
        <v>26</v>
      </c>
      <c r="G59" s="3" t="str">
        <f t="shared" si="0"/>
        <v>Holanda</v>
      </c>
    </row>
    <row r="60" spans="1:7" ht="14.25" customHeight="1" x14ac:dyDescent="0.3">
      <c r="A60" s="3">
        <v>58</v>
      </c>
      <c r="B60" s="3" t="s">
        <v>27</v>
      </c>
      <c r="C60" s="3">
        <v>1</v>
      </c>
      <c r="D60" s="3" t="s">
        <v>4</v>
      </c>
      <c r="E60" s="3">
        <v>1</v>
      </c>
      <c r="F60" s="3" t="s">
        <v>30</v>
      </c>
      <c r="G60" s="3" t="str">
        <f t="shared" si="0"/>
        <v>Empate</v>
      </c>
    </row>
    <row r="61" spans="1:7" ht="14.25" customHeight="1" x14ac:dyDescent="0.3">
      <c r="A61" s="3">
        <v>59</v>
      </c>
      <c r="B61" s="3" t="s">
        <v>23</v>
      </c>
      <c r="C61" s="3"/>
      <c r="D61" s="3" t="s">
        <v>4</v>
      </c>
      <c r="E61" s="3"/>
      <c r="F61" s="3" t="s">
        <v>14</v>
      </c>
      <c r="G61" s="3" t="str">
        <f t="shared" si="0"/>
        <v>-</v>
      </c>
    </row>
    <row r="62" spans="1:7" ht="14.25" customHeight="1" x14ac:dyDescent="0.3">
      <c r="A62" s="3">
        <v>60</v>
      </c>
      <c r="B62" s="3" t="s">
        <v>15</v>
      </c>
      <c r="C62" s="3"/>
      <c r="D62" s="3" t="s">
        <v>4</v>
      </c>
      <c r="E62" s="3"/>
      <c r="F62" s="3" t="s">
        <v>22</v>
      </c>
      <c r="G62" s="3" t="str">
        <f t="shared" si="0"/>
        <v>-</v>
      </c>
    </row>
    <row r="63" spans="1:7" ht="14.25" customHeight="1" x14ac:dyDescent="0.3">
      <c r="A63" s="3">
        <v>61</v>
      </c>
      <c r="B63" s="3" t="s">
        <v>43</v>
      </c>
      <c r="C63" s="3"/>
      <c r="D63" s="3" t="s">
        <v>4</v>
      </c>
      <c r="E63" s="3"/>
      <c r="F63" s="3" t="s">
        <v>40</v>
      </c>
      <c r="G63" s="3" t="str">
        <f t="shared" si="0"/>
        <v>-</v>
      </c>
    </row>
    <row r="64" spans="1:7" ht="14.25" customHeight="1" x14ac:dyDescent="0.3">
      <c r="A64" s="3">
        <v>62</v>
      </c>
      <c r="B64" s="3" t="s">
        <v>41</v>
      </c>
      <c r="C64" s="3"/>
      <c r="D64" s="3" t="s">
        <v>4</v>
      </c>
      <c r="E64" s="3"/>
      <c r="F64" s="3" t="s">
        <v>42</v>
      </c>
      <c r="G64" s="3" t="str">
        <f t="shared" si="0"/>
        <v>-</v>
      </c>
    </row>
    <row r="65" spans="1:7" ht="14.25" customHeight="1" x14ac:dyDescent="0.3">
      <c r="A65" s="3">
        <v>63</v>
      </c>
      <c r="B65" s="3" t="s">
        <v>33</v>
      </c>
      <c r="C65" s="3"/>
      <c r="D65" s="3" t="s">
        <v>4</v>
      </c>
      <c r="E65" s="3"/>
      <c r="F65" s="3" t="s">
        <v>36</v>
      </c>
      <c r="G65" s="3" t="str">
        <f t="shared" si="0"/>
        <v>-</v>
      </c>
    </row>
    <row r="66" spans="1:7" ht="14.25" customHeight="1" x14ac:dyDescent="0.3">
      <c r="A66" s="3">
        <v>64</v>
      </c>
      <c r="B66" s="3" t="s">
        <v>37</v>
      </c>
      <c r="C66" s="3"/>
      <c r="D66" s="3" t="s">
        <v>4</v>
      </c>
      <c r="E66" s="3"/>
      <c r="F66" s="3" t="s">
        <v>32</v>
      </c>
      <c r="G66" s="3" t="str">
        <f t="shared" si="0"/>
        <v>-</v>
      </c>
    </row>
    <row r="67" spans="1:7" ht="14.25" customHeight="1" x14ac:dyDescent="0.3">
      <c r="A67" s="3">
        <v>65</v>
      </c>
      <c r="B67" s="3" t="s">
        <v>39</v>
      </c>
      <c r="C67" s="3"/>
      <c r="D67" s="3" t="s">
        <v>4</v>
      </c>
      <c r="E67" s="3"/>
      <c r="F67" s="3" t="s">
        <v>34</v>
      </c>
      <c r="G67" s="3" t="str">
        <f t="shared" si="0"/>
        <v>-</v>
      </c>
    </row>
    <row r="68" spans="1:7" ht="14.25" customHeight="1" x14ac:dyDescent="0.3">
      <c r="A68" s="3">
        <v>66</v>
      </c>
      <c r="B68" s="3" t="s">
        <v>35</v>
      </c>
      <c r="C68" s="3"/>
      <c r="D68" s="3" t="s">
        <v>4</v>
      </c>
      <c r="E68" s="3"/>
      <c r="F68" s="3" t="s">
        <v>38</v>
      </c>
      <c r="G68" s="3" t="str">
        <f t="shared" si="0"/>
        <v>-</v>
      </c>
    </row>
    <row r="69" spans="1:7" ht="14.25" customHeight="1" x14ac:dyDescent="0.3">
      <c r="A69" s="3">
        <v>67</v>
      </c>
      <c r="B69" s="3" t="s">
        <v>53</v>
      </c>
      <c r="C69" s="3"/>
      <c r="D69" s="3" t="s">
        <v>4</v>
      </c>
      <c r="E69" s="3"/>
      <c r="F69" s="3" t="s">
        <v>50</v>
      </c>
      <c r="G69" s="3" t="str">
        <f t="shared" si="0"/>
        <v>-</v>
      </c>
    </row>
    <row r="70" spans="1:7" ht="14.25" customHeight="1" x14ac:dyDescent="0.3">
      <c r="A70" s="3">
        <v>68</v>
      </c>
      <c r="B70" s="3" t="s">
        <v>51</v>
      </c>
      <c r="C70" s="3"/>
      <c r="D70" s="3" t="s">
        <v>4</v>
      </c>
      <c r="E70" s="3"/>
      <c r="F70" s="3" t="s">
        <v>52</v>
      </c>
      <c r="G70" s="3" t="str">
        <f t="shared" si="0"/>
        <v>-</v>
      </c>
    </row>
    <row r="71" spans="1:7" ht="14.25" customHeight="1" x14ac:dyDescent="0.3">
      <c r="A71" s="3">
        <v>69</v>
      </c>
      <c r="B71" s="3" t="s">
        <v>55</v>
      </c>
      <c r="C71" s="3"/>
      <c r="D71" s="3" t="s">
        <v>4</v>
      </c>
      <c r="E71" s="3"/>
      <c r="F71" s="3" t="s">
        <v>48</v>
      </c>
      <c r="G71" s="3" t="str">
        <f t="shared" si="0"/>
        <v>-</v>
      </c>
    </row>
    <row r="72" spans="1:7" ht="14.25" customHeight="1" x14ac:dyDescent="0.3">
      <c r="A72" s="3">
        <v>70</v>
      </c>
      <c r="B72" s="3" t="s">
        <v>49</v>
      </c>
      <c r="C72" s="3"/>
      <c r="D72" s="3" t="s">
        <v>4</v>
      </c>
      <c r="E72" s="3"/>
      <c r="F72" s="3" t="s">
        <v>54</v>
      </c>
      <c r="G72" s="3" t="str">
        <f t="shared" si="0"/>
        <v>-</v>
      </c>
    </row>
    <row r="73" spans="1:7" ht="14.25" customHeight="1" x14ac:dyDescent="0.3">
      <c r="A73" s="3">
        <v>71</v>
      </c>
      <c r="B73" s="3" t="s">
        <v>45</v>
      </c>
      <c r="C73" s="3"/>
      <c r="D73" s="3" t="s">
        <v>4</v>
      </c>
      <c r="E73" s="3"/>
      <c r="F73" s="3" t="s">
        <v>46</v>
      </c>
      <c r="G73" s="3" t="str">
        <f t="shared" si="0"/>
        <v>-</v>
      </c>
    </row>
    <row r="74" spans="1:7" ht="14.25" customHeight="1" x14ac:dyDescent="0.3">
      <c r="A74" s="3">
        <v>72</v>
      </c>
      <c r="B74" s="3" t="s">
        <v>47</v>
      </c>
      <c r="C74" s="3"/>
      <c r="D74" s="3" t="s">
        <v>4</v>
      </c>
      <c r="E74" s="3"/>
      <c r="F74" s="3" t="s">
        <v>44</v>
      </c>
      <c r="G74" s="3" t="str">
        <f t="shared" si="0"/>
        <v>-</v>
      </c>
    </row>
    <row r="75" spans="1:7" ht="14.25" customHeight="1" x14ac:dyDescent="0.3">
      <c r="A75" s="3">
        <v>73</v>
      </c>
      <c r="B75" s="3"/>
      <c r="C75" s="3"/>
      <c r="D75" s="3" t="s">
        <v>4</v>
      </c>
      <c r="E75" s="3"/>
      <c r="F75" s="3"/>
      <c r="G75" s="3" t="str">
        <f t="shared" si="0"/>
        <v>-</v>
      </c>
    </row>
    <row r="76" spans="1:7" ht="14.25" customHeight="1" x14ac:dyDescent="0.3">
      <c r="A76" s="3">
        <v>74</v>
      </c>
      <c r="B76" s="3"/>
      <c r="C76" s="3"/>
      <c r="D76" s="3" t="s">
        <v>4</v>
      </c>
      <c r="E76" s="3"/>
      <c r="F76" s="3"/>
      <c r="G76" s="3" t="str">
        <f t="shared" si="0"/>
        <v>-</v>
      </c>
    </row>
    <row r="77" spans="1:7" ht="14.25" customHeight="1" x14ac:dyDescent="0.3">
      <c r="A77" s="3">
        <v>75</v>
      </c>
      <c r="B77" s="3"/>
      <c r="C77" s="3"/>
      <c r="D77" s="3" t="s">
        <v>4</v>
      </c>
      <c r="E77" s="3"/>
      <c r="F77" s="3"/>
      <c r="G77" s="3" t="str">
        <f t="shared" si="0"/>
        <v>-</v>
      </c>
    </row>
    <row r="78" spans="1:7" ht="14.25" customHeight="1" x14ac:dyDescent="0.3">
      <c r="A78" s="3">
        <v>76</v>
      </c>
      <c r="B78" s="3"/>
      <c r="C78" s="3"/>
      <c r="D78" s="3" t="s">
        <v>4</v>
      </c>
      <c r="E78" s="3"/>
      <c r="F78" s="3"/>
      <c r="G78" s="3" t="str">
        <f t="shared" si="0"/>
        <v>-</v>
      </c>
    </row>
    <row r="79" spans="1:7" ht="14.25" customHeight="1" x14ac:dyDescent="0.3">
      <c r="A79" s="3">
        <v>77</v>
      </c>
      <c r="B79" s="3"/>
      <c r="C79" s="3"/>
      <c r="D79" s="3" t="s">
        <v>4</v>
      </c>
      <c r="E79" s="3"/>
      <c r="F79" s="3"/>
      <c r="G79" s="3" t="str">
        <f t="shared" si="0"/>
        <v>-</v>
      </c>
    </row>
    <row r="80" spans="1:7" ht="14.25" customHeight="1" x14ac:dyDescent="0.3">
      <c r="A80" s="3">
        <v>78</v>
      </c>
      <c r="B80" s="3"/>
      <c r="C80" s="3"/>
      <c r="D80" s="3" t="s">
        <v>4</v>
      </c>
      <c r="E80" s="3"/>
      <c r="F80" s="3"/>
      <c r="G80" s="3" t="str">
        <f t="shared" si="0"/>
        <v>-</v>
      </c>
    </row>
    <row r="81" spans="1:7" ht="14.25" customHeight="1" x14ac:dyDescent="0.3">
      <c r="A81" s="3">
        <v>79</v>
      </c>
      <c r="B81" s="3"/>
      <c r="C81" s="3"/>
      <c r="D81" s="3" t="s">
        <v>4</v>
      </c>
      <c r="E81" s="3"/>
      <c r="F81" s="3"/>
      <c r="G81" s="3" t="str">
        <f t="shared" si="0"/>
        <v>-</v>
      </c>
    </row>
    <row r="82" spans="1:7" ht="14.25" customHeight="1" x14ac:dyDescent="0.3">
      <c r="A82" s="3">
        <v>80</v>
      </c>
      <c r="B82" s="3"/>
      <c r="C82" s="3"/>
      <c r="D82" s="3" t="s">
        <v>4</v>
      </c>
      <c r="E82" s="3"/>
      <c r="F82" s="3"/>
      <c r="G82" s="3" t="str">
        <f t="shared" si="0"/>
        <v>-</v>
      </c>
    </row>
    <row r="83" spans="1:7" ht="14.25" customHeight="1" x14ac:dyDescent="0.3">
      <c r="A83" s="3">
        <v>81</v>
      </c>
      <c r="B83" s="3"/>
      <c r="C83" s="3"/>
      <c r="D83" s="3" t="s">
        <v>4</v>
      </c>
      <c r="E83" s="3"/>
      <c r="F83" s="3"/>
      <c r="G83" s="3" t="str">
        <f t="shared" si="0"/>
        <v>-</v>
      </c>
    </row>
    <row r="84" spans="1:7" ht="14.25" customHeight="1" x14ac:dyDescent="0.3">
      <c r="A84" s="3">
        <v>82</v>
      </c>
      <c r="B84" s="3"/>
      <c r="C84" s="3"/>
      <c r="D84" s="3" t="s">
        <v>4</v>
      </c>
      <c r="E84" s="3"/>
      <c r="F84" s="3"/>
      <c r="G84" s="3" t="str">
        <f t="shared" si="0"/>
        <v>-</v>
      </c>
    </row>
    <row r="85" spans="1:7" ht="14.25" customHeight="1" x14ac:dyDescent="0.3">
      <c r="A85" s="3">
        <v>83</v>
      </c>
      <c r="B85" s="3"/>
      <c r="C85" s="3"/>
      <c r="D85" s="3" t="s">
        <v>4</v>
      </c>
      <c r="E85" s="3"/>
      <c r="F85" s="3"/>
      <c r="G85" s="3" t="str">
        <f t="shared" si="0"/>
        <v>-</v>
      </c>
    </row>
    <row r="86" spans="1:7" ht="14.25" customHeight="1" x14ac:dyDescent="0.3">
      <c r="A86" s="3">
        <v>84</v>
      </c>
      <c r="B86" s="3"/>
      <c r="C86" s="3"/>
      <c r="D86" s="3" t="s">
        <v>4</v>
      </c>
      <c r="E86" s="3"/>
      <c r="F86" s="3"/>
      <c r="G86" s="3" t="str">
        <f t="shared" si="0"/>
        <v>-</v>
      </c>
    </row>
    <row r="87" spans="1:7" ht="14.25" customHeight="1" x14ac:dyDescent="0.3">
      <c r="A87" s="3">
        <v>85</v>
      </c>
      <c r="B87" s="3"/>
      <c r="C87" s="3"/>
      <c r="D87" s="3" t="s">
        <v>4</v>
      </c>
      <c r="E87" s="3"/>
      <c r="F87" s="3"/>
      <c r="G87" s="3" t="str">
        <f t="shared" si="0"/>
        <v>-</v>
      </c>
    </row>
    <row r="88" spans="1:7" ht="14.25" customHeight="1" x14ac:dyDescent="0.3">
      <c r="A88" s="3">
        <v>86</v>
      </c>
      <c r="B88" s="3"/>
      <c r="C88" s="3"/>
      <c r="D88" s="3" t="s">
        <v>4</v>
      </c>
      <c r="E88" s="3"/>
      <c r="F88" s="3"/>
      <c r="G88" s="3" t="str">
        <f t="shared" si="0"/>
        <v>-</v>
      </c>
    </row>
    <row r="89" spans="1:7" ht="14.25" customHeight="1" x14ac:dyDescent="0.3">
      <c r="A89" s="3">
        <v>87</v>
      </c>
      <c r="B89" s="3"/>
      <c r="C89" s="3"/>
      <c r="D89" s="3" t="s">
        <v>4</v>
      </c>
      <c r="E89" s="3"/>
      <c r="F89" s="3"/>
      <c r="G89" s="3" t="str">
        <f t="shared" si="0"/>
        <v>-</v>
      </c>
    </row>
    <row r="90" spans="1:7" ht="14.25" customHeight="1" x14ac:dyDescent="0.3">
      <c r="A90" s="3">
        <v>88</v>
      </c>
      <c r="B90" s="3"/>
      <c r="C90" s="3"/>
      <c r="D90" s="3" t="s">
        <v>4</v>
      </c>
      <c r="E90" s="3"/>
      <c r="F90" s="3"/>
      <c r="G90" s="3" t="str">
        <f t="shared" si="0"/>
        <v>-</v>
      </c>
    </row>
    <row r="91" spans="1:7" ht="14.25" customHeight="1" x14ac:dyDescent="0.3">
      <c r="A91" s="3">
        <v>89</v>
      </c>
      <c r="B91" s="3"/>
      <c r="C91" s="3"/>
      <c r="D91" s="3" t="s">
        <v>4</v>
      </c>
      <c r="E91" s="3"/>
      <c r="F91" s="3"/>
      <c r="G91" s="3" t="str">
        <f t="shared" si="0"/>
        <v>-</v>
      </c>
    </row>
    <row r="92" spans="1:7" ht="14.25" customHeight="1" x14ac:dyDescent="0.3">
      <c r="A92" s="3">
        <v>90</v>
      </c>
      <c r="B92" s="3"/>
      <c r="C92" s="3"/>
      <c r="D92" s="3" t="s">
        <v>4</v>
      </c>
      <c r="E92" s="3"/>
      <c r="F92" s="3"/>
      <c r="G92" s="3" t="str">
        <f t="shared" si="0"/>
        <v>-</v>
      </c>
    </row>
    <row r="93" spans="1:7" ht="14.25" customHeight="1" x14ac:dyDescent="0.3">
      <c r="A93" s="3">
        <v>91</v>
      </c>
      <c r="B93" s="3"/>
      <c r="C93" s="3"/>
      <c r="D93" s="3" t="s">
        <v>4</v>
      </c>
      <c r="E93" s="3"/>
      <c r="F93" s="3"/>
      <c r="G93" s="3" t="str">
        <f t="shared" si="0"/>
        <v>-</v>
      </c>
    </row>
    <row r="94" spans="1:7" ht="14.25" customHeight="1" x14ac:dyDescent="0.3">
      <c r="A94" s="3">
        <v>92</v>
      </c>
      <c r="B94" s="3"/>
      <c r="C94" s="3"/>
      <c r="D94" s="3" t="s">
        <v>4</v>
      </c>
      <c r="E94" s="3"/>
      <c r="F94" s="3"/>
      <c r="G94" s="3" t="str">
        <f t="shared" si="0"/>
        <v>-</v>
      </c>
    </row>
    <row r="95" spans="1:7" ht="14.25" customHeight="1" x14ac:dyDescent="0.3">
      <c r="A95" s="3">
        <v>93</v>
      </c>
      <c r="B95" s="3"/>
      <c r="C95" s="3"/>
      <c r="D95" s="3" t="s">
        <v>4</v>
      </c>
      <c r="E95" s="3"/>
      <c r="F95" s="3"/>
      <c r="G95" s="3" t="str">
        <f t="shared" si="0"/>
        <v>-</v>
      </c>
    </row>
    <row r="96" spans="1:7" ht="14.25" customHeight="1" x14ac:dyDescent="0.3">
      <c r="A96" s="3">
        <v>94</v>
      </c>
      <c r="B96" s="3"/>
      <c r="C96" s="3"/>
      <c r="D96" s="3" t="s">
        <v>4</v>
      </c>
      <c r="E96" s="3"/>
      <c r="F96" s="3"/>
      <c r="G96" s="3" t="str">
        <f t="shared" si="0"/>
        <v>-</v>
      </c>
    </row>
    <row r="97" spans="1:7" ht="14.25" customHeight="1" x14ac:dyDescent="0.3">
      <c r="A97" s="3">
        <v>95</v>
      </c>
      <c r="B97" s="3"/>
      <c r="C97" s="3"/>
      <c r="D97" s="3" t="s">
        <v>4</v>
      </c>
      <c r="E97" s="3"/>
      <c r="F97" s="3"/>
      <c r="G97" s="3" t="str">
        <f t="shared" si="0"/>
        <v>-</v>
      </c>
    </row>
    <row r="98" spans="1:7" ht="14.25" customHeight="1" x14ac:dyDescent="0.3">
      <c r="A98" s="3">
        <v>96</v>
      </c>
      <c r="B98" s="3"/>
      <c r="C98" s="3"/>
      <c r="D98" s="3" t="s">
        <v>4</v>
      </c>
      <c r="E98" s="3"/>
      <c r="F98" s="3"/>
      <c r="G98" s="3" t="str">
        <f t="shared" si="0"/>
        <v>-</v>
      </c>
    </row>
    <row r="99" spans="1:7" ht="14.25" customHeight="1" x14ac:dyDescent="0.3">
      <c r="A99" s="3">
        <v>97</v>
      </c>
      <c r="B99" s="3"/>
      <c r="C99" s="3"/>
      <c r="D99" s="3" t="s">
        <v>4</v>
      </c>
      <c r="E99" s="3"/>
      <c r="F99" s="3"/>
      <c r="G99" s="3" t="str">
        <f t="shared" si="0"/>
        <v>-</v>
      </c>
    </row>
    <row r="100" spans="1:7" ht="14.25" customHeight="1" x14ac:dyDescent="0.3">
      <c r="A100" s="3">
        <v>98</v>
      </c>
      <c r="B100" s="3"/>
      <c r="C100" s="3"/>
      <c r="D100" s="3" t="s">
        <v>4</v>
      </c>
      <c r="E100" s="3"/>
      <c r="F100" s="3"/>
      <c r="G100" s="3" t="str">
        <f t="shared" si="0"/>
        <v>-</v>
      </c>
    </row>
    <row r="101" spans="1:7" ht="14.25" customHeight="1" x14ac:dyDescent="0.3">
      <c r="A101" s="3">
        <v>99</v>
      </c>
      <c r="B101" s="3"/>
      <c r="C101" s="3"/>
      <c r="D101" s="3" t="s">
        <v>4</v>
      </c>
      <c r="E101" s="3"/>
      <c r="F101" s="3"/>
      <c r="G101" s="3" t="str">
        <f t="shared" si="0"/>
        <v>-</v>
      </c>
    </row>
    <row r="102" spans="1:7" ht="14.25" customHeight="1" x14ac:dyDescent="0.3">
      <c r="A102" s="3">
        <v>100</v>
      </c>
      <c r="B102" s="3"/>
      <c r="C102" s="3"/>
      <c r="D102" s="3" t="s">
        <v>4</v>
      </c>
      <c r="E102" s="3"/>
      <c r="F102" s="3"/>
      <c r="G102" s="3" t="str">
        <f t="shared" si="0"/>
        <v>-</v>
      </c>
    </row>
    <row r="103" spans="1:7" ht="14.25" customHeight="1" x14ac:dyDescent="0.3">
      <c r="A103" s="3">
        <v>101</v>
      </c>
      <c r="B103" s="3"/>
      <c r="C103" s="3"/>
      <c r="D103" s="3" t="s">
        <v>4</v>
      </c>
      <c r="E103" s="3"/>
      <c r="F103" s="3"/>
      <c r="G103" s="3" t="str">
        <f t="shared" si="0"/>
        <v>-</v>
      </c>
    </row>
    <row r="104" spans="1:7" ht="14.25" customHeight="1" x14ac:dyDescent="0.3">
      <c r="A104" s="3">
        <v>102</v>
      </c>
      <c r="B104" s="3"/>
      <c r="C104" s="3"/>
      <c r="D104" s="3" t="s">
        <v>4</v>
      </c>
      <c r="E104" s="3"/>
      <c r="F104" s="3"/>
      <c r="G104" s="3" t="str">
        <f t="shared" si="0"/>
        <v>-</v>
      </c>
    </row>
    <row r="105" spans="1:7" ht="14.25" customHeight="1" x14ac:dyDescent="0.3">
      <c r="A105" s="3">
        <v>103</v>
      </c>
      <c r="B105" s="3"/>
      <c r="C105" s="3"/>
      <c r="D105" s="3" t="s">
        <v>4</v>
      </c>
      <c r="E105" s="3"/>
      <c r="F105" s="3"/>
      <c r="G105" s="3" t="str">
        <f t="shared" si="0"/>
        <v>-</v>
      </c>
    </row>
    <row r="106" spans="1:7" ht="14.25" customHeight="1" x14ac:dyDescent="0.3">
      <c r="A106" s="3">
        <v>104</v>
      </c>
      <c r="B106" s="3"/>
      <c r="C106" s="3"/>
      <c r="D106" s="3" t="s">
        <v>4</v>
      </c>
      <c r="E106" s="3"/>
      <c r="F106" s="3"/>
      <c r="G106" s="3" t="str">
        <f t="shared" si="0"/>
        <v>-</v>
      </c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topLeftCell="E1" zoomScale="85" zoomScaleNormal="85" workbookViewId="0">
      <selection activeCell="G16" sqref="G16"/>
    </sheetView>
  </sheetViews>
  <sheetFormatPr defaultColWidth="12.6640625" defaultRowHeight="23.4" x14ac:dyDescent="0.45"/>
  <cols>
    <col min="1" max="1" width="11.33203125" style="1" hidden="1" customWidth="1"/>
    <col min="2" max="2" width="10.44140625" style="1" hidden="1" customWidth="1"/>
    <col min="3" max="3" width="11.33203125" style="1" hidden="1" customWidth="1"/>
    <col min="4" max="4" width="8.5546875" style="1" hidden="1" customWidth="1"/>
    <col min="5" max="5" width="11.88671875" style="1" bestFit="1" customWidth="1"/>
    <col min="6" max="6" width="17.88671875" style="1" customWidth="1"/>
    <col min="7" max="7" width="15" style="1" customWidth="1"/>
    <col min="8" max="8" width="17.6640625" style="1" customWidth="1"/>
    <col min="9" max="26" width="8.5546875" style="1" customWidth="1"/>
    <col min="27" max="16384" width="12.6640625" style="1"/>
  </cols>
  <sheetData>
    <row r="1" spans="1:8" x14ac:dyDescent="0.45">
      <c r="E1" s="7" t="s">
        <v>56</v>
      </c>
      <c r="F1" s="7"/>
      <c r="G1" s="7"/>
      <c r="H1" s="7"/>
    </row>
    <row r="2" spans="1:8" x14ac:dyDescent="0.45">
      <c r="B2" s="1" t="s">
        <v>57</v>
      </c>
      <c r="C2" s="1" t="s">
        <v>58</v>
      </c>
      <c r="E2" s="1" t="s">
        <v>59</v>
      </c>
      <c r="F2" s="1" t="s">
        <v>60</v>
      </c>
      <c r="G2" s="1" t="s">
        <v>57</v>
      </c>
      <c r="H2" s="1" t="s">
        <v>58</v>
      </c>
    </row>
    <row r="3" spans="1:8" x14ac:dyDescent="0.45">
      <c r="A3" s="1" t="s">
        <v>61</v>
      </c>
      <c r="B3" s="1">
        <f>Rodrigo!X3</f>
        <v>96</v>
      </c>
      <c r="C3" s="1">
        <f>Rodrigo!Y3</f>
        <v>4</v>
      </c>
      <c r="E3" s="1">
        <v>1</v>
      </c>
      <c r="F3" s="1" t="str" cm="1">
        <f t="array" ref="F3:H9">_xlfn.SORTBY(A3:C9,B3:B9,-1,C3:C9,-1,A3:A9,1)</f>
        <v>Ana</v>
      </c>
      <c r="G3" s="1">
        <v>123</v>
      </c>
      <c r="H3" s="1">
        <v>5</v>
      </c>
    </row>
    <row r="4" spans="1:8" x14ac:dyDescent="0.45">
      <c r="A4" s="1" t="s">
        <v>62</v>
      </c>
      <c r="B4" s="1">
        <f>Arthur!X3</f>
        <v>107</v>
      </c>
      <c r="C4" s="1">
        <f>Arthur!Y3</f>
        <v>4</v>
      </c>
      <c r="E4" s="1">
        <f>IF(AND(G4=G3,H4=H3),E3,2)</f>
        <v>2</v>
      </c>
      <c r="F4" s="1" t="str">
        <v>Arthur</v>
      </c>
      <c r="G4" s="1">
        <v>107</v>
      </c>
      <c r="H4" s="1">
        <v>4</v>
      </c>
    </row>
    <row r="5" spans="1:8" x14ac:dyDescent="0.45">
      <c r="A5" s="1" t="s">
        <v>63</v>
      </c>
      <c r="B5" s="1">
        <f>Dudu!X3</f>
        <v>96</v>
      </c>
      <c r="C5" s="1">
        <f>Dudu!Y3</f>
        <v>6</v>
      </c>
      <c r="E5" s="1">
        <f>IF(AND(G5=G4,H5=H4),E4,3)</f>
        <v>3</v>
      </c>
      <c r="F5" s="1" t="str">
        <v>Isa</v>
      </c>
      <c r="G5" s="1">
        <v>105</v>
      </c>
      <c r="H5" s="1">
        <v>3</v>
      </c>
    </row>
    <row r="6" spans="1:8" x14ac:dyDescent="0.45">
      <c r="A6" s="1" t="s">
        <v>64</v>
      </c>
      <c r="B6" s="1">
        <f>Carol!X3</f>
        <v>92</v>
      </c>
      <c r="C6" s="1">
        <f>Carol!Y3</f>
        <v>3</v>
      </c>
      <c r="E6" s="1">
        <f>IF(AND(G6=G5,H6=H5),E5,4)</f>
        <v>4</v>
      </c>
      <c r="F6" s="1" t="str">
        <v>Dudu</v>
      </c>
      <c r="G6" s="1">
        <v>96</v>
      </c>
      <c r="H6" s="1">
        <v>6</v>
      </c>
    </row>
    <row r="7" spans="1:8" x14ac:dyDescent="0.45">
      <c r="A7" s="1" t="s">
        <v>65</v>
      </c>
      <c r="B7" s="1">
        <f>Ana!X3</f>
        <v>123</v>
      </c>
      <c r="C7" s="1">
        <f>Ana!Y3</f>
        <v>5</v>
      </c>
      <c r="E7" s="1">
        <f>IF(AND(G7=G6,H7=H6),E6,5)</f>
        <v>5</v>
      </c>
      <c r="F7" s="1" t="str">
        <v>Rodrigo</v>
      </c>
      <c r="G7" s="1">
        <v>96</v>
      </c>
      <c r="H7" s="1">
        <v>4</v>
      </c>
    </row>
    <row r="8" spans="1:8" x14ac:dyDescent="0.45">
      <c r="A8" s="1" t="s">
        <v>66</v>
      </c>
      <c r="B8" s="1">
        <f>Isa!X3</f>
        <v>105</v>
      </c>
      <c r="C8" s="1">
        <f>Isa!Y3</f>
        <v>3</v>
      </c>
      <c r="E8" s="1">
        <f>IF(AND(G8=G7,H8=H7),E7,6)</f>
        <v>6</v>
      </c>
      <c r="F8" s="1" t="str">
        <v>Carol</v>
      </c>
      <c r="G8" s="1">
        <v>92</v>
      </c>
      <c r="H8" s="1">
        <v>3</v>
      </c>
    </row>
    <row r="9" spans="1:8" x14ac:dyDescent="0.45">
      <c r="A9" s="1" t="s">
        <v>67</v>
      </c>
      <c r="B9" s="1">
        <f>Trops!X3</f>
        <v>83</v>
      </c>
      <c r="C9" s="1">
        <f>Trops!Y3</f>
        <v>1</v>
      </c>
      <c r="E9" s="1">
        <f>IF(AND(G9=G8,H9=H8),E8,7)</f>
        <v>7</v>
      </c>
      <c r="F9" s="1" t="str">
        <v>Trops</v>
      </c>
      <c r="G9" s="1">
        <v>83</v>
      </c>
      <c r="H9" s="1">
        <v>1</v>
      </c>
    </row>
  </sheetData>
  <mergeCells count="1">
    <mergeCell ref="E1:H1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6"/>
  <sheetViews>
    <sheetView topLeftCell="I47" workbookViewId="0">
      <selection activeCell="L63" sqref="L63"/>
    </sheetView>
  </sheetViews>
  <sheetFormatPr defaultColWidth="12.6640625" defaultRowHeight="15" customHeight="1" x14ac:dyDescent="0.3"/>
  <cols>
    <col min="1" max="1" width="8.88671875" hidden="1" customWidth="1"/>
    <col min="2" max="2" width="14.109375" hidden="1" customWidth="1"/>
    <col min="3" max="5" width="8.88671875" hidden="1" customWidth="1"/>
    <col min="6" max="7" width="14.109375" hidden="1" customWidth="1"/>
    <col min="8" max="8" width="8.88671875" hidden="1" customWidth="1"/>
    <col min="9" max="9" width="8.88671875" customWidth="1"/>
    <col min="10" max="10" width="14.109375" customWidth="1"/>
    <col min="11" max="13" width="8.88671875" customWidth="1"/>
    <col min="14" max="14" width="14.109375" customWidth="1"/>
    <col min="15" max="15" width="14.33203125" customWidth="1"/>
    <col min="16" max="16" width="8.5546875" hidden="1" customWidth="1"/>
    <col min="17" max="21" width="11.6640625" hidden="1" customWidth="1"/>
    <col min="22" max="22" width="8.5546875" hidden="1" customWidth="1"/>
    <col min="23" max="24" width="8.88671875" customWidth="1"/>
    <col min="25" max="25" width="13.88671875" bestFit="1" customWidth="1"/>
    <col min="26" max="26" width="8.5546875" customWidth="1"/>
  </cols>
  <sheetData>
    <row r="1" spans="1:25" ht="14.25" customHeight="1" x14ac:dyDescent="0.3">
      <c r="A1" s="8" t="str">
        <f>'Tabela de Jogos'!A1</f>
        <v>Tabela de Jogos</v>
      </c>
      <c r="B1" s="9"/>
      <c r="C1" s="9"/>
      <c r="D1" s="9"/>
      <c r="E1" s="9"/>
      <c r="F1" s="9"/>
      <c r="G1" s="9"/>
      <c r="H1" s="3"/>
      <c r="I1" s="8" t="s">
        <v>68</v>
      </c>
      <c r="J1" s="9"/>
      <c r="K1" s="9"/>
      <c r="L1" s="9"/>
      <c r="M1" s="9"/>
      <c r="N1" s="9"/>
      <c r="O1" s="9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3" t="str">
        <f>'Tabela de Jogos'!A2</f>
        <v>Jogo</v>
      </c>
      <c r="B2" s="3" t="str">
        <f>'Tabela de Jogos'!B2</f>
        <v>Seleção A</v>
      </c>
      <c r="C2" s="3" t="str">
        <f>'Tabela de Jogos'!C2</f>
        <v>Gols A</v>
      </c>
      <c r="D2" s="3" t="str">
        <f>'Tabela de Jogos'!D2</f>
        <v>x</v>
      </c>
      <c r="E2" s="3" t="str">
        <f>'Tabela de Jogos'!E2</f>
        <v>Gols B</v>
      </c>
      <c r="F2" s="3" t="str">
        <f>'Tabela de Jogos'!F2</f>
        <v>Seleção B</v>
      </c>
      <c r="G2" s="3" t="str">
        <f>'Tabela de Jogos'!G2</f>
        <v>Vencedor</v>
      </c>
      <c r="H2" s="3"/>
      <c r="I2" s="3" t="str">
        <f t="shared" ref="I2:N2" si="0">A2</f>
        <v>Jogo</v>
      </c>
      <c r="J2" s="3" t="str">
        <f t="shared" si="0"/>
        <v>Seleção A</v>
      </c>
      <c r="K2" s="3" t="str">
        <f t="shared" si="0"/>
        <v>Gols A</v>
      </c>
      <c r="L2" s="3" t="str">
        <f t="shared" si="0"/>
        <v>x</v>
      </c>
      <c r="M2" s="3" t="str">
        <f t="shared" si="0"/>
        <v>Gols B</v>
      </c>
      <c r="N2" s="3" t="str">
        <f t="shared" si="0"/>
        <v>Seleção B</v>
      </c>
      <c r="O2" s="3" t="s">
        <v>7</v>
      </c>
      <c r="P2" s="3"/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 t="s">
        <v>57</v>
      </c>
      <c r="X2" s="3" t="s">
        <v>74</v>
      </c>
      <c r="Y2" s="3" t="s">
        <v>75</v>
      </c>
    </row>
    <row r="3" spans="1:25" ht="14.25" customHeight="1" x14ac:dyDescent="0.3">
      <c r="A3" s="3">
        <f>'Tabela de Jogos'!A3</f>
        <v>1</v>
      </c>
      <c r="B3" s="3" t="str">
        <f>'Tabela de Jogos'!B3</f>
        <v>México</v>
      </c>
      <c r="C3" s="3">
        <f>'Tabela de Jogos'!C3</f>
        <v>2</v>
      </c>
      <c r="D3" s="3" t="str">
        <f>'Tabela de Jogos'!D3</f>
        <v>x</v>
      </c>
      <c r="E3" s="3">
        <f>'Tabela de Jogos'!E3</f>
        <v>0</v>
      </c>
      <c r="F3" s="3" t="str">
        <f>'Tabela de Jogos'!F3</f>
        <v>África do Sul</v>
      </c>
      <c r="G3" s="3" t="str">
        <f>'Tabela de Jogos'!G3</f>
        <v>México</v>
      </c>
      <c r="H3" s="3"/>
      <c r="I3" s="3">
        <f>A3</f>
        <v>1</v>
      </c>
      <c r="J3" s="3" t="str">
        <f>B3</f>
        <v>México</v>
      </c>
      <c r="K3" s="3">
        <v>2</v>
      </c>
      <c r="L3" s="3" t="str">
        <f t="shared" ref="L3:L34" si="1">D3</f>
        <v>x</v>
      </c>
      <c r="M3" s="3">
        <v>1</v>
      </c>
      <c r="N3" s="3" t="str">
        <f t="shared" ref="N3:N34" si="2">F3</f>
        <v>África do Sul</v>
      </c>
      <c r="O3" s="3" t="str">
        <f t="shared" ref="O3:O34" si="3">IF(K3&gt;M3,J3,IF(M3&gt;K3,N3,IF(ISBLANK(K3),"-","Empate")))</f>
        <v>México</v>
      </c>
      <c r="P3" s="3"/>
      <c r="Q3" s="3" t="b">
        <f t="shared" ref="Q3:Q34" si="4">IF(AND(O3=G3,K3=C3,M3=E3,ISBLANK(K3)&lt;&gt;TRUE),TRUE,FALSE)</f>
        <v>0</v>
      </c>
      <c r="R3" s="3" t="b">
        <f t="shared" ref="R3:R34" si="5">IF(OR(AND(O3=G3,K3=C3,K3&gt;M3,M3&lt;&gt;E3,ISBLANK(K3)&lt;&gt;TRUE),AND(O3=G3,M3&gt;K3,K3&lt;&gt;C3,M3=E3,ISBLANK(K3)&lt;&gt;TRUE)),TRUE,FALSE)</f>
        <v>1</v>
      </c>
      <c r="S3" s="3" t="b">
        <f t="shared" ref="S3:S34" si="6">IF(AND(O3=G3,ABS(K3-M3)=ABS(C3-E3),OR(K3&lt;&gt;C3,M3&lt;&gt;E3),ISBLANK(K3)&lt;&gt;TRUE),TRUE,FALSE)</f>
        <v>0</v>
      </c>
      <c r="T3" s="3" t="b">
        <f t="shared" ref="T3:T34" si="7">IF(OR(AND(O3=G3,Q3=FALSE,R3=FALSE,S3=FALSE,G3&lt;&gt;"-"),AND(O3="Empate",S3=TRUE)),TRUE,FALSE)</f>
        <v>0</v>
      </c>
      <c r="U3" s="3" t="b">
        <f t="shared" ref="U3:U106" si="8">IF(AND(Q3=FALSE,R3=FALSE,S3=FALSE,T3=FALSE),TRUE,FALSE)</f>
        <v>0</v>
      </c>
      <c r="V3" s="3"/>
      <c r="W3" s="3" cm="1">
        <f t="array" ref="W3">IF(OR(J3="Brasil",N3="Brasil"),2*_xlfn.IFS(Q3=TRUE,6,R3=TRUE,4,AND(S3=TRUE,T3=FALSE),3,T3=TRUE,2,U3=TRUE,0),_xlfn.IFS(Q3=TRUE,6,R3=TRUE,4,AND(S3=TRUE,T3=FALSE),3,T3=TRUE,2,U3=TRUE,0))</f>
        <v>4</v>
      </c>
      <c r="X3" s="3">
        <f>SUM(W3:W106)</f>
        <v>96</v>
      </c>
      <c r="Y3" s="3">
        <f>COUNTIF(W3:W106,6)+COUNTIF(W3:W106,12)</f>
        <v>4</v>
      </c>
    </row>
    <row r="4" spans="1:25" ht="14.25" customHeight="1" x14ac:dyDescent="0.3">
      <c r="A4" s="3">
        <f>'Tabela de Jogos'!A4</f>
        <v>2</v>
      </c>
      <c r="B4" s="3" t="str">
        <f>'Tabela de Jogos'!B4</f>
        <v>Coreia do Sul</v>
      </c>
      <c r="C4" s="3">
        <f>'Tabela de Jogos'!C4</f>
        <v>2</v>
      </c>
      <c r="D4" s="3" t="str">
        <f>'Tabela de Jogos'!D4</f>
        <v>x</v>
      </c>
      <c r="E4" s="3">
        <f>'Tabela de Jogos'!E4</f>
        <v>1</v>
      </c>
      <c r="F4" s="3" t="str">
        <f>'Tabela de Jogos'!F4</f>
        <v>Tchéquia</v>
      </c>
      <c r="G4" s="3" t="str">
        <f>'Tabela de Jogos'!G4</f>
        <v>Coreia do Sul</v>
      </c>
      <c r="H4" s="3"/>
      <c r="I4" s="3">
        <f t="shared" ref="I4:J4" si="9">A4</f>
        <v>2</v>
      </c>
      <c r="J4" s="3" t="str">
        <f t="shared" si="9"/>
        <v>Coreia do Sul</v>
      </c>
      <c r="K4" s="3">
        <v>1</v>
      </c>
      <c r="L4" s="3" t="str">
        <f t="shared" si="1"/>
        <v>x</v>
      </c>
      <c r="M4" s="3">
        <v>2</v>
      </c>
      <c r="N4" s="3" t="str">
        <f t="shared" si="2"/>
        <v>Tchéquia</v>
      </c>
      <c r="O4" s="3" t="str">
        <f t="shared" si="3"/>
        <v>Tchéquia</v>
      </c>
      <c r="P4" s="3"/>
      <c r="Q4" s="3" t="b">
        <f t="shared" si="4"/>
        <v>0</v>
      </c>
      <c r="R4" s="3" t="b">
        <f t="shared" si="5"/>
        <v>0</v>
      </c>
      <c r="S4" s="3" t="b">
        <f t="shared" si="6"/>
        <v>0</v>
      </c>
      <c r="T4" s="3" t="b">
        <f t="shared" si="7"/>
        <v>0</v>
      </c>
      <c r="U4" s="3" t="b">
        <f t="shared" si="8"/>
        <v>1</v>
      </c>
      <c r="V4" s="3"/>
      <c r="W4" s="3" cm="1">
        <f t="array" ref="W4">IF(OR(J4="Brasil",N4="Brasil"),2*_xlfn.IFS(Q4=TRUE,6,R4=TRUE,4,AND(S4=TRUE,T4=FALSE),3,T4=TRUE,2,U4=TRUE,0),_xlfn.IFS(Q4=TRUE,6,R4=TRUE,4,AND(S4=TRUE,T4=FALSE),3,T4=TRUE,2,U4=TRUE,0))</f>
        <v>0</v>
      </c>
      <c r="X4" s="3"/>
      <c r="Y4" s="3"/>
    </row>
    <row r="5" spans="1:25" ht="14.25" customHeight="1" x14ac:dyDescent="0.3">
      <c r="A5" s="3">
        <f>'Tabela de Jogos'!A5</f>
        <v>3</v>
      </c>
      <c r="B5" s="3" t="str">
        <f>'Tabela de Jogos'!B5</f>
        <v>Canadá</v>
      </c>
      <c r="C5" s="3">
        <f>'Tabela de Jogos'!C5</f>
        <v>1</v>
      </c>
      <c r="D5" s="3" t="str">
        <f>'Tabela de Jogos'!D5</f>
        <v>x</v>
      </c>
      <c r="E5" s="3">
        <f>'Tabela de Jogos'!E5</f>
        <v>1</v>
      </c>
      <c r="F5" s="3" t="str">
        <f>'Tabela de Jogos'!F5</f>
        <v>Bósnia</v>
      </c>
      <c r="G5" s="3" t="str">
        <f>'Tabela de Jogos'!G5</f>
        <v>Empate</v>
      </c>
      <c r="H5" s="3"/>
      <c r="I5" s="3">
        <f t="shared" ref="I5:J5" si="10">A5</f>
        <v>3</v>
      </c>
      <c r="J5" s="3" t="str">
        <f t="shared" si="10"/>
        <v>Canadá</v>
      </c>
      <c r="K5" s="3">
        <v>2</v>
      </c>
      <c r="L5" s="3" t="str">
        <f t="shared" si="1"/>
        <v>x</v>
      </c>
      <c r="M5" s="3">
        <v>0</v>
      </c>
      <c r="N5" s="3" t="str">
        <f t="shared" si="2"/>
        <v>Bósnia</v>
      </c>
      <c r="O5" s="3" t="str">
        <f t="shared" si="3"/>
        <v>Canadá</v>
      </c>
      <c r="P5" s="3"/>
      <c r="Q5" s="3" t="b">
        <f t="shared" si="4"/>
        <v>0</v>
      </c>
      <c r="R5" s="3" t="b">
        <f t="shared" si="5"/>
        <v>0</v>
      </c>
      <c r="S5" s="3" t="b">
        <f t="shared" si="6"/>
        <v>0</v>
      </c>
      <c r="T5" s="3" t="b">
        <f t="shared" si="7"/>
        <v>0</v>
      </c>
      <c r="U5" s="3" t="b">
        <f t="shared" si="8"/>
        <v>1</v>
      </c>
      <c r="V5" s="3"/>
      <c r="W5" s="3" cm="1">
        <f t="array" ref="W5">IF(OR(J5="Brasil",N5="Brasil"),2*_xlfn.IFS(Q5=TRUE,6,R5=TRUE,4,AND(S5=TRUE,T5=FALSE),3,T5=TRUE,2,U5=TRUE,0),_xlfn.IFS(Q5=TRUE,6,R5=TRUE,4,AND(S5=TRUE,T5=FALSE),3,T5=TRUE,2,U5=TRUE,0))</f>
        <v>0</v>
      </c>
      <c r="X5" s="3"/>
      <c r="Y5" s="3"/>
    </row>
    <row r="6" spans="1:25" ht="14.25" customHeight="1" x14ac:dyDescent="0.3">
      <c r="A6" s="3">
        <f>'Tabela de Jogos'!A6</f>
        <v>4</v>
      </c>
      <c r="B6" s="3" t="str">
        <f>'Tabela de Jogos'!B6</f>
        <v>EUA</v>
      </c>
      <c r="C6" s="3">
        <f>'Tabela de Jogos'!C6</f>
        <v>4</v>
      </c>
      <c r="D6" s="3" t="str">
        <f>'Tabela de Jogos'!D6</f>
        <v>x</v>
      </c>
      <c r="E6" s="3">
        <f>'Tabela de Jogos'!E6</f>
        <v>1</v>
      </c>
      <c r="F6" s="3" t="str">
        <f>'Tabela de Jogos'!F6</f>
        <v>Paraguai</v>
      </c>
      <c r="G6" s="3" t="str">
        <f>'Tabela de Jogos'!G6</f>
        <v>EUA</v>
      </c>
      <c r="H6" s="3"/>
      <c r="I6" s="3">
        <f t="shared" ref="I6:J6" si="11">A6</f>
        <v>4</v>
      </c>
      <c r="J6" s="3" t="str">
        <f t="shared" si="11"/>
        <v>EUA</v>
      </c>
      <c r="K6" s="3">
        <v>1</v>
      </c>
      <c r="L6" s="3" t="str">
        <f t="shared" si="1"/>
        <v>x</v>
      </c>
      <c r="M6" s="3">
        <v>0</v>
      </c>
      <c r="N6" s="3" t="str">
        <f t="shared" si="2"/>
        <v>Paraguai</v>
      </c>
      <c r="O6" s="3" t="str">
        <f t="shared" si="3"/>
        <v>EUA</v>
      </c>
      <c r="P6" s="3"/>
      <c r="Q6" s="3" t="b">
        <f t="shared" si="4"/>
        <v>0</v>
      </c>
      <c r="R6" s="3" t="b">
        <f t="shared" si="5"/>
        <v>0</v>
      </c>
      <c r="S6" s="3" t="b">
        <f t="shared" si="6"/>
        <v>0</v>
      </c>
      <c r="T6" s="3" t="b">
        <f t="shared" si="7"/>
        <v>1</v>
      </c>
      <c r="U6" s="3" t="b">
        <f t="shared" si="8"/>
        <v>0</v>
      </c>
      <c r="V6" s="3"/>
      <c r="W6" s="3" cm="1">
        <f t="array" ref="W6">IF(OR(J6="Brasil",N6="Brasil"),2*_xlfn.IFS(Q6=TRUE,6,R6=TRUE,4,AND(S6=TRUE,T6=FALSE),3,T6=TRUE,2,U6=TRUE,0),_xlfn.IFS(Q6=TRUE,6,R6=TRUE,4,AND(S6=TRUE,T6=FALSE),3,T6=TRUE,2,U6=TRUE,0))</f>
        <v>2</v>
      </c>
      <c r="X6" s="3"/>
      <c r="Y6" s="3"/>
    </row>
    <row r="7" spans="1:25" ht="14.25" customHeight="1" x14ac:dyDescent="0.3">
      <c r="A7" s="3">
        <f>'Tabela de Jogos'!A7</f>
        <v>5</v>
      </c>
      <c r="B7" s="3" t="str">
        <f>'Tabela de Jogos'!B7</f>
        <v>Catar</v>
      </c>
      <c r="C7" s="3">
        <f>'Tabela de Jogos'!C7</f>
        <v>1</v>
      </c>
      <c r="D7" s="3" t="str">
        <f>'Tabela de Jogos'!D7</f>
        <v>x</v>
      </c>
      <c r="E7" s="3">
        <f>'Tabela de Jogos'!E7</f>
        <v>1</v>
      </c>
      <c r="F7" s="3" t="str">
        <f>'Tabela de Jogos'!F7</f>
        <v>Suíça</v>
      </c>
      <c r="G7" s="3" t="str">
        <f>'Tabela de Jogos'!G7</f>
        <v>Empate</v>
      </c>
      <c r="H7" s="3"/>
      <c r="I7" s="3">
        <f t="shared" ref="I7:J7" si="12">A7</f>
        <v>5</v>
      </c>
      <c r="J7" s="3" t="str">
        <f t="shared" si="12"/>
        <v>Catar</v>
      </c>
      <c r="K7" s="3">
        <v>0</v>
      </c>
      <c r="L7" s="3" t="str">
        <f t="shared" si="1"/>
        <v>x</v>
      </c>
      <c r="M7" s="3">
        <v>3</v>
      </c>
      <c r="N7" s="3" t="str">
        <f t="shared" si="2"/>
        <v>Suíça</v>
      </c>
      <c r="O7" s="3" t="str">
        <f t="shared" si="3"/>
        <v>Suíça</v>
      </c>
      <c r="P7" s="3"/>
      <c r="Q7" s="3" t="b">
        <f t="shared" si="4"/>
        <v>0</v>
      </c>
      <c r="R7" s="3" t="b">
        <f t="shared" si="5"/>
        <v>0</v>
      </c>
      <c r="S7" s="3" t="b">
        <f t="shared" si="6"/>
        <v>0</v>
      </c>
      <c r="T7" s="3" t="b">
        <f t="shared" si="7"/>
        <v>0</v>
      </c>
      <c r="U7" s="3" t="b">
        <f t="shared" si="8"/>
        <v>1</v>
      </c>
      <c r="V7" s="3"/>
      <c r="W7" s="3" cm="1">
        <f t="array" ref="W7">IF(OR(J7="Brasil",N7="Brasil"),2*_xlfn.IFS(Q7=TRUE,6,R7=TRUE,4,AND(S7=TRUE,T7=FALSE),3,T7=TRUE,2,U7=TRUE,0),_xlfn.IFS(Q7=TRUE,6,R7=TRUE,4,AND(S7=TRUE,T7=FALSE),3,T7=TRUE,2,U7=TRUE,0))</f>
        <v>0</v>
      </c>
      <c r="X7" s="3"/>
      <c r="Y7" s="3"/>
    </row>
    <row r="8" spans="1:25" ht="14.25" customHeight="1" x14ac:dyDescent="0.3">
      <c r="A8" s="3">
        <f>'Tabela de Jogos'!A8</f>
        <v>6</v>
      </c>
      <c r="B8" s="3" t="str">
        <f>'Tabela de Jogos'!B8</f>
        <v>Brasil</v>
      </c>
      <c r="C8" s="3">
        <f>'Tabela de Jogos'!C8</f>
        <v>1</v>
      </c>
      <c r="D8" s="3" t="str">
        <f>'Tabela de Jogos'!D8</f>
        <v>x</v>
      </c>
      <c r="E8" s="3">
        <f>'Tabela de Jogos'!E8</f>
        <v>1</v>
      </c>
      <c r="F8" s="3" t="str">
        <f>'Tabela de Jogos'!F8</f>
        <v>Marrocos</v>
      </c>
      <c r="G8" s="3" t="str">
        <f>'Tabela de Jogos'!G8</f>
        <v>Empate</v>
      </c>
      <c r="H8" s="3"/>
      <c r="I8" s="3">
        <f t="shared" ref="I8:J8" si="13">A8</f>
        <v>6</v>
      </c>
      <c r="J8" s="3" t="str">
        <f t="shared" si="13"/>
        <v>Brasil</v>
      </c>
      <c r="K8" s="3">
        <v>2</v>
      </c>
      <c r="L8" s="3" t="str">
        <f t="shared" si="1"/>
        <v>x</v>
      </c>
      <c r="M8" s="3">
        <v>1</v>
      </c>
      <c r="N8" s="3" t="str">
        <f t="shared" si="2"/>
        <v>Marrocos</v>
      </c>
      <c r="O8" s="3" t="str">
        <f t="shared" si="3"/>
        <v>Brasil</v>
      </c>
      <c r="P8" s="3"/>
      <c r="Q8" s="3" t="b">
        <f t="shared" si="4"/>
        <v>0</v>
      </c>
      <c r="R8" s="3" t="b">
        <f t="shared" si="5"/>
        <v>0</v>
      </c>
      <c r="S8" s="3" t="b">
        <f t="shared" si="6"/>
        <v>0</v>
      </c>
      <c r="T8" s="3" t="b">
        <f t="shared" si="7"/>
        <v>0</v>
      </c>
      <c r="U8" s="3" t="b">
        <f t="shared" si="8"/>
        <v>1</v>
      </c>
      <c r="V8" s="3"/>
      <c r="W8" s="3" cm="1">
        <f t="array" ref="W8">IF(OR(J8="Brasil",N8="Brasil"),2*_xlfn.IFS(Q8=TRUE,6,R8=TRUE,4,AND(S8=TRUE,T8=FALSE),3,T8=TRUE,2,U8=TRUE,0),_xlfn.IFS(Q8=TRUE,6,R8=TRUE,4,AND(S8=TRUE,T8=FALSE),3,T8=TRUE,2,U8=TRUE,0))</f>
        <v>0</v>
      </c>
      <c r="X8" s="3"/>
      <c r="Y8" s="3"/>
    </row>
    <row r="9" spans="1:25" ht="14.25" customHeight="1" x14ac:dyDescent="0.3">
      <c r="A9" s="3">
        <f>'Tabela de Jogos'!A9</f>
        <v>7</v>
      </c>
      <c r="B9" s="3" t="str">
        <f>'Tabela de Jogos'!B9</f>
        <v>Haiti</v>
      </c>
      <c r="C9" s="3">
        <f>'Tabela de Jogos'!C9</f>
        <v>0</v>
      </c>
      <c r="D9" s="3" t="str">
        <f>'Tabela de Jogos'!D9</f>
        <v>x</v>
      </c>
      <c r="E9" s="3">
        <f>'Tabela de Jogos'!E9</f>
        <v>1</v>
      </c>
      <c r="F9" s="3" t="str">
        <f>'Tabela de Jogos'!F9</f>
        <v>Escócia</v>
      </c>
      <c r="G9" s="3" t="str">
        <f>'Tabela de Jogos'!G9</f>
        <v>Escócia</v>
      </c>
      <c r="H9" s="3"/>
      <c r="I9" s="3">
        <f t="shared" ref="I9:J9" si="14">A9</f>
        <v>7</v>
      </c>
      <c r="J9" s="3" t="str">
        <f t="shared" si="14"/>
        <v>Haiti</v>
      </c>
      <c r="K9" s="3">
        <v>0</v>
      </c>
      <c r="L9" s="3" t="str">
        <f t="shared" si="1"/>
        <v>x</v>
      </c>
      <c r="M9" s="3">
        <v>2</v>
      </c>
      <c r="N9" s="3" t="str">
        <f t="shared" si="2"/>
        <v>Escócia</v>
      </c>
      <c r="O9" s="3" t="str">
        <f t="shared" si="3"/>
        <v>Escócia</v>
      </c>
      <c r="P9" s="3"/>
      <c r="Q9" s="3" t="b">
        <f t="shared" si="4"/>
        <v>0</v>
      </c>
      <c r="R9" s="3" t="b">
        <f t="shared" si="5"/>
        <v>0</v>
      </c>
      <c r="S9" s="3" t="b">
        <f t="shared" si="6"/>
        <v>0</v>
      </c>
      <c r="T9" s="3" t="b">
        <f t="shared" si="7"/>
        <v>1</v>
      </c>
      <c r="U9" s="3" t="b">
        <f t="shared" si="8"/>
        <v>0</v>
      </c>
      <c r="V9" s="3"/>
      <c r="W9" s="3" cm="1">
        <f t="array" ref="W9">IF(OR(J9="Brasil",N9="Brasil"),2*_xlfn.IFS(Q9=TRUE,6,R9=TRUE,4,AND(S9=TRUE,T9=FALSE),3,T9=TRUE,2,U9=TRUE,0),_xlfn.IFS(Q9=TRUE,6,R9=TRUE,4,AND(S9=TRUE,T9=FALSE),3,T9=TRUE,2,U9=TRUE,0))</f>
        <v>2</v>
      </c>
      <c r="X9" s="3"/>
      <c r="Y9" s="3"/>
    </row>
    <row r="10" spans="1:25" ht="14.25" customHeight="1" x14ac:dyDescent="0.3">
      <c r="A10" s="3">
        <f>'Tabela de Jogos'!A10</f>
        <v>8</v>
      </c>
      <c r="B10" s="3" t="str">
        <f>'Tabela de Jogos'!B10</f>
        <v>Austrália</v>
      </c>
      <c r="C10" s="3">
        <f>'Tabela de Jogos'!C10</f>
        <v>2</v>
      </c>
      <c r="D10" s="3" t="str">
        <f>'Tabela de Jogos'!D10</f>
        <v>x</v>
      </c>
      <c r="E10" s="3">
        <f>'Tabela de Jogos'!E10</f>
        <v>0</v>
      </c>
      <c r="F10" s="3" t="str">
        <f>'Tabela de Jogos'!F10</f>
        <v>Turquia</v>
      </c>
      <c r="G10" s="3" t="str">
        <f>'Tabela de Jogos'!G10</f>
        <v>Austrália</v>
      </c>
      <c r="H10" s="3"/>
      <c r="I10" s="3">
        <f t="shared" ref="I10:J10" si="15">A10</f>
        <v>8</v>
      </c>
      <c r="J10" s="3" t="str">
        <f t="shared" si="15"/>
        <v>Austrália</v>
      </c>
      <c r="K10" s="3">
        <v>1</v>
      </c>
      <c r="L10" s="3" t="str">
        <f t="shared" si="1"/>
        <v>x</v>
      </c>
      <c r="M10" s="3">
        <v>1</v>
      </c>
      <c r="N10" s="3" t="str">
        <f t="shared" si="2"/>
        <v>Turquia</v>
      </c>
      <c r="O10" s="3" t="str">
        <f t="shared" si="3"/>
        <v>Empate</v>
      </c>
      <c r="P10" s="3"/>
      <c r="Q10" s="3" t="b">
        <f t="shared" si="4"/>
        <v>0</v>
      </c>
      <c r="R10" s="3" t="b">
        <f t="shared" si="5"/>
        <v>0</v>
      </c>
      <c r="S10" s="3" t="b">
        <f t="shared" si="6"/>
        <v>0</v>
      </c>
      <c r="T10" s="3" t="b">
        <f t="shared" si="7"/>
        <v>0</v>
      </c>
      <c r="U10" s="3" t="b">
        <f t="shared" si="8"/>
        <v>1</v>
      </c>
      <c r="V10" s="3"/>
      <c r="W10" s="3" cm="1">
        <f t="array" ref="W10">IF(OR(J10="Brasil",N10="Brasil"),2*_xlfn.IFS(Q10=TRUE,6,R10=TRUE,4,AND(S10=TRUE,T10=FALSE),3,T10=TRUE,2,U10=TRUE,0),_xlfn.IFS(Q10=TRUE,6,R10=TRUE,4,AND(S10=TRUE,T10=FALSE),3,T10=TRUE,2,U10=TRUE,0))</f>
        <v>0</v>
      </c>
      <c r="X10" s="3"/>
      <c r="Y10" s="3"/>
    </row>
    <row r="11" spans="1:25" ht="14.25" customHeight="1" x14ac:dyDescent="0.3">
      <c r="A11" s="3">
        <f>'Tabela de Jogos'!A11</f>
        <v>9</v>
      </c>
      <c r="B11" s="3" t="str">
        <f>'Tabela de Jogos'!B11</f>
        <v>Alemanha</v>
      </c>
      <c r="C11" s="3">
        <f>'Tabela de Jogos'!C11</f>
        <v>7</v>
      </c>
      <c r="D11" s="3" t="str">
        <f>'Tabela de Jogos'!D11</f>
        <v>x</v>
      </c>
      <c r="E11" s="3">
        <f>'Tabela de Jogos'!E11</f>
        <v>1</v>
      </c>
      <c r="F11" s="3" t="str">
        <f>'Tabela de Jogos'!F11</f>
        <v>Curaçao</v>
      </c>
      <c r="G11" s="3" t="str">
        <f>'Tabela de Jogos'!G11</f>
        <v>Alemanha</v>
      </c>
      <c r="H11" s="3"/>
      <c r="I11" s="3">
        <f t="shared" ref="I11:J11" si="16">A11</f>
        <v>9</v>
      </c>
      <c r="J11" s="3" t="str">
        <f t="shared" si="16"/>
        <v>Alemanha</v>
      </c>
      <c r="K11" s="3">
        <v>5</v>
      </c>
      <c r="L11" s="3" t="str">
        <f t="shared" si="1"/>
        <v>x</v>
      </c>
      <c r="M11" s="3">
        <v>0</v>
      </c>
      <c r="N11" s="3" t="str">
        <f t="shared" si="2"/>
        <v>Curaçao</v>
      </c>
      <c r="O11" s="3" t="str">
        <f t="shared" si="3"/>
        <v>Alemanha</v>
      </c>
      <c r="P11" s="3"/>
      <c r="Q11" s="3" t="b">
        <f t="shared" si="4"/>
        <v>0</v>
      </c>
      <c r="R11" s="3" t="b">
        <f t="shared" si="5"/>
        <v>0</v>
      </c>
      <c r="S11" s="3" t="b">
        <f t="shared" si="6"/>
        <v>0</v>
      </c>
      <c r="T11" s="3" t="b">
        <f t="shared" si="7"/>
        <v>1</v>
      </c>
      <c r="U11" s="3" t="b">
        <f t="shared" si="8"/>
        <v>0</v>
      </c>
      <c r="V11" s="3"/>
      <c r="W11" s="3" cm="1">
        <f t="array" ref="W11">IF(OR(J11="Brasil",N11="Brasil"),2*_xlfn.IFS(Q11=TRUE,6,R11=TRUE,4,AND(S11=TRUE,T11=FALSE),3,T11=TRUE,2,U11=TRUE,0),_xlfn.IFS(Q11=TRUE,6,R11=TRUE,4,AND(S11=TRUE,T11=FALSE),3,T11=TRUE,2,U11=TRUE,0))</f>
        <v>2</v>
      </c>
      <c r="X11" s="3"/>
      <c r="Y11" s="3"/>
    </row>
    <row r="12" spans="1:25" ht="14.25" customHeight="1" x14ac:dyDescent="0.3">
      <c r="A12" s="3">
        <f>'Tabela de Jogos'!A12</f>
        <v>10</v>
      </c>
      <c r="B12" s="3" t="str">
        <f>'Tabela de Jogos'!B12</f>
        <v>Holanda</v>
      </c>
      <c r="C12" s="3">
        <f>'Tabela de Jogos'!C12</f>
        <v>2</v>
      </c>
      <c r="D12" s="3" t="str">
        <f>'Tabela de Jogos'!D12</f>
        <v>x</v>
      </c>
      <c r="E12" s="3">
        <f>'Tabela de Jogos'!E12</f>
        <v>2</v>
      </c>
      <c r="F12" s="3" t="str">
        <f>'Tabela de Jogos'!F12</f>
        <v>Japão</v>
      </c>
      <c r="G12" s="3" t="str">
        <f>'Tabela de Jogos'!G12</f>
        <v>Empate</v>
      </c>
      <c r="H12" s="3"/>
      <c r="I12" s="3">
        <f t="shared" ref="I12:J12" si="17">A12</f>
        <v>10</v>
      </c>
      <c r="J12" s="3" t="str">
        <f t="shared" si="17"/>
        <v>Holanda</v>
      </c>
      <c r="K12" s="3">
        <v>1</v>
      </c>
      <c r="L12" s="3" t="str">
        <f t="shared" si="1"/>
        <v>x</v>
      </c>
      <c r="M12" s="3">
        <v>2</v>
      </c>
      <c r="N12" s="3" t="str">
        <f t="shared" si="2"/>
        <v>Japão</v>
      </c>
      <c r="O12" s="3" t="str">
        <f t="shared" si="3"/>
        <v>Japão</v>
      </c>
      <c r="P12" s="3"/>
      <c r="Q12" s="3" t="b">
        <f t="shared" si="4"/>
        <v>0</v>
      </c>
      <c r="R12" s="3" t="b">
        <f t="shared" si="5"/>
        <v>0</v>
      </c>
      <c r="S12" s="3" t="b">
        <f t="shared" si="6"/>
        <v>0</v>
      </c>
      <c r="T12" s="3" t="b">
        <f t="shared" si="7"/>
        <v>0</v>
      </c>
      <c r="U12" s="3" t="b">
        <f t="shared" si="8"/>
        <v>1</v>
      </c>
      <c r="V12" s="3"/>
      <c r="W12" s="3" cm="1">
        <f t="array" ref="W12">IF(OR(J12="Brasil",N12="Brasil"),2*_xlfn.IFS(Q12=TRUE,6,R12=TRUE,4,AND(S12=TRUE,T12=FALSE),3,T12=TRUE,2,U12=TRUE,0),_xlfn.IFS(Q12=TRUE,6,R12=TRUE,4,AND(S12=TRUE,T12=FALSE),3,T12=TRUE,2,U12=TRUE,0))</f>
        <v>0</v>
      </c>
      <c r="X12" s="3"/>
      <c r="Y12" s="3"/>
    </row>
    <row r="13" spans="1:25" ht="14.25" customHeight="1" x14ac:dyDescent="0.3">
      <c r="A13" s="3">
        <f>'Tabela de Jogos'!A13</f>
        <v>11</v>
      </c>
      <c r="B13" s="3" t="str">
        <f>'Tabela de Jogos'!B13</f>
        <v>Costa do Marfim</v>
      </c>
      <c r="C13" s="3">
        <f>'Tabela de Jogos'!C13</f>
        <v>1</v>
      </c>
      <c r="D13" s="3" t="str">
        <f>'Tabela de Jogos'!D13</f>
        <v>x</v>
      </c>
      <c r="E13" s="3">
        <f>'Tabela de Jogos'!E13</f>
        <v>0</v>
      </c>
      <c r="F13" s="3" t="str">
        <f>'Tabela de Jogos'!F13</f>
        <v>Equador</v>
      </c>
      <c r="G13" s="3" t="str">
        <f>'Tabela de Jogos'!G13</f>
        <v>Costa do Marfim</v>
      </c>
      <c r="H13" s="3"/>
      <c r="I13" s="3">
        <f t="shared" ref="I13:J13" si="18">A13</f>
        <v>11</v>
      </c>
      <c r="J13" s="3" t="str">
        <f t="shared" si="18"/>
        <v>Costa do Marfim</v>
      </c>
      <c r="K13" s="3">
        <v>1</v>
      </c>
      <c r="L13" s="3" t="str">
        <f t="shared" si="1"/>
        <v>x</v>
      </c>
      <c r="M13" s="3">
        <v>1</v>
      </c>
      <c r="N13" s="3" t="str">
        <f t="shared" si="2"/>
        <v>Equador</v>
      </c>
      <c r="O13" s="3" t="str">
        <f t="shared" si="3"/>
        <v>Empate</v>
      </c>
      <c r="P13" s="3"/>
      <c r="Q13" s="3" t="b">
        <f t="shared" si="4"/>
        <v>0</v>
      </c>
      <c r="R13" s="3" t="b">
        <f t="shared" si="5"/>
        <v>0</v>
      </c>
      <c r="S13" s="3" t="b">
        <f t="shared" si="6"/>
        <v>0</v>
      </c>
      <c r="T13" s="3" t="b">
        <f t="shared" si="7"/>
        <v>0</v>
      </c>
      <c r="U13" s="3" t="b">
        <f t="shared" si="8"/>
        <v>1</v>
      </c>
      <c r="V13" s="3"/>
      <c r="W13" s="3" cm="1">
        <f t="array" ref="W13">IF(OR(J13="Brasil",N13="Brasil"),2*_xlfn.IFS(Q13=TRUE,6,R13=TRUE,4,AND(S13=TRUE,T13=FALSE),3,T13=TRUE,2,U13=TRUE,0),_xlfn.IFS(Q13=TRUE,6,R13=TRUE,4,AND(S13=TRUE,T13=FALSE),3,T13=TRUE,2,U13=TRUE,0))</f>
        <v>0</v>
      </c>
      <c r="X13" s="3"/>
      <c r="Y13" s="3"/>
    </row>
    <row r="14" spans="1:25" ht="14.25" customHeight="1" x14ac:dyDescent="0.3">
      <c r="A14" s="3">
        <f>'Tabela de Jogos'!A14</f>
        <v>12</v>
      </c>
      <c r="B14" s="3" t="str">
        <f>'Tabela de Jogos'!B14</f>
        <v>Suécia</v>
      </c>
      <c r="C14" s="3">
        <f>'Tabela de Jogos'!C14</f>
        <v>5</v>
      </c>
      <c r="D14" s="3" t="str">
        <f>'Tabela de Jogos'!D14</f>
        <v>x</v>
      </c>
      <c r="E14" s="3">
        <f>'Tabela de Jogos'!E14</f>
        <v>1</v>
      </c>
      <c r="F14" s="3" t="str">
        <f>'Tabela de Jogos'!F14</f>
        <v>Tunísia</v>
      </c>
      <c r="G14" s="3" t="str">
        <f>'Tabela de Jogos'!G14</f>
        <v>Suécia</v>
      </c>
      <c r="H14" s="3"/>
      <c r="I14" s="3">
        <f t="shared" ref="I14:J14" si="19">A14</f>
        <v>12</v>
      </c>
      <c r="J14" s="3" t="str">
        <f t="shared" si="19"/>
        <v>Suécia</v>
      </c>
      <c r="K14" s="3">
        <v>1</v>
      </c>
      <c r="L14" s="3" t="str">
        <f t="shared" si="1"/>
        <v>x</v>
      </c>
      <c r="M14" s="3">
        <v>0</v>
      </c>
      <c r="N14" s="3" t="str">
        <f t="shared" si="2"/>
        <v>Tunísia</v>
      </c>
      <c r="O14" s="3" t="str">
        <f t="shared" si="3"/>
        <v>Suécia</v>
      </c>
      <c r="P14" s="3"/>
      <c r="Q14" s="3" t="b">
        <f t="shared" si="4"/>
        <v>0</v>
      </c>
      <c r="R14" s="3" t="b">
        <f t="shared" si="5"/>
        <v>0</v>
      </c>
      <c r="S14" s="3" t="b">
        <f t="shared" si="6"/>
        <v>0</v>
      </c>
      <c r="T14" s="3" t="b">
        <f t="shared" si="7"/>
        <v>1</v>
      </c>
      <c r="U14" s="3" t="b">
        <f t="shared" si="8"/>
        <v>0</v>
      </c>
      <c r="V14" s="3"/>
      <c r="W14" s="3" cm="1">
        <f t="array" ref="W14">IF(OR(J14="Brasil",N14="Brasil"),2*_xlfn.IFS(Q14=TRUE,6,R14=TRUE,4,AND(S14=TRUE,T14=FALSE),3,T14=TRUE,2,U14=TRUE,0),_xlfn.IFS(Q14=TRUE,6,R14=TRUE,4,AND(S14=TRUE,T14=FALSE),3,T14=TRUE,2,U14=TRUE,0))</f>
        <v>2</v>
      </c>
      <c r="X14" s="3"/>
      <c r="Y14" s="3"/>
    </row>
    <row r="15" spans="1:25" ht="14.25" customHeight="1" x14ac:dyDescent="0.3">
      <c r="A15" s="3">
        <f>'Tabela de Jogos'!A15</f>
        <v>13</v>
      </c>
      <c r="B15" s="3" t="str">
        <f>'Tabela de Jogos'!B15</f>
        <v>Espanha</v>
      </c>
      <c r="C15" s="3">
        <f>'Tabela de Jogos'!C15</f>
        <v>0</v>
      </c>
      <c r="D15" s="3" t="str">
        <f>'Tabela de Jogos'!D15</f>
        <v>x</v>
      </c>
      <c r="E15" s="3">
        <f>'Tabela de Jogos'!E15</f>
        <v>0</v>
      </c>
      <c r="F15" s="3" t="str">
        <f>'Tabela de Jogos'!F15</f>
        <v>Cabo Verde</v>
      </c>
      <c r="G15" s="3" t="str">
        <f>'Tabela de Jogos'!G15</f>
        <v>Empate</v>
      </c>
      <c r="H15" s="3"/>
      <c r="I15" s="3">
        <f t="shared" ref="I15:J15" si="20">A15</f>
        <v>13</v>
      </c>
      <c r="J15" s="3" t="str">
        <f t="shared" si="20"/>
        <v>Espanha</v>
      </c>
      <c r="K15" s="3">
        <v>6</v>
      </c>
      <c r="L15" s="3" t="str">
        <f t="shared" si="1"/>
        <v>x</v>
      </c>
      <c r="M15" s="3">
        <v>0</v>
      </c>
      <c r="N15" s="3" t="str">
        <f t="shared" si="2"/>
        <v>Cabo Verde</v>
      </c>
      <c r="O15" s="3" t="str">
        <f t="shared" si="3"/>
        <v>Espanha</v>
      </c>
      <c r="P15" s="3"/>
      <c r="Q15" s="3" t="b">
        <f t="shared" si="4"/>
        <v>0</v>
      </c>
      <c r="R15" s="3" t="b">
        <f t="shared" si="5"/>
        <v>0</v>
      </c>
      <c r="S15" s="3" t="b">
        <f t="shared" si="6"/>
        <v>0</v>
      </c>
      <c r="T15" s="3" t="b">
        <f t="shared" si="7"/>
        <v>0</v>
      </c>
      <c r="U15" s="3" t="b">
        <f t="shared" si="8"/>
        <v>1</v>
      </c>
      <c r="V15" s="3"/>
      <c r="W15" s="3" cm="1">
        <f t="array" ref="W15">IF(OR(J15="Brasil",N15="Brasil"),2*_xlfn.IFS(Q15=TRUE,6,R15=TRUE,4,AND(S15=TRUE,T15=FALSE),3,T15=TRUE,2,U15=TRUE,0),_xlfn.IFS(Q15=TRUE,6,R15=TRUE,4,AND(S15=TRUE,T15=FALSE),3,T15=TRUE,2,U15=TRUE,0))</f>
        <v>0</v>
      </c>
      <c r="X15" s="3"/>
      <c r="Y15" s="3"/>
    </row>
    <row r="16" spans="1:25" ht="14.25" customHeight="1" x14ac:dyDescent="0.3">
      <c r="A16" s="3">
        <f>'Tabela de Jogos'!A16</f>
        <v>14</v>
      </c>
      <c r="B16" s="3" t="str">
        <f>'Tabela de Jogos'!B16</f>
        <v>Bélgica</v>
      </c>
      <c r="C16" s="3">
        <f>'Tabela de Jogos'!C16</f>
        <v>1</v>
      </c>
      <c r="D16" s="3" t="str">
        <f>'Tabela de Jogos'!D16</f>
        <v>x</v>
      </c>
      <c r="E16" s="3">
        <f>'Tabela de Jogos'!E16</f>
        <v>1</v>
      </c>
      <c r="F16" s="3" t="str">
        <f>'Tabela de Jogos'!F16</f>
        <v>Egito</v>
      </c>
      <c r="G16" s="3" t="str">
        <f>'Tabela de Jogos'!G16</f>
        <v>Empate</v>
      </c>
      <c r="H16" s="3"/>
      <c r="I16" s="3">
        <f t="shared" ref="I16:J16" si="21">A16</f>
        <v>14</v>
      </c>
      <c r="J16" s="3" t="str">
        <f t="shared" si="21"/>
        <v>Bélgica</v>
      </c>
      <c r="K16" s="3">
        <v>2</v>
      </c>
      <c r="L16" s="3" t="str">
        <f t="shared" si="1"/>
        <v>x</v>
      </c>
      <c r="M16" s="3">
        <v>1</v>
      </c>
      <c r="N16" s="3" t="str">
        <f t="shared" si="2"/>
        <v>Egito</v>
      </c>
      <c r="O16" s="3" t="str">
        <f t="shared" si="3"/>
        <v>Bélgica</v>
      </c>
      <c r="P16" s="3"/>
      <c r="Q16" s="3" t="b">
        <f t="shared" si="4"/>
        <v>0</v>
      </c>
      <c r="R16" s="3" t="b">
        <f t="shared" si="5"/>
        <v>0</v>
      </c>
      <c r="S16" s="3" t="b">
        <f t="shared" si="6"/>
        <v>0</v>
      </c>
      <c r="T16" s="3" t="b">
        <f t="shared" si="7"/>
        <v>0</v>
      </c>
      <c r="U16" s="3" t="b">
        <f t="shared" si="8"/>
        <v>1</v>
      </c>
      <c r="V16" s="3"/>
      <c r="W16" s="3" cm="1">
        <f t="array" ref="W16">IF(OR(J16="Brasil",N16="Brasil"),2*_xlfn.IFS(Q16=TRUE,6,R16=TRUE,4,AND(S16=TRUE,T16=FALSE),3,T16=TRUE,2,U16=TRUE,0),_xlfn.IFS(Q16=TRUE,6,R16=TRUE,4,AND(S16=TRUE,T16=FALSE),3,T16=TRUE,2,U16=TRUE,0))</f>
        <v>0</v>
      </c>
      <c r="X16" s="3"/>
      <c r="Y16" s="3"/>
    </row>
    <row r="17" spans="1:25" ht="14.25" customHeight="1" x14ac:dyDescent="0.3">
      <c r="A17" s="3">
        <f>'Tabela de Jogos'!A17</f>
        <v>15</v>
      </c>
      <c r="B17" s="3" t="str">
        <f>'Tabela de Jogos'!B17</f>
        <v>Arábia Saudita</v>
      </c>
      <c r="C17" s="3">
        <f>'Tabela de Jogos'!C17</f>
        <v>1</v>
      </c>
      <c r="D17" s="3" t="str">
        <f>'Tabela de Jogos'!D17</f>
        <v>x</v>
      </c>
      <c r="E17" s="3">
        <f>'Tabela de Jogos'!E17</f>
        <v>1</v>
      </c>
      <c r="F17" s="3" t="str">
        <f>'Tabela de Jogos'!F17</f>
        <v>Uruguai</v>
      </c>
      <c r="G17" s="3" t="str">
        <f>'Tabela de Jogos'!G17</f>
        <v>Empate</v>
      </c>
      <c r="H17" s="3"/>
      <c r="I17" s="3">
        <f t="shared" ref="I17:J17" si="22">A17</f>
        <v>15</v>
      </c>
      <c r="J17" s="3" t="str">
        <f t="shared" si="22"/>
        <v>Arábia Saudita</v>
      </c>
      <c r="K17" s="3">
        <v>0</v>
      </c>
      <c r="L17" s="3" t="str">
        <f t="shared" si="1"/>
        <v>x</v>
      </c>
      <c r="M17" s="3">
        <v>2</v>
      </c>
      <c r="N17" s="3" t="str">
        <f t="shared" si="2"/>
        <v>Uruguai</v>
      </c>
      <c r="O17" s="3" t="str">
        <f t="shared" si="3"/>
        <v>Uruguai</v>
      </c>
      <c r="P17" s="3"/>
      <c r="Q17" s="3" t="b">
        <f t="shared" si="4"/>
        <v>0</v>
      </c>
      <c r="R17" s="3" t="b">
        <f t="shared" si="5"/>
        <v>0</v>
      </c>
      <c r="S17" s="3" t="b">
        <f t="shared" si="6"/>
        <v>0</v>
      </c>
      <c r="T17" s="3" t="b">
        <f t="shared" si="7"/>
        <v>0</v>
      </c>
      <c r="U17" s="3" t="b">
        <f t="shared" si="8"/>
        <v>1</v>
      </c>
      <c r="V17" s="3"/>
      <c r="W17" s="3" cm="1">
        <f t="array" ref="W17">IF(OR(J17="Brasil",N17="Brasil"),2*_xlfn.IFS(Q17=TRUE,6,R17=TRUE,4,AND(S17=TRUE,T17=FALSE),3,T17=TRUE,2,U17=TRUE,0),_xlfn.IFS(Q17=TRUE,6,R17=TRUE,4,AND(S17=TRUE,T17=FALSE),3,T17=TRUE,2,U17=TRUE,0))</f>
        <v>0</v>
      </c>
      <c r="X17" s="3"/>
      <c r="Y17" s="3"/>
    </row>
    <row r="18" spans="1:25" ht="14.25" customHeight="1" x14ac:dyDescent="0.3">
      <c r="A18" s="3">
        <f>'Tabela de Jogos'!A18</f>
        <v>16</v>
      </c>
      <c r="B18" s="3" t="str">
        <f>'Tabela de Jogos'!B18</f>
        <v>Irã</v>
      </c>
      <c r="C18" s="3">
        <f>'Tabela de Jogos'!C18</f>
        <v>2</v>
      </c>
      <c r="D18" s="3" t="str">
        <f>'Tabela de Jogos'!D18</f>
        <v>x</v>
      </c>
      <c r="E18" s="3">
        <f>'Tabela de Jogos'!E18</f>
        <v>2</v>
      </c>
      <c r="F18" s="3" t="str">
        <f>'Tabela de Jogos'!F18</f>
        <v>Nova Zelândia</v>
      </c>
      <c r="G18" s="3" t="str">
        <f>'Tabela de Jogos'!G18</f>
        <v>Empate</v>
      </c>
      <c r="H18" s="3"/>
      <c r="I18" s="3">
        <f t="shared" ref="I18:J18" si="23">A18</f>
        <v>16</v>
      </c>
      <c r="J18" s="3" t="str">
        <f t="shared" si="23"/>
        <v>Irã</v>
      </c>
      <c r="K18" s="3">
        <v>1</v>
      </c>
      <c r="L18" s="3" t="str">
        <f t="shared" si="1"/>
        <v>x</v>
      </c>
      <c r="M18" s="3">
        <v>0</v>
      </c>
      <c r="N18" s="3" t="str">
        <f t="shared" si="2"/>
        <v>Nova Zelândia</v>
      </c>
      <c r="O18" s="3" t="str">
        <f t="shared" si="3"/>
        <v>Irã</v>
      </c>
      <c r="P18" s="3"/>
      <c r="Q18" s="3" t="b">
        <f t="shared" si="4"/>
        <v>0</v>
      </c>
      <c r="R18" s="3" t="b">
        <f t="shared" si="5"/>
        <v>0</v>
      </c>
      <c r="S18" s="3" t="b">
        <f t="shared" si="6"/>
        <v>0</v>
      </c>
      <c r="T18" s="3" t="b">
        <f t="shared" si="7"/>
        <v>0</v>
      </c>
      <c r="U18" s="3" t="b">
        <f t="shared" si="8"/>
        <v>1</v>
      </c>
      <c r="V18" s="3"/>
      <c r="W18" s="3" cm="1">
        <f t="array" ref="W18">IF(OR(J18="Brasil",N18="Brasil"),2*_xlfn.IFS(Q18=TRUE,6,R18=TRUE,4,AND(S18=TRUE,T18=FALSE),3,T18=TRUE,2,U18=TRUE,0),_xlfn.IFS(Q18=TRUE,6,R18=TRUE,4,AND(S18=TRUE,T18=FALSE),3,T18=TRUE,2,U18=TRUE,0))</f>
        <v>0</v>
      </c>
      <c r="X18" s="3"/>
      <c r="Y18" s="3"/>
    </row>
    <row r="19" spans="1:25" ht="14.25" customHeight="1" x14ac:dyDescent="0.3">
      <c r="A19" s="3">
        <f>'Tabela de Jogos'!A19</f>
        <v>17</v>
      </c>
      <c r="B19" s="3" t="str">
        <f>'Tabela de Jogos'!B19</f>
        <v>França</v>
      </c>
      <c r="C19" s="3">
        <f>'Tabela de Jogos'!C19</f>
        <v>3</v>
      </c>
      <c r="D19" s="3" t="str">
        <f>'Tabela de Jogos'!D19</f>
        <v>x</v>
      </c>
      <c r="E19" s="3">
        <f>'Tabela de Jogos'!E19</f>
        <v>1</v>
      </c>
      <c r="F19" s="3" t="str">
        <f>'Tabela de Jogos'!F19</f>
        <v>Senegal</v>
      </c>
      <c r="G19" s="3" t="str">
        <f>'Tabela de Jogos'!G19</f>
        <v>França</v>
      </c>
      <c r="H19" s="3"/>
      <c r="I19" s="3">
        <f t="shared" ref="I19:J19" si="24">A19</f>
        <v>17</v>
      </c>
      <c r="J19" s="3" t="str">
        <f t="shared" si="24"/>
        <v>França</v>
      </c>
      <c r="K19" s="3">
        <v>3</v>
      </c>
      <c r="L19" s="3" t="str">
        <f t="shared" si="1"/>
        <v>x</v>
      </c>
      <c r="M19" s="3">
        <v>1</v>
      </c>
      <c r="N19" s="3" t="str">
        <f t="shared" si="2"/>
        <v>Senegal</v>
      </c>
      <c r="O19" s="3" t="str">
        <f t="shared" si="3"/>
        <v>França</v>
      </c>
      <c r="P19" s="3"/>
      <c r="Q19" s="3" t="b">
        <f t="shared" si="4"/>
        <v>1</v>
      </c>
      <c r="R19" s="3" t="b">
        <f t="shared" si="5"/>
        <v>0</v>
      </c>
      <c r="S19" s="3" t="b">
        <f t="shared" si="6"/>
        <v>0</v>
      </c>
      <c r="T19" s="3" t="b">
        <f t="shared" si="7"/>
        <v>0</v>
      </c>
      <c r="U19" s="3" t="b">
        <f t="shared" si="8"/>
        <v>0</v>
      </c>
      <c r="V19" s="3"/>
      <c r="W19" s="3" cm="1">
        <f t="array" ref="W19">IF(OR(J19="Brasil",N19="Brasil"),2*_xlfn.IFS(Q19=TRUE,6,R19=TRUE,4,AND(S19=TRUE,T19=FALSE),3,T19=TRUE,2,U19=TRUE,0),_xlfn.IFS(Q19=TRUE,6,R19=TRUE,4,AND(S19=TRUE,T19=FALSE),3,T19=TRUE,2,U19=TRUE,0))</f>
        <v>6</v>
      </c>
      <c r="X19" s="3"/>
      <c r="Y19" s="3"/>
    </row>
    <row r="20" spans="1:25" ht="14.25" customHeight="1" x14ac:dyDescent="0.3">
      <c r="A20" s="3">
        <f>'Tabela de Jogos'!A20</f>
        <v>18</v>
      </c>
      <c r="B20" s="3" t="str">
        <f>'Tabela de Jogos'!B20</f>
        <v>Iraque</v>
      </c>
      <c r="C20" s="3">
        <f>'Tabela de Jogos'!C20</f>
        <v>1</v>
      </c>
      <c r="D20" s="3" t="str">
        <f>'Tabela de Jogos'!D20</f>
        <v>x</v>
      </c>
      <c r="E20" s="3">
        <f>'Tabela de Jogos'!E20</f>
        <v>4</v>
      </c>
      <c r="F20" s="3" t="str">
        <f>'Tabela de Jogos'!F20</f>
        <v>Noruega</v>
      </c>
      <c r="G20" s="3" t="str">
        <f>'Tabela de Jogos'!G20</f>
        <v>Noruega</v>
      </c>
      <c r="H20" s="3"/>
      <c r="I20" s="3">
        <f t="shared" ref="I20:J20" si="25">A20</f>
        <v>18</v>
      </c>
      <c r="J20" s="3" t="str">
        <f t="shared" si="25"/>
        <v>Iraque</v>
      </c>
      <c r="K20" s="3">
        <v>0</v>
      </c>
      <c r="L20" s="3" t="str">
        <f t="shared" si="1"/>
        <v>x</v>
      </c>
      <c r="M20" s="3">
        <v>2</v>
      </c>
      <c r="N20" s="3" t="str">
        <f t="shared" si="2"/>
        <v>Noruega</v>
      </c>
      <c r="O20" s="3" t="str">
        <f t="shared" si="3"/>
        <v>Noruega</v>
      </c>
      <c r="P20" s="3"/>
      <c r="Q20" s="3" t="b">
        <f t="shared" si="4"/>
        <v>0</v>
      </c>
      <c r="R20" s="3" t="b">
        <f t="shared" si="5"/>
        <v>0</v>
      </c>
      <c r="S20" s="3" t="b">
        <f t="shared" si="6"/>
        <v>0</v>
      </c>
      <c r="T20" s="3" t="b">
        <f t="shared" si="7"/>
        <v>1</v>
      </c>
      <c r="U20" s="3" t="b">
        <f t="shared" si="8"/>
        <v>0</v>
      </c>
      <c r="V20" s="3"/>
      <c r="W20" s="3" cm="1">
        <f t="array" ref="W20">IF(OR(J20="Brasil",N20="Brasil"),2*_xlfn.IFS(Q20=TRUE,6,R20=TRUE,4,AND(S20=TRUE,T20=FALSE),3,T20=TRUE,2,U20=TRUE,0),_xlfn.IFS(Q20=TRUE,6,R20=TRUE,4,AND(S20=TRUE,T20=FALSE),3,T20=TRUE,2,U20=TRUE,0))</f>
        <v>2</v>
      </c>
      <c r="X20" s="3"/>
      <c r="Y20" s="3"/>
    </row>
    <row r="21" spans="1:25" ht="14.25" customHeight="1" x14ac:dyDescent="0.3">
      <c r="A21" s="3">
        <f>'Tabela de Jogos'!A21</f>
        <v>19</v>
      </c>
      <c r="B21" s="3" t="str">
        <f>'Tabela de Jogos'!B21</f>
        <v>Argentina</v>
      </c>
      <c r="C21" s="3">
        <f>'Tabela de Jogos'!C21</f>
        <v>3</v>
      </c>
      <c r="D21" s="3" t="str">
        <f>'Tabela de Jogos'!D21</f>
        <v>x</v>
      </c>
      <c r="E21" s="3">
        <f>'Tabela de Jogos'!E21</f>
        <v>0</v>
      </c>
      <c r="F21" s="3" t="str">
        <f>'Tabela de Jogos'!F21</f>
        <v>Argélia</v>
      </c>
      <c r="G21" s="3" t="str">
        <f>'Tabela de Jogos'!G21</f>
        <v>Argentina</v>
      </c>
      <c r="H21" s="3"/>
      <c r="I21" s="3">
        <f t="shared" ref="I21:J21" si="26">A21</f>
        <v>19</v>
      </c>
      <c r="J21" s="3" t="str">
        <f t="shared" si="26"/>
        <v>Argentina</v>
      </c>
      <c r="K21" s="3">
        <v>1</v>
      </c>
      <c r="L21" s="3" t="str">
        <f t="shared" si="1"/>
        <v>x</v>
      </c>
      <c r="M21" s="3">
        <v>0</v>
      </c>
      <c r="N21" s="3" t="str">
        <f t="shared" si="2"/>
        <v>Argélia</v>
      </c>
      <c r="O21" s="3" t="str">
        <f t="shared" si="3"/>
        <v>Argentina</v>
      </c>
      <c r="P21" s="3"/>
      <c r="Q21" s="3" t="b">
        <f t="shared" si="4"/>
        <v>0</v>
      </c>
      <c r="R21" s="3" t="b">
        <f t="shared" si="5"/>
        <v>0</v>
      </c>
      <c r="S21" s="3" t="b">
        <f t="shared" si="6"/>
        <v>0</v>
      </c>
      <c r="T21" s="3" t="b">
        <f t="shared" si="7"/>
        <v>1</v>
      </c>
      <c r="U21" s="3" t="b">
        <f t="shared" si="8"/>
        <v>0</v>
      </c>
      <c r="V21" s="3"/>
      <c r="W21" s="3" cm="1">
        <f t="array" ref="W21">IF(OR(J21="Brasil",N21="Brasil"),2*_xlfn.IFS(Q21=TRUE,6,R21=TRUE,4,AND(S21=TRUE,T21=FALSE),3,T21=TRUE,2,U21=TRUE,0),_xlfn.IFS(Q21=TRUE,6,R21=TRUE,4,AND(S21=TRUE,T21=FALSE),3,T21=TRUE,2,U21=TRUE,0))</f>
        <v>2</v>
      </c>
      <c r="X21" s="3"/>
      <c r="Y21" s="3"/>
    </row>
    <row r="22" spans="1:25" ht="14.25" customHeight="1" x14ac:dyDescent="0.3">
      <c r="A22" s="3">
        <f>'Tabela de Jogos'!A22</f>
        <v>20</v>
      </c>
      <c r="B22" s="3" t="str">
        <f>'Tabela de Jogos'!B22</f>
        <v>Áustria</v>
      </c>
      <c r="C22" s="3">
        <f>'Tabela de Jogos'!C22</f>
        <v>3</v>
      </c>
      <c r="D22" s="3" t="str">
        <f>'Tabela de Jogos'!D22</f>
        <v>x</v>
      </c>
      <c r="E22" s="3">
        <f>'Tabela de Jogos'!E22</f>
        <v>1</v>
      </c>
      <c r="F22" s="3" t="str">
        <f>'Tabela de Jogos'!F22</f>
        <v>Jordânia</v>
      </c>
      <c r="G22" s="3" t="str">
        <f>'Tabela de Jogos'!G22</f>
        <v>Áustria</v>
      </c>
      <c r="H22" s="3"/>
      <c r="I22" s="3">
        <f t="shared" ref="I22:J22" si="27">A22</f>
        <v>20</v>
      </c>
      <c r="J22" s="3" t="str">
        <f t="shared" si="27"/>
        <v>Áustria</v>
      </c>
      <c r="K22" s="3">
        <v>1</v>
      </c>
      <c r="L22" s="3" t="str">
        <f t="shared" si="1"/>
        <v>x</v>
      </c>
      <c r="M22" s="3">
        <v>1</v>
      </c>
      <c r="N22" s="3" t="str">
        <f t="shared" si="2"/>
        <v>Jordânia</v>
      </c>
      <c r="O22" s="3" t="str">
        <f t="shared" si="3"/>
        <v>Empate</v>
      </c>
      <c r="P22" s="3"/>
      <c r="Q22" s="3" t="b">
        <f t="shared" si="4"/>
        <v>0</v>
      </c>
      <c r="R22" s="3" t="b">
        <f t="shared" si="5"/>
        <v>0</v>
      </c>
      <c r="S22" s="3" t="b">
        <f t="shared" si="6"/>
        <v>0</v>
      </c>
      <c r="T22" s="3" t="b">
        <f t="shared" si="7"/>
        <v>0</v>
      </c>
      <c r="U22" s="3" t="b">
        <f t="shared" si="8"/>
        <v>1</v>
      </c>
      <c r="V22" s="3"/>
      <c r="W22" s="3" cm="1">
        <f t="array" ref="W22">IF(OR(J22="Brasil",N22="Brasil"),2*_xlfn.IFS(Q22=TRUE,6,R22=TRUE,4,AND(S22=TRUE,T22=FALSE),3,T22=TRUE,2,U22=TRUE,0),_xlfn.IFS(Q22=TRUE,6,R22=TRUE,4,AND(S22=TRUE,T22=FALSE),3,T22=TRUE,2,U22=TRUE,0))</f>
        <v>0</v>
      </c>
      <c r="X22" s="3"/>
      <c r="Y22" s="3"/>
    </row>
    <row r="23" spans="1:25" ht="14.25" customHeight="1" x14ac:dyDescent="0.3">
      <c r="A23" s="3">
        <f>'Tabela de Jogos'!A23</f>
        <v>21</v>
      </c>
      <c r="B23" s="3" t="str">
        <f>'Tabela de Jogos'!B23</f>
        <v>Portugal</v>
      </c>
      <c r="C23" s="3">
        <f>'Tabela de Jogos'!C23</f>
        <v>1</v>
      </c>
      <c r="D23" s="3" t="str">
        <f>'Tabela de Jogos'!D23</f>
        <v>x</v>
      </c>
      <c r="E23" s="3">
        <f>'Tabela de Jogos'!E23</f>
        <v>1</v>
      </c>
      <c r="F23" s="3" t="str">
        <f>'Tabela de Jogos'!F23</f>
        <v>RD Congo</v>
      </c>
      <c r="G23" s="3" t="str">
        <f>'Tabela de Jogos'!G23</f>
        <v>Empate</v>
      </c>
      <c r="H23" s="3"/>
      <c r="I23" s="3">
        <f t="shared" ref="I23:J23" si="28">A23</f>
        <v>21</v>
      </c>
      <c r="J23" s="3" t="str">
        <f t="shared" si="28"/>
        <v>Portugal</v>
      </c>
      <c r="K23" s="3">
        <v>4</v>
      </c>
      <c r="L23" s="3" t="str">
        <f t="shared" si="1"/>
        <v>x</v>
      </c>
      <c r="M23" s="3">
        <v>0</v>
      </c>
      <c r="N23" s="3" t="str">
        <f t="shared" si="2"/>
        <v>RD Congo</v>
      </c>
      <c r="O23" s="3" t="str">
        <f t="shared" si="3"/>
        <v>Portugal</v>
      </c>
      <c r="P23" s="3"/>
      <c r="Q23" s="3" t="b">
        <f t="shared" si="4"/>
        <v>0</v>
      </c>
      <c r="R23" s="3" t="b">
        <f t="shared" si="5"/>
        <v>0</v>
      </c>
      <c r="S23" s="3" t="b">
        <f t="shared" si="6"/>
        <v>0</v>
      </c>
      <c r="T23" s="3" t="b">
        <f t="shared" si="7"/>
        <v>0</v>
      </c>
      <c r="U23" s="3" t="b">
        <f t="shared" si="8"/>
        <v>1</v>
      </c>
      <c r="V23" s="3"/>
      <c r="W23" s="3" cm="1">
        <f t="array" ref="W23">IF(OR(J23="Brasil",N23="Brasil"),2*_xlfn.IFS(Q23=TRUE,6,R23=TRUE,4,AND(S23=TRUE,T23=FALSE),3,T23=TRUE,2,U23=TRUE,0),_xlfn.IFS(Q23=TRUE,6,R23=TRUE,4,AND(S23=TRUE,T23=FALSE),3,T23=TRUE,2,U23=TRUE,0))</f>
        <v>0</v>
      </c>
      <c r="X23" s="3"/>
      <c r="Y23" s="3"/>
    </row>
    <row r="24" spans="1:25" ht="14.25" customHeight="1" x14ac:dyDescent="0.3">
      <c r="A24" s="3">
        <f>'Tabela de Jogos'!A24</f>
        <v>22</v>
      </c>
      <c r="B24" s="3" t="str">
        <f>'Tabela de Jogos'!B24</f>
        <v>Inglaterra</v>
      </c>
      <c r="C24" s="3">
        <f>'Tabela de Jogos'!C24</f>
        <v>4</v>
      </c>
      <c r="D24" s="3" t="str">
        <f>'Tabela de Jogos'!D24</f>
        <v>x</v>
      </c>
      <c r="E24" s="3">
        <f>'Tabela de Jogos'!E24</f>
        <v>2</v>
      </c>
      <c r="F24" s="3" t="str">
        <f>'Tabela de Jogos'!F24</f>
        <v>Croácia</v>
      </c>
      <c r="G24" s="3" t="str">
        <f>'Tabela de Jogos'!G24</f>
        <v>Inglaterra</v>
      </c>
      <c r="H24" s="3"/>
      <c r="I24" s="3">
        <f t="shared" ref="I24:J24" si="29">A24</f>
        <v>22</v>
      </c>
      <c r="J24" s="3" t="str">
        <f t="shared" si="29"/>
        <v>Inglaterra</v>
      </c>
      <c r="K24" s="3">
        <v>2</v>
      </c>
      <c r="L24" s="3" t="str">
        <f t="shared" si="1"/>
        <v>x</v>
      </c>
      <c r="M24" s="3">
        <v>1</v>
      </c>
      <c r="N24" s="3" t="str">
        <f t="shared" si="2"/>
        <v>Croácia</v>
      </c>
      <c r="O24" s="3" t="str">
        <f t="shared" si="3"/>
        <v>Inglaterra</v>
      </c>
      <c r="P24" s="3"/>
      <c r="Q24" s="3" t="b">
        <f t="shared" si="4"/>
        <v>0</v>
      </c>
      <c r="R24" s="3" t="b">
        <f t="shared" si="5"/>
        <v>0</v>
      </c>
      <c r="S24" s="3" t="b">
        <f t="shared" si="6"/>
        <v>0</v>
      </c>
      <c r="T24" s="3" t="b">
        <f t="shared" si="7"/>
        <v>1</v>
      </c>
      <c r="U24" s="3" t="b">
        <f t="shared" si="8"/>
        <v>0</v>
      </c>
      <c r="V24" s="3"/>
      <c r="W24" s="3" cm="1">
        <f t="array" ref="W24">IF(OR(J24="Brasil",N24="Brasil"),2*_xlfn.IFS(Q24=TRUE,6,R24=TRUE,4,AND(S24=TRUE,T24=FALSE),3,T24=TRUE,2,U24=TRUE,0),_xlfn.IFS(Q24=TRUE,6,R24=TRUE,4,AND(S24=TRUE,T24=FALSE),3,T24=TRUE,2,U24=TRUE,0))</f>
        <v>2</v>
      </c>
      <c r="X24" s="3"/>
      <c r="Y24" s="3"/>
    </row>
    <row r="25" spans="1:25" ht="14.25" customHeight="1" x14ac:dyDescent="0.3">
      <c r="A25" s="3">
        <f>'Tabela de Jogos'!A25</f>
        <v>23</v>
      </c>
      <c r="B25" s="3" t="str">
        <f>'Tabela de Jogos'!B25</f>
        <v>Gana</v>
      </c>
      <c r="C25" s="3">
        <f>'Tabela de Jogos'!C25</f>
        <v>1</v>
      </c>
      <c r="D25" s="3" t="str">
        <f>'Tabela de Jogos'!D25</f>
        <v>x</v>
      </c>
      <c r="E25" s="3">
        <f>'Tabela de Jogos'!E25</f>
        <v>0</v>
      </c>
      <c r="F25" s="3" t="str">
        <f>'Tabela de Jogos'!F25</f>
        <v>Panamá</v>
      </c>
      <c r="G25" s="3" t="str">
        <f>'Tabela de Jogos'!G25</f>
        <v>Gana</v>
      </c>
      <c r="H25" s="3"/>
      <c r="I25" s="3">
        <f t="shared" ref="I25:J25" si="30">A25</f>
        <v>23</v>
      </c>
      <c r="J25" s="3" t="str">
        <f t="shared" si="30"/>
        <v>Gana</v>
      </c>
      <c r="K25" s="3">
        <v>3</v>
      </c>
      <c r="L25" s="3" t="str">
        <f t="shared" si="1"/>
        <v>x</v>
      </c>
      <c r="M25" s="3">
        <v>1</v>
      </c>
      <c r="N25" s="3" t="str">
        <f t="shared" si="2"/>
        <v>Panamá</v>
      </c>
      <c r="O25" s="3" t="str">
        <f t="shared" si="3"/>
        <v>Gana</v>
      </c>
      <c r="P25" s="3"/>
      <c r="Q25" s="3" t="b">
        <f t="shared" si="4"/>
        <v>0</v>
      </c>
      <c r="R25" s="3" t="b">
        <f t="shared" si="5"/>
        <v>0</v>
      </c>
      <c r="S25" s="3" t="b">
        <f t="shared" si="6"/>
        <v>0</v>
      </c>
      <c r="T25" s="3" t="b">
        <f t="shared" si="7"/>
        <v>1</v>
      </c>
      <c r="U25" s="3" t="b">
        <f t="shared" si="8"/>
        <v>0</v>
      </c>
      <c r="V25" s="3"/>
      <c r="W25" s="3" cm="1">
        <f t="array" ref="W25">IF(OR(J25="Brasil",N25="Brasil"),2*_xlfn.IFS(Q25=TRUE,6,R25=TRUE,4,AND(S25=TRUE,T25=FALSE),3,T25=TRUE,2,U25=TRUE,0),_xlfn.IFS(Q25=TRUE,6,R25=TRUE,4,AND(S25=TRUE,T25=FALSE),3,T25=TRUE,2,U25=TRUE,0))</f>
        <v>2</v>
      </c>
      <c r="X25" s="3"/>
      <c r="Y25" s="3"/>
    </row>
    <row r="26" spans="1:25" ht="14.25" customHeight="1" x14ac:dyDescent="0.3">
      <c r="A26" s="3">
        <f>'Tabela de Jogos'!A26</f>
        <v>24</v>
      </c>
      <c r="B26" s="3" t="str">
        <f>'Tabela de Jogos'!B26</f>
        <v>Uzbequistão</v>
      </c>
      <c r="C26" s="3">
        <f>'Tabela de Jogos'!C26</f>
        <v>1</v>
      </c>
      <c r="D26" s="3" t="str">
        <f>'Tabela de Jogos'!D26</f>
        <v>x</v>
      </c>
      <c r="E26" s="3">
        <f>'Tabela de Jogos'!E26</f>
        <v>3</v>
      </c>
      <c r="F26" s="3" t="str">
        <f>'Tabela de Jogos'!F26</f>
        <v>Colômbia</v>
      </c>
      <c r="G26" s="3" t="str">
        <f>'Tabela de Jogos'!G26</f>
        <v>Colômbia</v>
      </c>
      <c r="H26" s="3"/>
      <c r="I26" s="3">
        <f t="shared" ref="I26:J26" si="31">A26</f>
        <v>24</v>
      </c>
      <c r="J26" s="3" t="str">
        <f t="shared" si="31"/>
        <v>Uzbequistão</v>
      </c>
      <c r="K26" s="3">
        <v>0</v>
      </c>
      <c r="L26" s="3" t="str">
        <f t="shared" si="1"/>
        <v>x</v>
      </c>
      <c r="M26" s="3">
        <v>2</v>
      </c>
      <c r="N26" s="3" t="str">
        <f t="shared" si="2"/>
        <v>Colômbia</v>
      </c>
      <c r="O26" s="3" t="str">
        <f t="shared" si="3"/>
        <v>Colômbia</v>
      </c>
      <c r="P26" s="3"/>
      <c r="Q26" s="3" t="b">
        <f t="shared" si="4"/>
        <v>0</v>
      </c>
      <c r="R26" s="3" t="b">
        <f t="shared" si="5"/>
        <v>0</v>
      </c>
      <c r="S26" s="3" t="b">
        <f t="shared" si="6"/>
        <v>1</v>
      </c>
      <c r="T26" s="3" t="b">
        <f t="shared" si="7"/>
        <v>0</v>
      </c>
      <c r="U26" s="3" t="b">
        <f t="shared" si="8"/>
        <v>0</v>
      </c>
      <c r="V26" s="3"/>
      <c r="W26" s="3" cm="1">
        <f t="array" ref="W26">IF(OR(J26="Brasil",N26="Brasil"),2*_xlfn.IFS(Q26=TRUE,6,R26=TRUE,4,AND(S26=TRUE,T26=FALSE),3,T26=TRUE,2,U26=TRUE,0),_xlfn.IFS(Q26=TRUE,6,R26=TRUE,4,AND(S26=TRUE,T26=FALSE),3,T26=TRUE,2,U26=TRUE,0))</f>
        <v>3</v>
      </c>
      <c r="X26" s="3"/>
      <c r="Y26" s="3"/>
    </row>
    <row r="27" spans="1:25" ht="14.25" customHeight="1" x14ac:dyDescent="0.3">
      <c r="A27" s="3">
        <f>'Tabela de Jogos'!A27</f>
        <v>25</v>
      </c>
      <c r="B27" s="3" t="str">
        <f>'Tabela de Jogos'!B27</f>
        <v>Tchéquia</v>
      </c>
      <c r="C27" s="3">
        <f>'Tabela de Jogos'!C27</f>
        <v>1</v>
      </c>
      <c r="D27" s="3" t="str">
        <f>'Tabela de Jogos'!D27</f>
        <v>x</v>
      </c>
      <c r="E27" s="3">
        <f>'Tabela de Jogos'!E27</f>
        <v>1</v>
      </c>
      <c r="F27" s="3" t="str">
        <f>'Tabela de Jogos'!F27</f>
        <v>África do Sul</v>
      </c>
      <c r="G27" s="3" t="str">
        <f>'Tabela de Jogos'!G27</f>
        <v>Empate</v>
      </c>
      <c r="H27" s="3"/>
      <c r="I27" s="3">
        <f t="shared" ref="I27:J27" si="32">A27</f>
        <v>25</v>
      </c>
      <c r="J27" s="3" t="str">
        <f t="shared" si="32"/>
        <v>Tchéquia</v>
      </c>
      <c r="K27" s="3">
        <v>2</v>
      </c>
      <c r="L27" s="3" t="str">
        <f t="shared" si="1"/>
        <v>x</v>
      </c>
      <c r="M27" s="3">
        <v>1</v>
      </c>
      <c r="N27" s="3" t="str">
        <f t="shared" si="2"/>
        <v>África do Sul</v>
      </c>
      <c r="O27" s="3" t="str">
        <f t="shared" si="3"/>
        <v>Tchéquia</v>
      </c>
      <c r="P27" s="3"/>
      <c r="Q27" s="3" t="b">
        <f t="shared" si="4"/>
        <v>0</v>
      </c>
      <c r="R27" s="3" t="b">
        <f t="shared" si="5"/>
        <v>0</v>
      </c>
      <c r="S27" s="3" t="b">
        <f t="shared" si="6"/>
        <v>0</v>
      </c>
      <c r="T27" s="3" t="b">
        <f t="shared" si="7"/>
        <v>0</v>
      </c>
      <c r="U27" s="3" t="b">
        <f t="shared" si="8"/>
        <v>1</v>
      </c>
      <c r="V27" s="3"/>
      <c r="W27" s="3" cm="1">
        <f t="array" ref="W27">IF(OR(J27="Brasil",N27="Brasil"),2*_xlfn.IFS(Q27=TRUE,6,R27=TRUE,4,AND(S27=TRUE,T27=FALSE),3,T27=TRUE,2,U27=TRUE,0),_xlfn.IFS(Q27=TRUE,6,R27=TRUE,4,AND(S27=TRUE,T27=FALSE),3,T27=TRUE,2,U27=TRUE,0))</f>
        <v>0</v>
      </c>
      <c r="X27" s="3"/>
      <c r="Y27" s="3"/>
    </row>
    <row r="28" spans="1:25" ht="14.25" customHeight="1" x14ac:dyDescent="0.3">
      <c r="A28" s="3">
        <f>'Tabela de Jogos'!A28</f>
        <v>26</v>
      </c>
      <c r="B28" s="3" t="str">
        <f>'Tabela de Jogos'!B28</f>
        <v>Suíça</v>
      </c>
      <c r="C28" s="3">
        <f>'Tabela de Jogos'!C28</f>
        <v>4</v>
      </c>
      <c r="D28" s="3" t="str">
        <f>'Tabela de Jogos'!D28</f>
        <v>x</v>
      </c>
      <c r="E28" s="3">
        <f>'Tabela de Jogos'!E28</f>
        <v>1</v>
      </c>
      <c r="F28" s="3" t="str">
        <f>'Tabela de Jogos'!F28</f>
        <v>Bósnia</v>
      </c>
      <c r="G28" s="3" t="str">
        <f>'Tabela de Jogos'!G28</f>
        <v>Suíça</v>
      </c>
      <c r="H28" s="3"/>
      <c r="I28" s="3">
        <f t="shared" ref="I28:J28" si="33">A28</f>
        <v>26</v>
      </c>
      <c r="J28" s="3" t="str">
        <f t="shared" si="33"/>
        <v>Suíça</v>
      </c>
      <c r="K28" s="3">
        <v>1</v>
      </c>
      <c r="L28" s="3" t="str">
        <f t="shared" si="1"/>
        <v>x</v>
      </c>
      <c r="M28" s="3">
        <v>1</v>
      </c>
      <c r="N28" s="3" t="str">
        <f t="shared" si="2"/>
        <v>Bósnia</v>
      </c>
      <c r="O28" s="3" t="str">
        <f t="shared" si="3"/>
        <v>Empate</v>
      </c>
      <c r="P28" s="3"/>
      <c r="Q28" s="3" t="b">
        <f t="shared" si="4"/>
        <v>0</v>
      </c>
      <c r="R28" s="3" t="b">
        <f t="shared" si="5"/>
        <v>0</v>
      </c>
      <c r="S28" s="3" t="b">
        <f t="shared" si="6"/>
        <v>0</v>
      </c>
      <c r="T28" s="3" t="b">
        <f t="shared" si="7"/>
        <v>0</v>
      </c>
      <c r="U28" s="3" t="b">
        <f t="shared" si="8"/>
        <v>1</v>
      </c>
      <c r="V28" s="3"/>
      <c r="W28" s="3" cm="1">
        <f t="array" ref="W28">IF(OR(J28="Brasil",N28="Brasil"),2*_xlfn.IFS(Q28=TRUE,6,R28=TRUE,4,AND(S28=TRUE,T28=FALSE),3,T28=TRUE,2,U28=TRUE,0),_xlfn.IFS(Q28=TRUE,6,R28=TRUE,4,AND(S28=TRUE,T28=FALSE),3,T28=TRUE,2,U28=TRUE,0))</f>
        <v>0</v>
      </c>
      <c r="X28" s="3"/>
      <c r="Y28" s="3"/>
    </row>
    <row r="29" spans="1:25" ht="14.25" customHeight="1" x14ac:dyDescent="0.3">
      <c r="A29" s="3">
        <f>'Tabela de Jogos'!A29</f>
        <v>27</v>
      </c>
      <c r="B29" s="3" t="str">
        <f>'Tabela de Jogos'!B29</f>
        <v>Canadá</v>
      </c>
      <c r="C29" s="3">
        <f>'Tabela de Jogos'!C29</f>
        <v>6</v>
      </c>
      <c r="D29" s="3" t="str">
        <f>'Tabela de Jogos'!D29</f>
        <v>x</v>
      </c>
      <c r="E29" s="3">
        <f>'Tabela de Jogos'!E29</f>
        <v>0</v>
      </c>
      <c r="F29" s="3" t="str">
        <f>'Tabela de Jogos'!F29</f>
        <v>Catar</v>
      </c>
      <c r="G29" s="3" t="str">
        <f>'Tabela de Jogos'!G29</f>
        <v>Canadá</v>
      </c>
      <c r="H29" s="3"/>
      <c r="I29" s="3">
        <f t="shared" ref="I29:J29" si="34">A29</f>
        <v>27</v>
      </c>
      <c r="J29" s="3" t="str">
        <f t="shared" si="34"/>
        <v>Canadá</v>
      </c>
      <c r="K29" s="3">
        <v>2</v>
      </c>
      <c r="L29" s="3" t="str">
        <f t="shared" si="1"/>
        <v>x</v>
      </c>
      <c r="M29" s="3">
        <v>1</v>
      </c>
      <c r="N29" s="3" t="str">
        <f t="shared" si="2"/>
        <v>Catar</v>
      </c>
      <c r="O29" s="3" t="str">
        <f t="shared" si="3"/>
        <v>Canadá</v>
      </c>
      <c r="P29" s="3"/>
      <c r="Q29" s="3" t="b">
        <f t="shared" si="4"/>
        <v>0</v>
      </c>
      <c r="R29" s="3" t="b">
        <f t="shared" si="5"/>
        <v>0</v>
      </c>
      <c r="S29" s="3" t="b">
        <f t="shared" si="6"/>
        <v>0</v>
      </c>
      <c r="T29" s="3" t="b">
        <f t="shared" si="7"/>
        <v>1</v>
      </c>
      <c r="U29" s="3" t="b">
        <f t="shared" si="8"/>
        <v>0</v>
      </c>
      <c r="V29" s="3"/>
      <c r="W29" s="3" cm="1">
        <f t="array" ref="W29">IF(OR(J29="Brasil",N29="Brasil"),2*_xlfn.IFS(Q29=TRUE,6,R29=TRUE,4,AND(S29=TRUE,T29=FALSE),3,T29=TRUE,2,U29=TRUE,0),_xlfn.IFS(Q29=TRUE,6,R29=TRUE,4,AND(S29=TRUE,T29=FALSE),3,T29=TRUE,2,U29=TRUE,0))</f>
        <v>2</v>
      </c>
      <c r="X29" s="3"/>
      <c r="Y29" s="3"/>
    </row>
    <row r="30" spans="1:25" ht="14.25" customHeight="1" x14ac:dyDescent="0.3">
      <c r="A30" s="3">
        <f>'Tabela de Jogos'!A30</f>
        <v>28</v>
      </c>
      <c r="B30" s="3" t="str">
        <f>'Tabela de Jogos'!B30</f>
        <v>México</v>
      </c>
      <c r="C30" s="3">
        <f>'Tabela de Jogos'!C30</f>
        <v>1</v>
      </c>
      <c r="D30" s="3" t="str">
        <f>'Tabela de Jogos'!D30</f>
        <v>x</v>
      </c>
      <c r="E30" s="3">
        <f>'Tabela de Jogos'!E30</f>
        <v>0</v>
      </c>
      <c r="F30" s="3" t="str">
        <f>'Tabela de Jogos'!F30</f>
        <v>Coreia do Sul</v>
      </c>
      <c r="G30" s="3" t="str">
        <f>'Tabela de Jogos'!G30</f>
        <v>México</v>
      </c>
      <c r="H30" s="3"/>
      <c r="I30" s="3">
        <f t="shared" ref="I30:J30" si="35">A30</f>
        <v>28</v>
      </c>
      <c r="J30" s="3" t="str">
        <f t="shared" si="35"/>
        <v>México</v>
      </c>
      <c r="K30" s="3">
        <v>2</v>
      </c>
      <c r="L30" s="3" t="str">
        <f t="shared" si="1"/>
        <v>x</v>
      </c>
      <c r="M30" s="3">
        <v>0</v>
      </c>
      <c r="N30" s="3" t="str">
        <f t="shared" si="2"/>
        <v>Coreia do Sul</v>
      </c>
      <c r="O30" s="3" t="str">
        <f t="shared" si="3"/>
        <v>México</v>
      </c>
      <c r="P30" s="3"/>
      <c r="Q30" s="3" t="b">
        <f t="shared" si="4"/>
        <v>0</v>
      </c>
      <c r="R30" s="3" t="b">
        <f t="shared" si="5"/>
        <v>0</v>
      </c>
      <c r="S30" s="3" t="b">
        <f t="shared" si="6"/>
        <v>0</v>
      </c>
      <c r="T30" s="3" t="b">
        <f t="shared" si="7"/>
        <v>1</v>
      </c>
      <c r="U30" s="3" t="b">
        <f t="shared" si="8"/>
        <v>0</v>
      </c>
      <c r="V30" s="3"/>
      <c r="W30" s="3" cm="1">
        <f t="array" ref="W30">IF(OR(J30="Brasil",N30="Brasil"),2*_xlfn.IFS(Q30=TRUE,6,R30=TRUE,4,AND(S30=TRUE,T30=FALSE),3,T30=TRUE,2,U30=TRUE,0),_xlfn.IFS(Q30=TRUE,6,R30=TRUE,4,AND(S30=TRUE,T30=FALSE),3,T30=TRUE,2,U30=TRUE,0))</f>
        <v>2</v>
      </c>
      <c r="X30" s="3"/>
      <c r="Y30" s="3"/>
    </row>
    <row r="31" spans="1:25" ht="14.25" customHeight="1" x14ac:dyDescent="0.3">
      <c r="A31" s="3">
        <f>'Tabela de Jogos'!A31</f>
        <v>29</v>
      </c>
      <c r="B31" s="3" t="str">
        <f>'Tabela de Jogos'!B31</f>
        <v>EUA</v>
      </c>
      <c r="C31" s="3">
        <f>'Tabela de Jogos'!C31</f>
        <v>2</v>
      </c>
      <c r="D31" s="3" t="str">
        <f>'Tabela de Jogos'!D31</f>
        <v>x</v>
      </c>
      <c r="E31" s="3">
        <f>'Tabela de Jogos'!E31</f>
        <v>0</v>
      </c>
      <c r="F31" s="3" t="str">
        <f>'Tabela de Jogos'!F31</f>
        <v>Austrália</v>
      </c>
      <c r="G31" s="3" t="str">
        <f>'Tabela de Jogos'!G31</f>
        <v>EUA</v>
      </c>
      <c r="H31" s="3"/>
      <c r="I31" s="3">
        <f t="shared" ref="I31:J31" si="36">A31</f>
        <v>29</v>
      </c>
      <c r="J31" s="3" t="str">
        <f t="shared" si="36"/>
        <v>EUA</v>
      </c>
      <c r="K31" s="3">
        <v>3</v>
      </c>
      <c r="L31" s="3" t="str">
        <f t="shared" si="1"/>
        <v>x</v>
      </c>
      <c r="M31" s="3">
        <v>1</v>
      </c>
      <c r="N31" s="3" t="str">
        <f t="shared" si="2"/>
        <v>Austrália</v>
      </c>
      <c r="O31" s="3" t="str">
        <f t="shared" si="3"/>
        <v>EUA</v>
      </c>
      <c r="P31" s="3"/>
      <c r="Q31" s="3" t="b">
        <f t="shared" si="4"/>
        <v>0</v>
      </c>
      <c r="R31" s="3" t="b">
        <f t="shared" si="5"/>
        <v>0</v>
      </c>
      <c r="S31" s="3" t="b">
        <f t="shared" si="6"/>
        <v>1</v>
      </c>
      <c r="T31" s="3" t="b">
        <f t="shared" si="7"/>
        <v>0</v>
      </c>
      <c r="U31" s="3" t="b">
        <f t="shared" si="8"/>
        <v>0</v>
      </c>
      <c r="V31" s="3"/>
      <c r="W31" s="3" cm="1">
        <f t="array" ref="W31">IF(OR(J31="Brasil",N31="Brasil"),2*_xlfn.IFS(Q31=TRUE,6,R31=TRUE,4,AND(S31=TRUE,T31=FALSE),3,T31=TRUE,2,U31=TRUE,0),_xlfn.IFS(Q31=TRUE,6,R31=TRUE,4,AND(S31=TRUE,T31=FALSE),3,T31=TRUE,2,U31=TRUE,0))</f>
        <v>3</v>
      </c>
      <c r="X31" s="3"/>
      <c r="Y31" s="3"/>
    </row>
    <row r="32" spans="1:25" ht="14.25" customHeight="1" x14ac:dyDescent="0.3">
      <c r="A32" s="3">
        <f>'Tabela de Jogos'!A32</f>
        <v>30</v>
      </c>
      <c r="B32" s="3" t="str">
        <f>'Tabela de Jogos'!B32</f>
        <v>Escócia</v>
      </c>
      <c r="C32" s="3">
        <f>'Tabela de Jogos'!C32</f>
        <v>0</v>
      </c>
      <c r="D32" s="3" t="str">
        <f>'Tabela de Jogos'!D32</f>
        <v>x</v>
      </c>
      <c r="E32" s="3">
        <f>'Tabela de Jogos'!E32</f>
        <v>1</v>
      </c>
      <c r="F32" s="3" t="str">
        <f>'Tabela de Jogos'!F32</f>
        <v>Marrocos</v>
      </c>
      <c r="G32" s="3" t="str">
        <f>'Tabela de Jogos'!G32</f>
        <v>Marrocos</v>
      </c>
      <c r="H32" s="3"/>
      <c r="I32" s="3">
        <f t="shared" ref="I32:J32" si="37">A32</f>
        <v>30</v>
      </c>
      <c r="J32" s="3" t="str">
        <f t="shared" si="37"/>
        <v>Escócia</v>
      </c>
      <c r="K32" s="3">
        <v>0</v>
      </c>
      <c r="L32" s="3" t="str">
        <f t="shared" si="1"/>
        <v>x</v>
      </c>
      <c r="M32" s="3">
        <v>3</v>
      </c>
      <c r="N32" s="3" t="str">
        <f t="shared" si="2"/>
        <v>Marrocos</v>
      </c>
      <c r="O32" s="3" t="str">
        <f t="shared" si="3"/>
        <v>Marrocos</v>
      </c>
      <c r="P32" s="3"/>
      <c r="Q32" s="3" t="b">
        <f t="shared" si="4"/>
        <v>0</v>
      </c>
      <c r="R32" s="3" t="b">
        <f t="shared" si="5"/>
        <v>0</v>
      </c>
      <c r="S32" s="3" t="b">
        <f t="shared" si="6"/>
        <v>0</v>
      </c>
      <c r="T32" s="3" t="b">
        <f t="shared" si="7"/>
        <v>1</v>
      </c>
      <c r="U32" s="3" t="b">
        <f t="shared" si="8"/>
        <v>0</v>
      </c>
      <c r="V32" s="3"/>
      <c r="W32" s="3" cm="1">
        <f t="array" ref="W32">IF(OR(J32="Brasil",N32="Brasil"),2*_xlfn.IFS(Q32=TRUE,6,R32=TRUE,4,AND(S32=TRUE,T32=FALSE),3,T32=TRUE,2,U32=TRUE,0),_xlfn.IFS(Q32=TRUE,6,R32=TRUE,4,AND(S32=TRUE,T32=FALSE),3,T32=TRUE,2,U32=TRUE,0))</f>
        <v>2</v>
      </c>
      <c r="X32" s="3"/>
      <c r="Y32" s="3"/>
    </row>
    <row r="33" spans="1:25" ht="14.25" customHeight="1" x14ac:dyDescent="0.3">
      <c r="A33" s="3">
        <f>'Tabela de Jogos'!A33</f>
        <v>31</v>
      </c>
      <c r="B33" s="3" t="str">
        <f>'Tabela de Jogos'!B33</f>
        <v>Brasil</v>
      </c>
      <c r="C33" s="3">
        <f>'Tabela de Jogos'!C33</f>
        <v>3</v>
      </c>
      <c r="D33" s="3" t="str">
        <f>'Tabela de Jogos'!D33</f>
        <v>x</v>
      </c>
      <c r="E33" s="3">
        <f>'Tabela de Jogos'!E33</f>
        <v>0</v>
      </c>
      <c r="F33" s="3" t="str">
        <f>'Tabela de Jogos'!F33</f>
        <v>Haiti</v>
      </c>
      <c r="G33" s="3" t="str">
        <f>'Tabela de Jogos'!G33</f>
        <v>Brasil</v>
      </c>
      <c r="H33" s="3"/>
      <c r="I33" s="3">
        <f t="shared" ref="I33:J33" si="38">A33</f>
        <v>31</v>
      </c>
      <c r="J33" s="3" t="str">
        <f t="shared" si="38"/>
        <v>Brasil</v>
      </c>
      <c r="K33" s="3">
        <v>4</v>
      </c>
      <c r="L33" s="3" t="str">
        <f t="shared" si="1"/>
        <v>x</v>
      </c>
      <c r="M33" s="3">
        <v>1</v>
      </c>
      <c r="N33" s="3" t="str">
        <f t="shared" si="2"/>
        <v>Haiti</v>
      </c>
      <c r="O33" s="3" t="str">
        <f t="shared" si="3"/>
        <v>Brasil</v>
      </c>
      <c r="P33" s="3"/>
      <c r="Q33" s="3" t="b">
        <f t="shared" si="4"/>
        <v>0</v>
      </c>
      <c r="R33" s="3" t="b">
        <f t="shared" si="5"/>
        <v>0</v>
      </c>
      <c r="S33" s="3" t="b">
        <f t="shared" si="6"/>
        <v>1</v>
      </c>
      <c r="T33" s="3" t="b">
        <f t="shared" si="7"/>
        <v>0</v>
      </c>
      <c r="U33" s="3" t="b">
        <f t="shared" si="8"/>
        <v>0</v>
      </c>
      <c r="V33" s="3"/>
      <c r="W33" s="3" cm="1">
        <f t="array" ref="W33">IF(OR(J33="Brasil",N33="Brasil"),2*_xlfn.IFS(Q33=TRUE,6,R33=TRUE,4,AND(S33=TRUE,T33=FALSE),3,T33=TRUE,2,U33=TRUE,0),_xlfn.IFS(Q33=TRUE,6,R33=TRUE,4,AND(S33=TRUE,T33=FALSE),3,T33=TRUE,2,U33=TRUE,0))</f>
        <v>6</v>
      </c>
      <c r="X33" s="3"/>
      <c r="Y33" s="3"/>
    </row>
    <row r="34" spans="1:25" ht="14.25" customHeight="1" x14ac:dyDescent="0.3">
      <c r="A34" s="3">
        <f>'Tabela de Jogos'!A34</f>
        <v>32</v>
      </c>
      <c r="B34" s="3" t="str">
        <f>'Tabela de Jogos'!B34</f>
        <v>Turquia</v>
      </c>
      <c r="C34" s="3">
        <f>'Tabela de Jogos'!C34</f>
        <v>0</v>
      </c>
      <c r="D34" s="3" t="str">
        <f>'Tabela de Jogos'!D34</f>
        <v>x</v>
      </c>
      <c r="E34" s="3">
        <f>'Tabela de Jogos'!E34</f>
        <v>1</v>
      </c>
      <c r="F34" s="3" t="str">
        <f>'Tabela de Jogos'!F34</f>
        <v>Paraguai</v>
      </c>
      <c r="G34" s="3" t="str">
        <f>'Tabela de Jogos'!G34</f>
        <v>Paraguai</v>
      </c>
      <c r="H34" s="3"/>
      <c r="I34" s="3">
        <f t="shared" ref="I34:J34" si="39">A34</f>
        <v>32</v>
      </c>
      <c r="J34" s="3" t="str">
        <f t="shared" si="39"/>
        <v>Turquia</v>
      </c>
      <c r="K34" s="3">
        <v>2</v>
      </c>
      <c r="L34" s="3" t="str">
        <f t="shared" si="1"/>
        <v>x</v>
      </c>
      <c r="M34" s="3">
        <v>1</v>
      </c>
      <c r="N34" s="3" t="str">
        <f t="shared" si="2"/>
        <v>Paraguai</v>
      </c>
      <c r="O34" s="3" t="str">
        <f t="shared" si="3"/>
        <v>Turquia</v>
      </c>
      <c r="P34" s="3"/>
      <c r="Q34" s="3" t="b">
        <f t="shared" si="4"/>
        <v>0</v>
      </c>
      <c r="R34" s="3" t="b">
        <f t="shared" si="5"/>
        <v>0</v>
      </c>
      <c r="S34" s="3" t="b">
        <f t="shared" si="6"/>
        <v>0</v>
      </c>
      <c r="T34" s="3" t="b">
        <f t="shared" si="7"/>
        <v>0</v>
      </c>
      <c r="U34" s="3" t="b">
        <f t="shared" si="8"/>
        <v>1</v>
      </c>
      <c r="V34" s="3"/>
      <c r="W34" s="3" cm="1">
        <f t="array" ref="W34">IF(OR(J34="Brasil",N34="Brasil"),2*_xlfn.IFS(Q34=TRUE,6,R34=TRUE,4,AND(S34=TRUE,T34=FALSE),3,T34=TRUE,2,U34=TRUE,0),_xlfn.IFS(Q34=TRUE,6,R34=TRUE,4,AND(S34=TRUE,T34=FALSE),3,T34=TRUE,2,U34=TRUE,0))</f>
        <v>0</v>
      </c>
      <c r="X34" s="3"/>
      <c r="Y34" s="3"/>
    </row>
    <row r="35" spans="1:25" ht="14.25" customHeight="1" x14ac:dyDescent="0.3">
      <c r="A35" s="3">
        <f>'Tabela de Jogos'!A35</f>
        <v>33</v>
      </c>
      <c r="B35" s="3" t="str">
        <f>'Tabela de Jogos'!B35</f>
        <v>Holanda</v>
      </c>
      <c r="C35" s="3">
        <f>'Tabela de Jogos'!C35</f>
        <v>5</v>
      </c>
      <c r="D35" s="3" t="str">
        <f>'Tabela de Jogos'!D35</f>
        <v>x</v>
      </c>
      <c r="E35" s="3">
        <f>'Tabela de Jogos'!E35</f>
        <v>1</v>
      </c>
      <c r="F35" s="3" t="str">
        <f>'Tabela de Jogos'!F35</f>
        <v>Suécia</v>
      </c>
      <c r="G35" s="3" t="str">
        <f>'Tabela de Jogos'!G35</f>
        <v>Holanda</v>
      </c>
      <c r="H35" s="3"/>
      <c r="I35" s="3">
        <f t="shared" ref="I35:J35" si="40">A35</f>
        <v>33</v>
      </c>
      <c r="J35" s="3" t="str">
        <f t="shared" si="40"/>
        <v>Holanda</v>
      </c>
      <c r="K35" s="3">
        <v>2</v>
      </c>
      <c r="L35" s="3" t="str">
        <f t="shared" ref="L35:L66" si="41">D35</f>
        <v>x</v>
      </c>
      <c r="M35" s="3">
        <v>2</v>
      </c>
      <c r="N35" s="3" t="str">
        <f t="shared" ref="N35:N66" si="42">F35</f>
        <v>Suécia</v>
      </c>
      <c r="O35" s="3" t="str">
        <f t="shared" ref="O35:O66" si="43">IF(K35&gt;M35,J35,IF(M35&gt;K35,N35,IF(ISBLANK(K35),"-","Empate")))</f>
        <v>Empate</v>
      </c>
      <c r="P35" s="3"/>
      <c r="Q35" s="3" t="b">
        <f t="shared" ref="Q35:Q66" si="44">IF(AND(O35=G35,K35=C35,M35=E35,ISBLANK(K35)&lt;&gt;TRUE),TRUE,FALSE)</f>
        <v>0</v>
      </c>
      <c r="R35" s="3" t="b">
        <f t="shared" ref="R35:R66" si="45">IF(OR(AND(O35=G35,K35=C35,K35&gt;M35,M35&lt;&gt;E35,ISBLANK(K35)&lt;&gt;TRUE),AND(O35=G35,M35&gt;K35,K35&lt;&gt;C35,M35=E35,ISBLANK(K35)&lt;&gt;TRUE)),TRUE,FALSE)</f>
        <v>0</v>
      </c>
      <c r="S35" s="3" t="b">
        <f t="shared" ref="S35:S66" si="46">IF(AND(O35=G35,ABS(K35-M35)=ABS(C35-E35),OR(K35&lt;&gt;C35,M35&lt;&gt;E35),ISBLANK(K35)&lt;&gt;TRUE),TRUE,FALSE)</f>
        <v>0</v>
      </c>
      <c r="T35" s="3" t="b">
        <f t="shared" ref="T35:T66" si="47">IF(OR(AND(O35=G35,Q35=FALSE,R35=FALSE,S35=FALSE,G35&lt;&gt;"-"),AND(O35="Empate",S35=TRUE)),TRUE,FALSE)</f>
        <v>0</v>
      </c>
      <c r="U35" s="3" t="b">
        <f t="shared" si="8"/>
        <v>1</v>
      </c>
      <c r="V35" s="3"/>
      <c r="W35" s="3" cm="1">
        <f t="array" ref="W35">IF(OR(J35="Brasil",N35="Brasil"),2*_xlfn.IFS(Q35=TRUE,6,R35=TRUE,4,AND(S35=TRUE,T35=FALSE),3,T35=TRUE,2,U35=TRUE,0),_xlfn.IFS(Q35=TRUE,6,R35=TRUE,4,AND(S35=TRUE,T35=FALSE),3,T35=TRUE,2,U35=TRUE,0))</f>
        <v>0</v>
      </c>
      <c r="X35" s="3"/>
      <c r="Y35" s="3"/>
    </row>
    <row r="36" spans="1:25" ht="14.25" customHeight="1" x14ac:dyDescent="0.3">
      <c r="A36" s="3">
        <f>'Tabela de Jogos'!A36</f>
        <v>34</v>
      </c>
      <c r="B36" s="3" t="str">
        <f>'Tabela de Jogos'!B36</f>
        <v>Alemanha</v>
      </c>
      <c r="C36" s="3">
        <f>'Tabela de Jogos'!C36</f>
        <v>2</v>
      </c>
      <c r="D36" s="3" t="str">
        <f>'Tabela de Jogos'!D36</f>
        <v>x</v>
      </c>
      <c r="E36" s="3">
        <f>'Tabela de Jogos'!E36</f>
        <v>1</v>
      </c>
      <c r="F36" s="3" t="str">
        <f>'Tabela de Jogos'!F36</f>
        <v>Costa do Marfim</v>
      </c>
      <c r="G36" s="3" t="str">
        <f>'Tabela de Jogos'!G36</f>
        <v>Alemanha</v>
      </c>
      <c r="H36" s="3"/>
      <c r="I36" s="3">
        <f t="shared" ref="I36:J36" si="48">A36</f>
        <v>34</v>
      </c>
      <c r="J36" s="3" t="str">
        <f t="shared" si="48"/>
        <v>Alemanha</v>
      </c>
      <c r="K36" s="3">
        <v>4</v>
      </c>
      <c r="L36" s="3" t="str">
        <f t="shared" si="41"/>
        <v>x</v>
      </c>
      <c r="M36" s="3">
        <v>1</v>
      </c>
      <c r="N36" s="3" t="str">
        <f t="shared" si="42"/>
        <v>Costa do Marfim</v>
      </c>
      <c r="O36" s="3" t="str">
        <f t="shared" si="43"/>
        <v>Alemanha</v>
      </c>
      <c r="P36" s="3"/>
      <c r="Q36" s="3" t="b">
        <f t="shared" si="44"/>
        <v>0</v>
      </c>
      <c r="R36" s="3" t="b">
        <f t="shared" si="45"/>
        <v>0</v>
      </c>
      <c r="S36" s="3" t="b">
        <f t="shared" si="46"/>
        <v>0</v>
      </c>
      <c r="T36" s="3" t="b">
        <f t="shared" si="47"/>
        <v>1</v>
      </c>
      <c r="U36" s="3" t="b">
        <f t="shared" si="8"/>
        <v>0</v>
      </c>
      <c r="V36" s="3"/>
      <c r="W36" s="3" cm="1">
        <f t="array" ref="W36">IF(OR(J36="Brasil",N36="Brasil"),2*_xlfn.IFS(Q36=TRUE,6,R36=TRUE,4,AND(S36=TRUE,T36=FALSE),3,T36=TRUE,2,U36=TRUE,0),_xlfn.IFS(Q36=TRUE,6,R36=TRUE,4,AND(S36=TRUE,T36=FALSE),3,T36=TRUE,2,U36=TRUE,0))</f>
        <v>2</v>
      </c>
      <c r="X36" s="3"/>
      <c r="Y36" s="3"/>
    </row>
    <row r="37" spans="1:25" ht="14.25" customHeight="1" x14ac:dyDescent="0.3">
      <c r="A37" s="3">
        <f>'Tabela de Jogos'!A37</f>
        <v>35</v>
      </c>
      <c r="B37" s="3" t="str">
        <f>'Tabela de Jogos'!B37</f>
        <v>Equador</v>
      </c>
      <c r="C37" s="3">
        <f>'Tabela de Jogos'!C37</f>
        <v>0</v>
      </c>
      <c r="D37" s="3" t="str">
        <f>'Tabela de Jogos'!D37</f>
        <v>x</v>
      </c>
      <c r="E37" s="3">
        <f>'Tabela de Jogos'!E37</f>
        <v>0</v>
      </c>
      <c r="F37" s="3" t="str">
        <f>'Tabela de Jogos'!F37</f>
        <v>Curaçao</v>
      </c>
      <c r="G37" s="3" t="str">
        <f>'Tabela de Jogos'!G37</f>
        <v>Empate</v>
      </c>
      <c r="H37" s="3"/>
      <c r="I37" s="3">
        <f t="shared" ref="I37:J37" si="49">A37</f>
        <v>35</v>
      </c>
      <c r="J37" s="3" t="str">
        <f t="shared" si="49"/>
        <v>Equador</v>
      </c>
      <c r="K37" s="3">
        <v>3</v>
      </c>
      <c r="L37" s="3" t="str">
        <f t="shared" si="41"/>
        <v>x</v>
      </c>
      <c r="M37" s="3">
        <v>1</v>
      </c>
      <c r="N37" s="3" t="str">
        <f t="shared" si="42"/>
        <v>Curaçao</v>
      </c>
      <c r="O37" s="3" t="str">
        <f t="shared" si="43"/>
        <v>Equador</v>
      </c>
      <c r="P37" s="3"/>
      <c r="Q37" s="3" t="b">
        <f t="shared" si="44"/>
        <v>0</v>
      </c>
      <c r="R37" s="3" t="b">
        <f t="shared" si="45"/>
        <v>0</v>
      </c>
      <c r="S37" s="3" t="b">
        <f t="shared" si="46"/>
        <v>0</v>
      </c>
      <c r="T37" s="3" t="b">
        <f t="shared" si="47"/>
        <v>0</v>
      </c>
      <c r="U37" s="3" t="b">
        <f t="shared" si="8"/>
        <v>1</v>
      </c>
      <c r="V37" s="3"/>
      <c r="W37" s="3" cm="1">
        <f t="array" ref="W37">IF(OR(J37="Brasil",N37="Brasil"),2*_xlfn.IFS(Q37=TRUE,6,R37=TRUE,4,AND(S37=TRUE,T37=FALSE),3,T37=TRUE,2,U37=TRUE,0),_xlfn.IFS(Q37=TRUE,6,R37=TRUE,4,AND(S37=TRUE,T37=FALSE),3,T37=TRUE,2,U37=TRUE,0))</f>
        <v>0</v>
      </c>
      <c r="X37" s="3"/>
      <c r="Y37" s="3"/>
    </row>
    <row r="38" spans="1:25" ht="14.25" customHeight="1" x14ac:dyDescent="0.3">
      <c r="A38" s="3">
        <f>'Tabela de Jogos'!A38</f>
        <v>36</v>
      </c>
      <c r="B38" s="3" t="str">
        <f>'Tabela de Jogos'!B38</f>
        <v>Tunísia</v>
      </c>
      <c r="C38" s="3">
        <f>'Tabela de Jogos'!C38</f>
        <v>0</v>
      </c>
      <c r="D38" s="3" t="str">
        <f>'Tabela de Jogos'!D38</f>
        <v>x</v>
      </c>
      <c r="E38" s="3">
        <f>'Tabela de Jogos'!E38</f>
        <v>4</v>
      </c>
      <c r="F38" s="3" t="str">
        <f>'Tabela de Jogos'!F38</f>
        <v>Japão</v>
      </c>
      <c r="G38" s="3" t="str">
        <f>'Tabela de Jogos'!G38</f>
        <v>Japão</v>
      </c>
      <c r="H38" s="3"/>
      <c r="I38" s="3">
        <f t="shared" ref="I38:J38" si="50">A38</f>
        <v>36</v>
      </c>
      <c r="J38" s="3" t="str">
        <f t="shared" si="50"/>
        <v>Tunísia</v>
      </c>
      <c r="K38" s="3">
        <v>0</v>
      </c>
      <c r="L38" s="3" t="str">
        <f t="shared" si="41"/>
        <v>x</v>
      </c>
      <c r="M38" s="3">
        <v>3</v>
      </c>
      <c r="N38" s="3" t="str">
        <f t="shared" si="42"/>
        <v>Japão</v>
      </c>
      <c r="O38" s="3" t="str">
        <f t="shared" si="43"/>
        <v>Japão</v>
      </c>
      <c r="P38" s="3"/>
      <c r="Q38" s="3" t="b">
        <f t="shared" si="44"/>
        <v>0</v>
      </c>
      <c r="R38" s="3" t="b">
        <f t="shared" si="45"/>
        <v>0</v>
      </c>
      <c r="S38" s="3" t="b">
        <f t="shared" si="46"/>
        <v>0</v>
      </c>
      <c r="T38" s="3" t="b">
        <f t="shared" si="47"/>
        <v>1</v>
      </c>
      <c r="U38" s="3" t="b">
        <f t="shared" si="8"/>
        <v>0</v>
      </c>
      <c r="V38" s="3"/>
      <c r="W38" s="3" cm="1">
        <f t="array" ref="W38">IF(OR(J38="Brasil",N38="Brasil"),2*_xlfn.IFS(Q38=TRUE,6,R38=TRUE,4,AND(S38=TRUE,T38=FALSE),3,T38=TRUE,2,U38=TRUE,0),_xlfn.IFS(Q38=TRUE,6,R38=TRUE,4,AND(S38=TRUE,T38=FALSE),3,T38=TRUE,2,U38=TRUE,0))</f>
        <v>2</v>
      </c>
      <c r="X38" s="3"/>
      <c r="Y38" s="3"/>
    </row>
    <row r="39" spans="1:25" ht="14.25" customHeight="1" x14ac:dyDescent="0.3">
      <c r="A39" s="3">
        <f>'Tabela de Jogos'!A39</f>
        <v>37</v>
      </c>
      <c r="B39" s="3" t="str">
        <f>'Tabela de Jogos'!B39</f>
        <v>Espanha</v>
      </c>
      <c r="C39" s="3">
        <f>'Tabela de Jogos'!C39</f>
        <v>4</v>
      </c>
      <c r="D39" s="3" t="str">
        <f>'Tabela de Jogos'!D39</f>
        <v>x</v>
      </c>
      <c r="E39" s="3">
        <f>'Tabela de Jogos'!E39</f>
        <v>0</v>
      </c>
      <c r="F39" s="3" t="str">
        <f>'Tabela de Jogos'!F39</f>
        <v>Arábia Saudita</v>
      </c>
      <c r="G39" s="3" t="str">
        <f>'Tabela de Jogos'!G39</f>
        <v>Espanha</v>
      </c>
      <c r="H39" s="3"/>
      <c r="I39" s="3">
        <f t="shared" ref="I39:J39" si="51">A39</f>
        <v>37</v>
      </c>
      <c r="J39" s="3" t="str">
        <f t="shared" si="51"/>
        <v>Espanha</v>
      </c>
      <c r="K39" s="3">
        <v>4</v>
      </c>
      <c r="L39" s="3" t="str">
        <f t="shared" si="41"/>
        <v>x</v>
      </c>
      <c r="M39" s="3">
        <v>0</v>
      </c>
      <c r="N39" s="3" t="str">
        <f t="shared" si="42"/>
        <v>Arábia Saudita</v>
      </c>
      <c r="O39" s="3" t="str">
        <f t="shared" si="43"/>
        <v>Espanha</v>
      </c>
      <c r="P39" s="3"/>
      <c r="Q39" s="3" t="b">
        <f t="shared" si="44"/>
        <v>1</v>
      </c>
      <c r="R39" s="3" t="b">
        <f t="shared" si="45"/>
        <v>0</v>
      </c>
      <c r="S39" s="3" t="b">
        <f t="shared" si="46"/>
        <v>0</v>
      </c>
      <c r="T39" s="3" t="b">
        <f t="shared" si="47"/>
        <v>0</v>
      </c>
      <c r="U39" s="3" t="b">
        <f t="shared" si="8"/>
        <v>0</v>
      </c>
      <c r="V39" s="3"/>
      <c r="W39" s="3" cm="1">
        <f t="array" ref="W39">IF(OR(J39="Brasil",N39="Brasil"),2*_xlfn.IFS(Q39=TRUE,6,R39=TRUE,4,AND(S39=TRUE,T39=FALSE),3,T39=TRUE,2,U39=TRUE,0),_xlfn.IFS(Q39=TRUE,6,R39=TRUE,4,AND(S39=TRUE,T39=FALSE),3,T39=TRUE,2,U39=TRUE,0))</f>
        <v>6</v>
      </c>
      <c r="X39" s="3"/>
      <c r="Y39" s="3"/>
    </row>
    <row r="40" spans="1:25" ht="14.25" customHeight="1" x14ac:dyDescent="0.3">
      <c r="A40" s="3">
        <f>'Tabela de Jogos'!A40</f>
        <v>38</v>
      </c>
      <c r="B40" s="3" t="str">
        <f>'Tabela de Jogos'!B40</f>
        <v>Bélgica</v>
      </c>
      <c r="C40" s="3">
        <f>'Tabela de Jogos'!C40</f>
        <v>0</v>
      </c>
      <c r="D40" s="3" t="str">
        <f>'Tabela de Jogos'!D40</f>
        <v>x</v>
      </c>
      <c r="E40" s="3">
        <f>'Tabela de Jogos'!E40</f>
        <v>0</v>
      </c>
      <c r="F40" s="3" t="str">
        <f>'Tabela de Jogos'!F40</f>
        <v>Irã</v>
      </c>
      <c r="G40" s="3" t="str">
        <f>'Tabela de Jogos'!G40</f>
        <v>Empate</v>
      </c>
      <c r="H40" s="3"/>
      <c r="I40" s="3">
        <f t="shared" ref="I40:J40" si="52">A40</f>
        <v>38</v>
      </c>
      <c r="J40" s="3" t="str">
        <f t="shared" si="52"/>
        <v>Bélgica</v>
      </c>
      <c r="K40" s="3">
        <v>2</v>
      </c>
      <c r="L40" s="3" t="str">
        <f t="shared" si="41"/>
        <v>x</v>
      </c>
      <c r="M40" s="3">
        <v>1</v>
      </c>
      <c r="N40" s="3" t="str">
        <f t="shared" si="42"/>
        <v>Irã</v>
      </c>
      <c r="O40" s="3" t="str">
        <f t="shared" si="43"/>
        <v>Bélgica</v>
      </c>
      <c r="P40" s="3"/>
      <c r="Q40" s="3" t="b">
        <f t="shared" si="44"/>
        <v>0</v>
      </c>
      <c r="R40" s="3" t="b">
        <f t="shared" si="45"/>
        <v>0</v>
      </c>
      <c r="S40" s="3" t="b">
        <f t="shared" si="46"/>
        <v>0</v>
      </c>
      <c r="T40" s="3" t="b">
        <f t="shared" si="47"/>
        <v>0</v>
      </c>
      <c r="U40" s="3" t="b">
        <f t="shared" si="8"/>
        <v>1</v>
      </c>
      <c r="V40" s="3"/>
      <c r="W40" s="3" cm="1">
        <f t="array" ref="W40">IF(OR(J40="Brasil",N40="Brasil"),2*_xlfn.IFS(Q40=TRUE,6,R40=TRUE,4,AND(S40=TRUE,T40=FALSE),3,T40=TRUE,2,U40=TRUE,0),_xlfn.IFS(Q40=TRUE,6,R40=TRUE,4,AND(S40=TRUE,T40=FALSE),3,T40=TRUE,2,U40=TRUE,0))</f>
        <v>0</v>
      </c>
      <c r="X40" s="3"/>
      <c r="Y40" s="3"/>
    </row>
    <row r="41" spans="1:25" ht="14.25" customHeight="1" x14ac:dyDescent="0.3">
      <c r="A41" s="3">
        <f>'Tabela de Jogos'!A41</f>
        <v>39</v>
      </c>
      <c r="B41" s="3" t="str">
        <f>'Tabela de Jogos'!B41</f>
        <v>Uruguai</v>
      </c>
      <c r="C41" s="3">
        <f>'Tabela de Jogos'!C41</f>
        <v>2</v>
      </c>
      <c r="D41" s="3" t="str">
        <f>'Tabela de Jogos'!D41</f>
        <v>x</v>
      </c>
      <c r="E41" s="3">
        <f>'Tabela de Jogos'!E41</f>
        <v>2</v>
      </c>
      <c r="F41" s="3" t="str">
        <f>'Tabela de Jogos'!F41</f>
        <v>Cabo Verde</v>
      </c>
      <c r="G41" s="3" t="str">
        <f>'Tabela de Jogos'!G41</f>
        <v>Empate</v>
      </c>
      <c r="H41" s="3"/>
      <c r="I41" s="3">
        <f t="shared" ref="I41:J41" si="53">A41</f>
        <v>39</v>
      </c>
      <c r="J41" s="3" t="str">
        <f t="shared" si="53"/>
        <v>Uruguai</v>
      </c>
      <c r="K41" s="3">
        <v>2</v>
      </c>
      <c r="L41" s="3" t="str">
        <f t="shared" si="41"/>
        <v>x</v>
      </c>
      <c r="M41" s="3">
        <v>1</v>
      </c>
      <c r="N41" s="3" t="str">
        <f t="shared" si="42"/>
        <v>Cabo Verde</v>
      </c>
      <c r="O41" s="3" t="str">
        <f t="shared" si="43"/>
        <v>Uruguai</v>
      </c>
      <c r="P41" s="3"/>
      <c r="Q41" s="3" t="b">
        <f t="shared" si="44"/>
        <v>0</v>
      </c>
      <c r="R41" s="3" t="b">
        <f t="shared" si="45"/>
        <v>0</v>
      </c>
      <c r="S41" s="3" t="b">
        <f t="shared" si="46"/>
        <v>0</v>
      </c>
      <c r="T41" s="3" t="b">
        <f t="shared" si="47"/>
        <v>0</v>
      </c>
      <c r="U41" s="3" t="b">
        <f t="shared" si="8"/>
        <v>1</v>
      </c>
      <c r="V41" s="3"/>
      <c r="W41" s="3" cm="1">
        <f t="array" ref="W41">IF(OR(J41="Brasil",N41="Brasil"),2*_xlfn.IFS(Q41=TRUE,6,R41=TRUE,4,AND(S41=TRUE,T41=FALSE),3,T41=TRUE,2,U41=TRUE,0),_xlfn.IFS(Q41=TRUE,6,R41=TRUE,4,AND(S41=TRUE,T41=FALSE),3,T41=TRUE,2,U41=TRUE,0))</f>
        <v>0</v>
      </c>
      <c r="X41" s="3"/>
      <c r="Y41" s="3"/>
    </row>
    <row r="42" spans="1:25" ht="14.25" customHeight="1" x14ac:dyDescent="0.3">
      <c r="A42" s="3">
        <f>'Tabela de Jogos'!A42</f>
        <v>40</v>
      </c>
      <c r="B42" s="3" t="str">
        <f>'Tabela de Jogos'!B42</f>
        <v>Nova Zelândia</v>
      </c>
      <c r="C42" s="3">
        <f>'Tabela de Jogos'!C42</f>
        <v>1</v>
      </c>
      <c r="D42" s="3" t="str">
        <f>'Tabela de Jogos'!D42</f>
        <v>x</v>
      </c>
      <c r="E42" s="3">
        <f>'Tabela de Jogos'!E42</f>
        <v>3</v>
      </c>
      <c r="F42" s="3" t="str">
        <f>'Tabela de Jogos'!F42</f>
        <v>Egito</v>
      </c>
      <c r="G42" s="3" t="str">
        <f>'Tabela de Jogos'!G42</f>
        <v>Egito</v>
      </c>
      <c r="H42" s="3"/>
      <c r="I42" s="3">
        <f t="shared" ref="I42:J42" si="54">A42</f>
        <v>40</v>
      </c>
      <c r="J42" s="3" t="str">
        <f t="shared" si="54"/>
        <v>Nova Zelândia</v>
      </c>
      <c r="K42" s="3">
        <v>1</v>
      </c>
      <c r="L42" s="3" t="str">
        <f t="shared" si="41"/>
        <v>x</v>
      </c>
      <c r="M42" s="3">
        <v>2</v>
      </c>
      <c r="N42" s="3" t="str">
        <f t="shared" si="42"/>
        <v>Egito</v>
      </c>
      <c r="O42" s="3" t="str">
        <f t="shared" si="43"/>
        <v>Egito</v>
      </c>
      <c r="P42" s="3"/>
      <c r="Q42" s="3" t="b">
        <f t="shared" si="44"/>
        <v>0</v>
      </c>
      <c r="R42" s="3" t="b">
        <f t="shared" si="45"/>
        <v>0</v>
      </c>
      <c r="S42" s="3" t="b">
        <f t="shared" si="46"/>
        <v>0</v>
      </c>
      <c r="T42" s="3" t="b">
        <f t="shared" si="47"/>
        <v>1</v>
      </c>
      <c r="U42" s="3" t="b">
        <f t="shared" si="8"/>
        <v>0</v>
      </c>
      <c r="V42" s="3"/>
      <c r="W42" s="3" cm="1">
        <f t="array" ref="W42">IF(OR(J42="Brasil",N42="Brasil"),2*_xlfn.IFS(Q42=TRUE,6,R42=TRUE,4,AND(S42=TRUE,T42=FALSE),3,T42=TRUE,2,U42=TRUE,0),_xlfn.IFS(Q42=TRUE,6,R42=TRUE,4,AND(S42=TRUE,T42=FALSE),3,T42=TRUE,2,U42=TRUE,0))</f>
        <v>2</v>
      </c>
      <c r="X42" s="3"/>
      <c r="Y42" s="3"/>
    </row>
    <row r="43" spans="1:25" ht="14.25" customHeight="1" x14ac:dyDescent="0.3">
      <c r="A43" s="3">
        <f>'Tabela de Jogos'!A43</f>
        <v>41</v>
      </c>
      <c r="B43" s="3" t="str">
        <f>'Tabela de Jogos'!B43</f>
        <v>Argentina</v>
      </c>
      <c r="C43" s="3">
        <f>'Tabela de Jogos'!C43</f>
        <v>2</v>
      </c>
      <c r="D43" s="3" t="str">
        <f>'Tabela de Jogos'!D43</f>
        <v>x</v>
      </c>
      <c r="E43" s="3">
        <f>'Tabela de Jogos'!E43</f>
        <v>0</v>
      </c>
      <c r="F43" s="3" t="str">
        <f>'Tabela de Jogos'!F43</f>
        <v>Áustria</v>
      </c>
      <c r="G43" s="3" t="str">
        <f>'Tabela de Jogos'!G43</f>
        <v>Argentina</v>
      </c>
      <c r="H43" s="3"/>
      <c r="I43" s="3">
        <f t="shared" ref="I43:J43" si="55">A43</f>
        <v>41</v>
      </c>
      <c r="J43" s="3" t="str">
        <f t="shared" si="55"/>
        <v>Argentina</v>
      </c>
      <c r="K43" s="3">
        <v>2</v>
      </c>
      <c r="L43" s="3" t="str">
        <f t="shared" si="41"/>
        <v>x</v>
      </c>
      <c r="M43" s="3">
        <v>1</v>
      </c>
      <c r="N43" s="3" t="str">
        <f t="shared" si="42"/>
        <v>Áustria</v>
      </c>
      <c r="O43" s="3" t="str">
        <f t="shared" si="43"/>
        <v>Argentina</v>
      </c>
      <c r="P43" s="3"/>
      <c r="Q43" s="3" t="b">
        <f t="shared" si="44"/>
        <v>0</v>
      </c>
      <c r="R43" s="3" t="b">
        <f t="shared" si="45"/>
        <v>1</v>
      </c>
      <c r="S43" s="3" t="b">
        <f t="shared" si="46"/>
        <v>0</v>
      </c>
      <c r="T43" s="3" t="b">
        <f t="shared" si="47"/>
        <v>0</v>
      </c>
      <c r="U43" s="3" t="b">
        <f t="shared" si="8"/>
        <v>0</v>
      </c>
      <c r="V43" s="3"/>
      <c r="W43" s="3" cm="1">
        <f t="array" ref="W43">IF(OR(J43="Brasil",N43="Brasil"),2*_xlfn.IFS(Q43=TRUE,6,R43=TRUE,4,AND(S43=TRUE,T43=FALSE),3,T43=TRUE,2,U43=TRUE,0),_xlfn.IFS(Q43=TRUE,6,R43=TRUE,4,AND(S43=TRUE,T43=FALSE),3,T43=TRUE,2,U43=TRUE,0))</f>
        <v>4</v>
      </c>
      <c r="X43" s="3"/>
      <c r="Y43" s="3"/>
    </row>
    <row r="44" spans="1:25" ht="14.25" customHeight="1" x14ac:dyDescent="0.3">
      <c r="A44" s="3">
        <f>'Tabela de Jogos'!A44</f>
        <v>42</v>
      </c>
      <c r="B44" s="3" t="str">
        <f>'Tabela de Jogos'!B44</f>
        <v>França</v>
      </c>
      <c r="C44" s="3">
        <f>'Tabela de Jogos'!C44</f>
        <v>3</v>
      </c>
      <c r="D44" s="3" t="str">
        <f>'Tabela de Jogos'!D44</f>
        <v>x</v>
      </c>
      <c r="E44" s="3">
        <f>'Tabela de Jogos'!E44</f>
        <v>0</v>
      </c>
      <c r="F44" s="3" t="str">
        <f>'Tabela de Jogos'!F44</f>
        <v>Iraque</v>
      </c>
      <c r="G44" s="3" t="str">
        <f>'Tabela de Jogos'!G44</f>
        <v>França</v>
      </c>
      <c r="H44" s="3"/>
      <c r="I44" s="3">
        <f t="shared" ref="I44:J44" si="56">A44</f>
        <v>42</v>
      </c>
      <c r="J44" s="3" t="str">
        <f t="shared" si="56"/>
        <v>França</v>
      </c>
      <c r="K44" s="3">
        <v>4</v>
      </c>
      <c r="L44" s="3" t="str">
        <f t="shared" si="41"/>
        <v>x</v>
      </c>
      <c r="M44" s="3">
        <v>0</v>
      </c>
      <c r="N44" s="3" t="str">
        <f t="shared" si="42"/>
        <v>Iraque</v>
      </c>
      <c r="O44" s="3" t="str">
        <f t="shared" si="43"/>
        <v>França</v>
      </c>
      <c r="P44" s="3"/>
      <c r="Q44" s="3" t="b">
        <f t="shared" si="44"/>
        <v>0</v>
      </c>
      <c r="R44" s="3" t="b">
        <f t="shared" si="45"/>
        <v>0</v>
      </c>
      <c r="S44" s="3" t="b">
        <f t="shared" si="46"/>
        <v>0</v>
      </c>
      <c r="T44" s="3" t="b">
        <f t="shared" si="47"/>
        <v>1</v>
      </c>
      <c r="U44" s="3" t="b">
        <f t="shared" si="8"/>
        <v>0</v>
      </c>
      <c r="V44" s="3"/>
      <c r="W44" s="3" cm="1">
        <f t="array" ref="W44">IF(OR(J44="Brasil",N44="Brasil"),2*_xlfn.IFS(Q44=TRUE,6,R44=TRUE,4,AND(S44=TRUE,T44=FALSE),3,T44=TRUE,2,U44=TRUE,0),_xlfn.IFS(Q44=TRUE,6,R44=TRUE,4,AND(S44=TRUE,T44=FALSE),3,T44=TRUE,2,U44=TRUE,0))</f>
        <v>2</v>
      </c>
      <c r="X44" s="3"/>
      <c r="Y44" s="3"/>
    </row>
    <row r="45" spans="1:25" ht="14.25" customHeight="1" x14ac:dyDescent="0.3">
      <c r="A45" s="3">
        <f>'Tabela de Jogos'!A45</f>
        <v>43</v>
      </c>
      <c r="B45" s="3" t="str">
        <f>'Tabela de Jogos'!B45</f>
        <v>Noruega</v>
      </c>
      <c r="C45" s="3">
        <f>'Tabela de Jogos'!C45</f>
        <v>3</v>
      </c>
      <c r="D45" s="3" t="str">
        <f>'Tabela de Jogos'!D45</f>
        <v>x</v>
      </c>
      <c r="E45" s="3">
        <f>'Tabela de Jogos'!E45</f>
        <v>2</v>
      </c>
      <c r="F45" s="3" t="str">
        <f>'Tabela de Jogos'!F45</f>
        <v>Senegal</v>
      </c>
      <c r="G45" s="3" t="str">
        <f>'Tabela de Jogos'!G45</f>
        <v>Noruega</v>
      </c>
      <c r="H45" s="3"/>
      <c r="I45" s="3">
        <f t="shared" ref="I45:J45" si="57">A45</f>
        <v>43</v>
      </c>
      <c r="J45" s="3" t="str">
        <f t="shared" si="57"/>
        <v>Noruega</v>
      </c>
      <c r="K45" s="3">
        <v>3</v>
      </c>
      <c r="L45" s="3" t="str">
        <f t="shared" si="41"/>
        <v>x</v>
      </c>
      <c r="M45" s="3">
        <v>1</v>
      </c>
      <c r="N45" s="3" t="str">
        <f t="shared" si="42"/>
        <v>Senegal</v>
      </c>
      <c r="O45" s="3" t="str">
        <f t="shared" si="43"/>
        <v>Noruega</v>
      </c>
      <c r="P45" s="3"/>
      <c r="Q45" s="3" t="b">
        <f t="shared" si="44"/>
        <v>0</v>
      </c>
      <c r="R45" s="3" t="b">
        <f t="shared" si="45"/>
        <v>1</v>
      </c>
      <c r="S45" s="3" t="b">
        <f t="shared" si="46"/>
        <v>0</v>
      </c>
      <c r="T45" s="3" t="b">
        <f t="shared" si="47"/>
        <v>0</v>
      </c>
      <c r="U45" s="3" t="b">
        <f t="shared" si="8"/>
        <v>0</v>
      </c>
      <c r="V45" s="3"/>
      <c r="W45" s="3" cm="1">
        <f t="array" ref="W45">IF(OR(J45="Brasil",N45="Brasil"),2*_xlfn.IFS(Q45=TRUE,6,R45=TRUE,4,AND(S45=TRUE,T45=FALSE),3,T45=TRUE,2,U45=TRUE,0),_xlfn.IFS(Q45=TRUE,6,R45=TRUE,4,AND(S45=TRUE,T45=FALSE),3,T45=TRUE,2,U45=TRUE,0))</f>
        <v>4</v>
      </c>
      <c r="X45" s="3"/>
      <c r="Y45" s="3"/>
    </row>
    <row r="46" spans="1:25" ht="14.25" customHeight="1" x14ac:dyDescent="0.3">
      <c r="A46" s="3">
        <f>'Tabela de Jogos'!A46</f>
        <v>44</v>
      </c>
      <c r="B46" s="3" t="str">
        <f>'Tabela de Jogos'!B46</f>
        <v>Jordânia</v>
      </c>
      <c r="C46" s="3">
        <f>'Tabela de Jogos'!C46</f>
        <v>1</v>
      </c>
      <c r="D46" s="3" t="str">
        <f>'Tabela de Jogos'!D46</f>
        <v>x</v>
      </c>
      <c r="E46" s="3">
        <f>'Tabela de Jogos'!E46</f>
        <v>2</v>
      </c>
      <c r="F46" s="3" t="str">
        <f>'Tabela de Jogos'!F46</f>
        <v>Argélia</v>
      </c>
      <c r="G46" s="3" t="str">
        <f>'Tabela de Jogos'!G46</f>
        <v>Argélia</v>
      </c>
      <c r="H46" s="3"/>
      <c r="I46" s="3">
        <f t="shared" ref="I46:J46" si="58">A46</f>
        <v>44</v>
      </c>
      <c r="J46" s="3" t="str">
        <f t="shared" si="58"/>
        <v>Jordânia</v>
      </c>
      <c r="K46" s="3">
        <v>1</v>
      </c>
      <c r="L46" s="3" t="str">
        <f t="shared" si="41"/>
        <v>x</v>
      </c>
      <c r="M46" s="3">
        <v>1</v>
      </c>
      <c r="N46" s="3" t="str">
        <f t="shared" si="42"/>
        <v>Argélia</v>
      </c>
      <c r="O46" s="3" t="str">
        <f t="shared" si="43"/>
        <v>Empate</v>
      </c>
      <c r="P46" s="3"/>
      <c r="Q46" s="3" t="b">
        <f t="shared" si="44"/>
        <v>0</v>
      </c>
      <c r="R46" s="3" t="b">
        <f t="shared" si="45"/>
        <v>0</v>
      </c>
      <c r="S46" s="3" t="b">
        <f t="shared" si="46"/>
        <v>0</v>
      </c>
      <c r="T46" s="3" t="b">
        <f t="shared" si="47"/>
        <v>0</v>
      </c>
      <c r="U46" s="3" t="b">
        <f t="shared" si="8"/>
        <v>1</v>
      </c>
      <c r="V46" s="3"/>
      <c r="W46" s="3" cm="1">
        <f t="array" ref="W46">IF(OR(J46="Brasil",N46="Brasil"),2*_xlfn.IFS(Q46=TRUE,6,R46=TRUE,4,AND(S46=TRUE,T46=FALSE),3,T46=TRUE,2,U46=TRUE,0),_xlfn.IFS(Q46=TRUE,6,R46=TRUE,4,AND(S46=TRUE,T46=FALSE),3,T46=TRUE,2,U46=TRUE,0))</f>
        <v>0</v>
      </c>
      <c r="X46" s="3"/>
      <c r="Y46" s="3"/>
    </row>
    <row r="47" spans="1:25" ht="14.25" customHeight="1" x14ac:dyDescent="0.3">
      <c r="A47" s="3">
        <f>'Tabela de Jogos'!A47</f>
        <v>45</v>
      </c>
      <c r="B47" s="3" t="str">
        <f>'Tabela de Jogos'!B47</f>
        <v>Portugal</v>
      </c>
      <c r="C47" s="3">
        <f>'Tabela de Jogos'!C47</f>
        <v>5</v>
      </c>
      <c r="D47" s="3" t="str">
        <f>'Tabela de Jogos'!D47</f>
        <v>x</v>
      </c>
      <c r="E47" s="3">
        <f>'Tabela de Jogos'!E47</f>
        <v>0</v>
      </c>
      <c r="F47" s="3" t="str">
        <f>'Tabela de Jogos'!F47</f>
        <v>Uzbequistão</v>
      </c>
      <c r="G47" s="3" t="str">
        <f>'Tabela de Jogos'!G47</f>
        <v>Portugal</v>
      </c>
      <c r="H47" s="3"/>
      <c r="I47" s="3">
        <f t="shared" ref="I47:J47" si="59">A47</f>
        <v>45</v>
      </c>
      <c r="J47" s="3" t="str">
        <f t="shared" si="59"/>
        <v>Portugal</v>
      </c>
      <c r="K47" s="3">
        <v>2</v>
      </c>
      <c r="L47" s="3" t="str">
        <f t="shared" si="41"/>
        <v>x</v>
      </c>
      <c r="M47" s="3">
        <v>1</v>
      </c>
      <c r="N47" s="3" t="str">
        <f t="shared" si="42"/>
        <v>Uzbequistão</v>
      </c>
      <c r="O47" s="3" t="str">
        <f t="shared" si="43"/>
        <v>Portugal</v>
      </c>
      <c r="P47" s="3"/>
      <c r="Q47" s="3" t="b">
        <f t="shared" si="44"/>
        <v>0</v>
      </c>
      <c r="R47" s="3" t="b">
        <f t="shared" si="45"/>
        <v>0</v>
      </c>
      <c r="S47" s="3" t="b">
        <f t="shared" si="46"/>
        <v>0</v>
      </c>
      <c r="T47" s="3" t="b">
        <f t="shared" si="47"/>
        <v>1</v>
      </c>
      <c r="U47" s="3" t="b">
        <f t="shared" si="8"/>
        <v>0</v>
      </c>
      <c r="V47" s="3"/>
      <c r="W47" s="3" cm="1">
        <f t="array" ref="W47">IF(OR(J47="Brasil",N47="Brasil"),2*_xlfn.IFS(Q47=TRUE,6,R47=TRUE,4,AND(S47=TRUE,T47=FALSE),3,T47=TRUE,2,U47=TRUE,0),_xlfn.IFS(Q47=TRUE,6,R47=TRUE,4,AND(S47=TRUE,T47=FALSE),3,T47=TRUE,2,U47=TRUE,0))</f>
        <v>2</v>
      </c>
      <c r="X47" s="3"/>
      <c r="Y47" s="3"/>
    </row>
    <row r="48" spans="1:25" ht="14.25" customHeight="1" x14ac:dyDescent="0.3">
      <c r="A48" s="3">
        <f>'Tabela de Jogos'!A48</f>
        <v>46</v>
      </c>
      <c r="B48" s="3" t="str">
        <f>'Tabela de Jogos'!B48</f>
        <v>Inglaterra</v>
      </c>
      <c r="C48" s="3">
        <f>'Tabela de Jogos'!C48</f>
        <v>0</v>
      </c>
      <c r="D48" s="3" t="str">
        <f>'Tabela de Jogos'!D48</f>
        <v>x</v>
      </c>
      <c r="E48" s="3">
        <f>'Tabela de Jogos'!E48</f>
        <v>0</v>
      </c>
      <c r="F48" s="3" t="str">
        <f>'Tabela de Jogos'!F48</f>
        <v>Gana</v>
      </c>
      <c r="G48" s="3" t="str">
        <f>'Tabela de Jogos'!G48</f>
        <v>Empate</v>
      </c>
      <c r="H48" s="3"/>
      <c r="I48" s="3">
        <f t="shared" ref="I48:J48" si="60">A48</f>
        <v>46</v>
      </c>
      <c r="J48" s="3" t="str">
        <f t="shared" si="60"/>
        <v>Inglaterra</v>
      </c>
      <c r="K48" s="3">
        <v>4</v>
      </c>
      <c r="L48" s="3" t="str">
        <f t="shared" si="41"/>
        <v>x</v>
      </c>
      <c r="M48" s="3">
        <v>0</v>
      </c>
      <c r="N48" s="3" t="str">
        <f t="shared" si="42"/>
        <v>Gana</v>
      </c>
      <c r="O48" s="3" t="str">
        <f t="shared" si="43"/>
        <v>Inglaterra</v>
      </c>
      <c r="P48" s="3"/>
      <c r="Q48" s="3" t="b">
        <f t="shared" si="44"/>
        <v>0</v>
      </c>
      <c r="R48" s="3" t="b">
        <f t="shared" si="45"/>
        <v>0</v>
      </c>
      <c r="S48" s="3" t="b">
        <f t="shared" si="46"/>
        <v>0</v>
      </c>
      <c r="T48" s="3" t="b">
        <f t="shared" si="47"/>
        <v>0</v>
      </c>
      <c r="U48" s="3" t="b">
        <f t="shared" si="8"/>
        <v>1</v>
      </c>
      <c r="V48" s="3"/>
      <c r="W48" s="3" cm="1">
        <f t="array" ref="W48">IF(OR(J48="Brasil",N48="Brasil"),2*_xlfn.IFS(Q48=TRUE,6,R48=TRUE,4,AND(S48=TRUE,T48=FALSE),3,T48=TRUE,2,U48=TRUE,0),_xlfn.IFS(Q48=TRUE,6,R48=TRUE,4,AND(S48=TRUE,T48=FALSE),3,T48=TRUE,2,U48=TRUE,0))</f>
        <v>0</v>
      </c>
      <c r="X48" s="3"/>
      <c r="Y48" s="3"/>
    </row>
    <row r="49" spans="1:25" ht="14.25" customHeight="1" x14ac:dyDescent="0.3">
      <c r="A49" s="3">
        <f>'Tabela de Jogos'!A49</f>
        <v>47</v>
      </c>
      <c r="B49" s="3" t="str">
        <f>'Tabela de Jogos'!B49</f>
        <v>Panamá</v>
      </c>
      <c r="C49" s="3">
        <f>'Tabela de Jogos'!C49</f>
        <v>0</v>
      </c>
      <c r="D49" s="3" t="str">
        <f>'Tabela de Jogos'!D49</f>
        <v>x</v>
      </c>
      <c r="E49" s="3">
        <f>'Tabela de Jogos'!E49</f>
        <v>1</v>
      </c>
      <c r="F49" s="3" t="str">
        <f>'Tabela de Jogos'!F49</f>
        <v>Croácia</v>
      </c>
      <c r="G49" s="3" t="str">
        <f>'Tabela de Jogos'!G49</f>
        <v>Croácia</v>
      </c>
      <c r="H49" s="3"/>
      <c r="I49" s="3">
        <f t="shared" ref="I49:J49" si="61">A49</f>
        <v>47</v>
      </c>
      <c r="J49" s="3" t="str">
        <f t="shared" si="61"/>
        <v>Panamá</v>
      </c>
      <c r="K49" s="3">
        <v>0</v>
      </c>
      <c r="L49" s="3" t="str">
        <f t="shared" si="41"/>
        <v>x</v>
      </c>
      <c r="M49" s="3">
        <v>2</v>
      </c>
      <c r="N49" s="3" t="str">
        <f t="shared" si="42"/>
        <v>Croácia</v>
      </c>
      <c r="O49" s="3" t="str">
        <f t="shared" si="43"/>
        <v>Croácia</v>
      </c>
      <c r="P49" s="3"/>
      <c r="Q49" s="3" t="b">
        <f t="shared" si="44"/>
        <v>0</v>
      </c>
      <c r="R49" s="3" t="b">
        <f t="shared" si="45"/>
        <v>0</v>
      </c>
      <c r="S49" s="3" t="b">
        <f t="shared" si="46"/>
        <v>0</v>
      </c>
      <c r="T49" s="3" t="b">
        <f t="shared" si="47"/>
        <v>1</v>
      </c>
      <c r="U49" s="3" t="b">
        <f t="shared" si="8"/>
        <v>0</v>
      </c>
      <c r="V49" s="3"/>
      <c r="W49" s="3" cm="1">
        <f t="array" ref="W49">IF(OR(J49="Brasil",N49="Brasil"),2*_xlfn.IFS(Q49=TRUE,6,R49=TRUE,4,AND(S49=TRUE,T49=FALSE),3,T49=TRUE,2,U49=TRUE,0),_xlfn.IFS(Q49=TRUE,6,R49=TRUE,4,AND(S49=TRUE,T49=FALSE),3,T49=TRUE,2,U49=TRUE,0))</f>
        <v>2</v>
      </c>
      <c r="X49" s="3"/>
      <c r="Y49" s="3"/>
    </row>
    <row r="50" spans="1:25" ht="14.25" customHeight="1" x14ac:dyDescent="0.3">
      <c r="A50" s="3">
        <f>'Tabela de Jogos'!A50</f>
        <v>48</v>
      </c>
      <c r="B50" s="3" t="str">
        <f>'Tabela de Jogos'!B50</f>
        <v>Colômbia</v>
      </c>
      <c r="C50" s="3">
        <f>'Tabela de Jogos'!C50</f>
        <v>1</v>
      </c>
      <c r="D50" s="3" t="str">
        <f>'Tabela de Jogos'!D50</f>
        <v>x</v>
      </c>
      <c r="E50" s="3">
        <f>'Tabela de Jogos'!E50</f>
        <v>0</v>
      </c>
      <c r="F50" s="3" t="str">
        <f>'Tabela de Jogos'!F50</f>
        <v>RD Congo</v>
      </c>
      <c r="G50" s="3" t="str">
        <f>'Tabela de Jogos'!G50</f>
        <v>Colômbia</v>
      </c>
      <c r="H50" s="3"/>
      <c r="I50" s="3">
        <f t="shared" ref="I50:J50" si="62">A50</f>
        <v>48</v>
      </c>
      <c r="J50" s="3" t="str">
        <f t="shared" si="62"/>
        <v>Colômbia</v>
      </c>
      <c r="K50" s="3">
        <v>2</v>
      </c>
      <c r="L50" s="3" t="str">
        <f t="shared" si="41"/>
        <v>x</v>
      </c>
      <c r="M50" s="3">
        <v>0</v>
      </c>
      <c r="N50" s="3" t="str">
        <f t="shared" si="42"/>
        <v>RD Congo</v>
      </c>
      <c r="O50" s="3" t="str">
        <f t="shared" si="43"/>
        <v>Colômbia</v>
      </c>
      <c r="P50" s="3"/>
      <c r="Q50" s="3" t="b">
        <f t="shared" si="44"/>
        <v>0</v>
      </c>
      <c r="R50" s="3" t="b">
        <f t="shared" si="45"/>
        <v>0</v>
      </c>
      <c r="S50" s="3" t="b">
        <f t="shared" si="46"/>
        <v>0</v>
      </c>
      <c r="T50" s="3" t="b">
        <f t="shared" si="47"/>
        <v>1</v>
      </c>
      <c r="U50" s="3" t="b">
        <f t="shared" si="8"/>
        <v>0</v>
      </c>
      <c r="V50" s="3"/>
      <c r="W50" s="3" cm="1">
        <f t="array" ref="W50">IF(OR(J50="Brasil",N50="Brasil"),2*_xlfn.IFS(Q50=TRUE,6,R50=TRUE,4,AND(S50=TRUE,T50=FALSE),3,T50=TRUE,2,U50=TRUE,0),_xlfn.IFS(Q50=TRUE,6,R50=TRUE,4,AND(S50=TRUE,T50=FALSE),3,T50=TRUE,2,U50=TRUE,0))</f>
        <v>2</v>
      </c>
      <c r="X50" s="3"/>
      <c r="Y50" s="3"/>
    </row>
    <row r="51" spans="1:25" ht="14.25" customHeight="1" x14ac:dyDescent="0.3">
      <c r="A51" s="3">
        <f>'Tabela de Jogos'!A51</f>
        <v>49</v>
      </c>
      <c r="B51" s="3" t="str">
        <f>'Tabela de Jogos'!B51</f>
        <v>Suíça</v>
      </c>
      <c r="C51" s="3">
        <f>'Tabela de Jogos'!C51</f>
        <v>2</v>
      </c>
      <c r="D51" s="3" t="str">
        <f>'Tabela de Jogos'!D51</f>
        <v>x</v>
      </c>
      <c r="E51" s="3">
        <f>'Tabela de Jogos'!E51</f>
        <v>1</v>
      </c>
      <c r="F51" s="3" t="str">
        <f>'Tabela de Jogos'!F51</f>
        <v>Canadá</v>
      </c>
      <c r="G51" s="3" t="str">
        <f>'Tabela de Jogos'!G51</f>
        <v>Suíça</v>
      </c>
      <c r="H51" s="3"/>
      <c r="I51" s="3">
        <f t="shared" ref="I51:J51" si="63">A51</f>
        <v>49</v>
      </c>
      <c r="J51" s="3" t="str">
        <f t="shared" si="63"/>
        <v>Suíça</v>
      </c>
      <c r="K51" s="4">
        <v>1</v>
      </c>
      <c r="L51" s="3" t="str">
        <f t="shared" si="41"/>
        <v>x</v>
      </c>
      <c r="M51" s="4">
        <v>1</v>
      </c>
      <c r="N51" s="3" t="str">
        <f t="shared" si="42"/>
        <v>Canadá</v>
      </c>
      <c r="O51" s="3" t="str">
        <f t="shared" si="43"/>
        <v>Empate</v>
      </c>
      <c r="P51" s="3"/>
      <c r="Q51" s="3" t="b">
        <f t="shared" si="44"/>
        <v>0</v>
      </c>
      <c r="R51" s="3" t="b">
        <f t="shared" si="45"/>
        <v>0</v>
      </c>
      <c r="S51" s="3" t="b">
        <f t="shared" si="46"/>
        <v>0</v>
      </c>
      <c r="T51" s="3" t="b">
        <f t="shared" si="47"/>
        <v>0</v>
      </c>
      <c r="U51" s="3" t="b">
        <f t="shared" si="8"/>
        <v>1</v>
      </c>
      <c r="V51" s="3"/>
      <c r="W51" s="3" cm="1">
        <f t="array" ref="W51">IF(OR(J51="Brasil",N51="Brasil"),2*_xlfn.IFS(Q51=TRUE,6,R51=TRUE,4,AND(S51=TRUE,T51=FALSE),3,T51=TRUE,2,U51=TRUE,0),_xlfn.IFS(Q51=TRUE,6,R51=TRUE,4,AND(S51=TRUE,T51=FALSE),3,T51=TRUE,2,U51=TRUE,0))</f>
        <v>0</v>
      </c>
      <c r="X51" s="3"/>
      <c r="Y51" s="3"/>
    </row>
    <row r="52" spans="1:25" ht="14.25" customHeight="1" x14ac:dyDescent="0.3">
      <c r="A52" s="3">
        <f>'Tabela de Jogos'!A52</f>
        <v>50</v>
      </c>
      <c r="B52" s="3" t="str">
        <f>'Tabela de Jogos'!B52</f>
        <v>Bósnia</v>
      </c>
      <c r="C52" s="3">
        <f>'Tabela de Jogos'!C52</f>
        <v>3</v>
      </c>
      <c r="D52" s="3" t="str">
        <f>'Tabela de Jogos'!D52</f>
        <v>x</v>
      </c>
      <c r="E52" s="3">
        <f>'Tabela de Jogos'!E52</f>
        <v>1</v>
      </c>
      <c r="F52" s="3" t="str">
        <f>'Tabela de Jogos'!F52</f>
        <v>Catar</v>
      </c>
      <c r="G52" s="3" t="str">
        <f>'Tabela de Jogos'!G52</f>
        <v>Bósnia</v>
      </c>
      <c r="H52" s="3"/>
      <c r="I52" s="3">
        <f t="shared" ref="I52:J52" si="64">A52</f>
        <v>50</v>
      </c>
      <c r="J52" s="3" t="str">
        <f t="shared" si="64"/>
        <v>Bósnia</v>
      </c>
      <c r="K52" s="4">
        <v>2</v>
      </c>
      <c r="L52" s="3" t="str">
        <f t="shared" si="41"/>
        <v>x</v>
      </c>
      <c r="M52" s="4">
        <v>1</v>
      </c>
      <c r="N52" s="3" t="str">
        <f t="shared" si="42"/>
        <v>Catar</v>
      </c>
      <c r="O52" s="3" t="str">
        <f t="shared" si="43"/>
        <v>Bósnia</v>
      </c>
      <c r="P52" s="3"/>
      <c r="Q52" s="3" t="b">
        <f t="shared" si="44"/>
        <v>0</v>
      </c>
      <c r="R52" s="3" t="b">
        <f t="shared" si="45"/>
        <v>0</v>
      </c>
      <c r="S52" s="3" t="b">
        <f t="shared" si="46"/>
        <v>0</v>
      </c>
      <c r="T52" s="3" t="b">
        <f t="shared" si="47"/>
        <v>1</v>
      </c>
      <c r="U52" s="3" t="b">
        <f t="shared" si="8"/>
        <v>0</v>
      </c>
      <c r="V52" s="3"/>
      <c r="W52" s="3" cm="1">
        <f t="array" ref="W52">IF(OR(J52="Brasil",N52="Brasil"),2*_xlfn.IFS(Q52=TRUE,6,R52=TRUE,4,AND(S52=TRUE,T52=FALSE),3,T52=TRUE,2,U52=TRUE,0),_xlfn.IFS(Q52=TRUE,6,R52=TRUE,4,AND(S52=TRUE,T52=FALSE),3,T52=TRUE,2,U52=TRUE,0))</f>
        <v>2</v>
      </c>
      <c r="X52" s="3"/>
      <c r="Y52" s="3"/>
    </row>
    <row r="53" spans="1:25" ht="14.25" customHeight="1" x14ac:dyDescent="0.3">
      <c r="A53" s="3">
        <f>'Tabela de Jogos'!A53</f>
        <v>51</v>
      </c>
      <c r="B53" s="3" t="str">
        <f>'Tabela de Jogos'!B53</f>
        <v>Marrocos</v>
      </c>
      <c r="C53" s="3">
        <f>'Tabela de Jogos'!C53</f>
        <v>4</v>
      </c>
      <c r="D53" s="3" t="str">
        <f>'Tabela de Jogos'!D53</f>
        <v>x</v>
      </c>
      <c r="E53" s="3">
        <f>'Tabela de Jogos'!E53</f>
        <v>2</v>
      </c>
      <c r="F53" s="3" t="str">
        <f>'Tabela de Jogos'!F53</f>
        <v>Haiti</v>
      </c>
      <c r="G53" s="3" t="str">
        <f>'Tabela de Jogos'!G53</f>
        <v>Marrocos</v>
      </c>
      <c r="H53" s="3"/>
      <c r="I53" s="3">
        <f t="shared" ref="I53:J53" si="65">A53</f>
        <v>51</v>
      </c>
      <c r="J53" s="3" t="str">
        <f t="shared" si="65"/>
        <v>Marrocos</v>
      </c>
      <c r="K53" s="4">
        <v>4</v>
      </c>
      <c r="L53" s="3" t="str">
        <f t="shared" si="41"/>
        <v>x</v>
      </c>
      <c r="M53" s="4">
        <v>0</v>
      </c>
      <c r="N53" s="3" t="str">
        <f t="shared" si="42"/>
        <v>Haiti</v>
      </c>
      <c r="O53" s="3" t="str">
        <f t="shared" si="43"/>
        <v>Marrocos</v>
      </c>
      <c r="P53" s="3"/>
      <c r="Q53" s="3" t="b">
        <f t="shared" si="44"/>
        <v>0</v>
      </c>
      <c r="R53" s="3" t="b">
        <f t="shared" si="45"/>
        <v>1</v>
      </c>
      <c r="S53" s="3" t="b">
        <f t="shared" si="46"/>
        <v>0</v>
      </c>
      <c r="T53" s="3" t="b">
        <f t="shared" si="47"/>
        <v>0</v>
      </c>
      <c r="U53" s="3" t="b">
        <f t="shared" si="8"/>
        <v>0</v>
      </c>
      <c r="V53" s="3"/>
      <c r="W53" s="3" cm="1">
        <f t="array" ref="W53">IF(OR(J53="Brasil",N53="Brasil"),2*_xlfn.IFS(Q53=TRUE,6,R53=TRUE,4,AND(S53=TRUE,T53=FALSE),3,T53=TRUE,2,U53=TRUE,0),_xlfn.IFS(Q53=TRUE,6,R53=TRUE,4,AND(S53=TRUE,T53=FALSE),3,T53=TRUE,2,U53=TRUE,0))</f>
        <v>4</v>
      </c>
      <c r="X53" s="3"/>
      <c r="Y53" s="3"/>
    </row>
    <row r="54" spans="1:25" ht="14.25" customHeight="1" x14ac:dyDescent="0.3">
      <c r="A54" s="3">
        <f>'Tabela de Jogos'!A54</f>
        <v>52</v>
      </c>
      <c r="B54" s="3" t="str">
        <f>'Tabela de Jogos'!B54</f>
        <v>Escócia</v>
      </c>
      <c r="C54" s="3">
        <f>'Tabela de Jogos'!C54</f>
        <v>0</v>
      </c>
      <c r="D54" s="3" t="str">
        <f>'Tabela de Jogos'!D54</f>
        <v>x</v>
      </c>
      <c r="E54" s="3">
        <f>'Tabela de Jogos'!E54</f>
        <v>3</v>
      </c>
      <c r="F54" s="3" t="str">
        <f>'Tabela de Jogos'!F54</f>
        <v>Brasil</v>
      </c>
      <c r="G54" s="3" t="str">
        <f>'Tabela de Jogos'!G54</f>
        <v>Brasil</v>
      </c>
      <c r="H54" s="3"/>
      <c r="I54" s="3">
        <f t="shared" ref="I54:J54" si="66">A54</f>
        <v>52</v>
      </c>
      <c r="J54" s="3" t="str">
        <f t="shared" si="66"/>
        <v>Escócia</v>
      </c>
      <c r="K54" s="4">
        <v>1</v>
      </c>
      <c r="L54" s="3" t="str">
        <f t="shared" si="41"/>
        <v>x</v>
      </c>
      <c r="M54" s="4">
        <v>3</v>
      </c>
      <c r="N54" s="3" t="str">
        <f t="shared" si="42"/>
        <v>Brasil</v>
      </c>
      <c r="O54" s="3" t="str">
        <f t="shared" si="43"/>
        <v>Brasil</v>
      </c>
      <c r="P54" s="3"/>
      <c r="Q54" s="3" t="b">
        <f t="shared" si="44"/>
        <v>0</v>
      </c>
      <c r="R54" s="3" t="b">
        <f t="shared" si="45"/>
        <v>1</v>
      </c>
      <c r="S54" s="3" t="b">
        <f t="shared" si="46"/>
        <v>0</v>
      </c>
      <c r="T54" s="3" t="b">
        <f t="shared" si="47"/>
        <v>0</v>
      </c>
      <c r="U54" s="3" t="b">
        <f t="shared" si="8"/>
        <v>0</v>
      </c>
      <c r="V54" s="3"/>
      <c r="W54" s="3" cm="1">
        <f t="array" ref="W54">IF(OR(J54="Brasil",N54="Brasil"),2*_xlfn.IFS(Q54=TRUE,6,R54=TRUE,4,AND(S54=TRUE,T54=FALSE),3,T54=TRUE,2,U54=TRUE,0),_xlfn.IFS(Q54=TRUE,6,R54=TRUE,4,AND(S54=TRUE,T54=FALSE),3,T54=TRUE,2,U54=TRUE,0))</f>
        <v>8</v>
      </c>
      <c r="X54" s="3"/>
      <c r="Y54" s="3"/>
    </row>
    <row r="55" spans="1:25" ht="14.25" customHeight="1" x14ac:dyDescent="0.3">
      <c r="A55" s="3">
        <f>'Tabela de Jogos'!A55</f>
        <v>53</v>
      </c>
      <c r="B55" s="3" t="str">
        <f>'Tabela de Jogos'!B55</f>
        <v>África do Sul</v>
      </c>
      <c r="C55" s="3">
        <f>'Tabela de Jogos'!C55</f>
        <v>1</v>
      </c>
      <c r="D55" s="3" t="str">
        <f>'Tabela de Jogos'!D55</f>
        <v>x</v>
      </c>
      <c r="E55" s="3">
        <f>'Tabela de Jogos'!E55</f>
        <v>0</v>
      </c>
      <c r="F55" s="3" t="str">
        <f>'Tabela de Jogos'!F55</f>
        <v>Coreia do Sul</v>
      </c>
      <c r="G55" s="3" t="str">
        <f>'Tabela de Jogos'!G55</f>
        <v>África do Sul</v>
      </c>
      <c r="H55" s="3"/>
      <c r="I55" s="3">
        <f t="shared" ref="I55:J55" si="67">A55</f>
        <v>53</v>
      </c>
      <c r="J55" s="3" t="str">
        <f t="shared" si="67"/>
        <v>África do Sul</v>
      </c>
      <c r="K55" s="4">
        <v>0</v>
      </c>
      <c r="L55" s="3" t="str">
        <f t="shared" si="41"/>
        <v>x</v>
      </c>
      <c r="M55" s="4">
        <v>1</v>
      </c>
      <c r="N55" s="3" t="str">
        <f t="shared" si="42"/>
        <v>Coreia do Sul</v>
      </c>
      <c r="O55" s="3" t="str">
        <f t="shared" si="43"/>
        <v>Coreia do Sul</v>
      </c>
      <c r="P55" s="3"/>
      <c r="Q55" s="3" t="b">
        <f t="shared" si="44"/>
        <v>0</v>
      </c>
      <c r="R55" s="3" t="b">
        <f t="shared" si="45"/>
        <v>0</v>
      </c>
      <c r="S55" s="3" t="b">
        <f t="shared" si="46"/>
        <v>0</v>
      </c>
      <c r="T55" s="3" t="b">
        <f t="shared" si="47"/>
        <v>0</v>
      </c>
      <c r="U55" s="3" t="b">
        <f t="shared" si="8"/>
        <v>1</v>
      </c>
      <c r="V55" s="3"/>
      <c r="W55" s="3" cm="1">
        <f t="array" ref="W55">IF(OR(J55="Brasil",N55="Brasil"),2*_xlfn.IFS(Q55=TRUE,6,R55=TRUE,4,AND(S55=TRUE,T55=FALSE),3,T55=TRUE,2,U55=TRUE,0),_xlfn.IFS(Q55=TRUE,6,R55=TRUE,4,AND(S55=TRUE,T55=FALSE),3,T55=TRUE,2,U55=TRUE,0))</f>
        <v>0</v>
      </c>
      <c r="X55" s="3"/>
      <c r="Y55" s="3"/>
    </row>
    <row r="56" spans="1:25" ht="14.25" customHeight="1" x14ac:dyDescent="0.3">
      <c r="A56" s="3">
        <f>'Tabela de Jogos'!A56</f>
        <v>54</v>
      </c>
      <c r="B56" s="3" t="str">
        <f>'Tabela de Jogos'!B56</f>
        <v>Tchéquia</v>
      </c>
      <c r="C56" s="3">
        <f>'Tabela de Jogos'!C56</f>
        <v>0</v>
      </c>
      <c r="D56" s="3" t="str">
        <f>'Tabela de Jogos'!D56</f>
        <v>x</v>
      </c>
      <c r="E56" s="3">
        <f>'Tabela de Jogos'!E56</f>
        <v>3</v>
      </c>
      <c r="F56" s="3" t="str">
        <f>'Tabela de Jogos'!F56</f>
        <v>México</v>
      </c>
      <c r="G56" s="3" t="str">
        <f>'Tabela de Jogos'!G56</f>
        <v>México</v>
      </c>
      <c r="H56" s="3"/>
      <c r="I56" s="3">
        <f t="shared" ref="I56:J56" si="68">A56</f>
        <v>54</v>
      </c>
      <c r="J56" s="3" t="str">
        <f t="shared" si="68"/>
        <v>Tchéquia</v>
      </c>
      <c r="K56" s="4">
        <v>1</v>
      </c>
      <c r="L56" s="3" t="str">
        <f t="shared" si="41"/>
        <v>x</v>
      </c>
      <c r="M56" s="4">
        <v>2</v>
      </c>
      <c r="N56" s="3" t="str">
        <f t="shared" si="42"/>
        <v>México</v>
      </c>
      <c r="O56" s="3" t="str">
        <f t="shared" si="43"/>
        <v>México</v>
      </c>
      <c r="P56" s="3"/>
      <c r="Q56" s="3" t="b">
        <f t="shared" si="44"/>
        <v>0</v>
      </c>
      <c r="R56" s="3" t="b">
        <f t="shared" si="45"/>
        <v>0</v>
      </c>
      <c r="S56" s="3" t="b">
        <f t="shared" si="46"/>
        <v>0</v>
      </c>
      <c r="T56" s="3" t="b">
        <f t="shared" si="47"/>
        <v>1</v>
      </c>
      <c r="U56" s="3" t="b">
        <f t="shared" si="8"/>
        <v>0</v>
      </c>
      <c r="V56" s="3"/>
      <c r="W56" s="3" cm="1">
        <f t="array" ref="W56">IF(OR(J56="Brasil",N56="Brasil"),2*_xlfn.IFS(Q56=TRUE,6,R56=TRUE,4,AND(S56=TRUE,T56=FALSE),3,T56=TRUE,2,U56=TRUE,0),_xlfn.IFS(Q56=TRUE,6,R56=TRUE,4,AND(S56=TRUE,T56=FALSE),3,T56=TRUE,2,U56=TRUE,0))</f>
        <v>2</v>
      </c>
      <c r="X56" s="3"/>
      <c r="Y56" s="3"/>
    </row>
    <row r="57" spans="1:25" ht="14.25" customHeight="1" x14ac:dyDescent="0.3">
      <c r="A57" s="3">
        <f>'Tabela de Jogos'!A57</f>
        <v>55</v>
      </c>
      <c r="B57" s="3" t="str">
        <f>'Tabela de Jogos'!B57</f>
        <v>Curaçao</v>
      </c>
      <c r="C57" s="3">
        <f>'Tabela de Jogos'!C57</f>
        <v>0</v>
      </c>
      <c r="D57" s="3" t="str">
        <f>'Tabela de Jogos'!D57</f>
        <v>x</v>
      </c>
      <c r="E57" s="3">
        <f>'Tabela de Jogos'!E57</f>
        <v>2</v>
      </c>
      <c r="F57" s="3" t="str">
        <f>'Tabela de Jogos'!F57</f>
        <v>Costa do Marfim</v>
      </c>
      <c r="G57" s="3" t="str">
        <f>'Tabela de Jogos'!G57</f>
        <v>Costa do Marfim</v>
      </c>
      <c r="H57" s="3"/>
      <c r="I57" s="3">
        <f t="shared" ref="I57:J57" si="69">A57</f>
        <v>55</v>
      </c>
      <c r="J57" s="3" t="str">
        <f t="shared" si="69"/>
        <v>Curaçao</v>
      </c>
      <c r="K57" s="3">
        <v>0</v>
      </c>
      <c r="L57" s="3" t="str">
        <f t="shared" si="41"/>
        <v>x</v>
      </c>
      <c r="M57" s="3">
        <v>2</v>
      </c>
      <c r="N57" s="3" t="str">
        <f t="shared" si="42"/>
        <v>Costa do Marfim</v>
      </c>
      <c r="O57" s="3" t="str">
        <f t="shared" si="43"/>
        <v>Costa do Marfim</v>
      </c>
      <c r="P57" s="3"/>
      <c r="Q57" s="3" t="b">
        <f t="shared" si="44"/>
        <v>1</v>
      </c>
      <c r="R57" s="3" t="b">
        <f t="shared" si="45"/>
        <v>0</v>
      </c>
      <c r="S57" s="3" t="b">
        <f t="shared" si="46"/>
        <v>0</v>
      </c>
      <c r="T57" s="3" t="b">
        <f t="shared" si="47"/>
        <v>0</v>
      </c>
      <c r="U57" s="3" t="b">
        <f t="shared" si="8"/>
        <v>0</v>
      </c>
      <c r="V57" s="3"/>
      <c r="W57" s="3" cm="1">
        <f t="array" ref="W57">IF(OR(J57="Brasil",N57="Brasil"),2*_xlfn.IFS(Q57=TRUE,6,R57=TRUE,4,AND(S57=TRUE,T57=FALSE),3,T57=TRUE,2,U57=TRUE,0),_xlfn.IFS(Q57=TRUE,6,R57=TRUE,4,AND(S57=TRUE,T57=FALSE),3,T57=TRUE,2,U57=TRUE,0))</f>
        <v>6</v>
      </c>
      <c r="X57" s="3"/>
      <c r="Y57" s="3"/>
    </row>
    <row r="58" spans="1:25" ht="14.25" customHeight="1" x14ac:dyDescent="0.3">
      <c r="A58" s="3">
        <f>'Tabela de Jogos'!A58</f>
        <v>56</v>
      </c>
      <c r="B58" s="3" t="str">
        <f>'Tabela de Jogos'!B58</f>
        <v>Equador</v>
      </c>
      <c r="C58" s="3">
        <f>'Tabela de Jogos'!C58</f>
        <v>2</v>
      </c>
      <c r="D58" s="3" t="str">
        <f>'Tabela de Jogos'!D58</f>
        <v>x</v>
      </c>
      <c r="E58" s="3">
        <f>'Tabela de Jogos'!E58</f>
        <v>1</v>
      </c>
      <c r="F58" s="3" t="str">
        <f>'Tabela de Jogos'!F58</f>
        <v>Alemanha</v>
      </c>
      <c r="G58" s="3" t="str">
        <f>'Tabela de Jogos'!G58</f>
        <v>Equador</v>
      </c>
      <c r="H58" s="3"/>
      <c r="I58" s="3">
        <f t="shared" ref="I58:J58" si="70">A58</f>
        <v>56</v>
      </c>
      <c r="J58" s="3" t="str">
        <f t="shared" si="70"/>
        <v>Equador</v>
      </c>
      <c r="K58" s="3">
        <v>1</v>
      </c>
      <c r="L58" s="3" t="str">
        <f t="shared" si="41"/>
        <v>x</v>
      </c>
      <c r="M58" s="3">
        <v>2</v>
      </c>
      <c r="N58" s="3" t="str">
        <f t="shared" si="42"/>
        <v>Alemanha</v>
      </c>
      <c r="O58" s="3" t="str">
        <f t="shared" si="43"/>
        <v>Alemanha</v>
      </c>
      <c r="P58" s="3"/>
      <c r="Q58" s="3" t="b">
        <f t="shared" si="44"/>
        <v>0</v>
      </c>
      <c r="R58" s="3" t="b">
        <f t="shared" si="45"/>
        <v>0</v>
      </c>
      <c r="S58" s="3" t="b">
        <f t="shared" si="46"/>
        <v>0</v>
      </c>
      <c r="T58" s="3" t="b">
        <f t="shared" si="47"/>
        <v>0</v>
      </c>
      <c r="U58" s="3" t="b">
        <f t="shared" si="8"/>
        <v>1</v>
      </c>
      <c r="V58" s="3"/>
      <c r="W58" s="3" cm="1">
        <f t="array" ref="W58">IF(OR(J58="Brasil",N58="Brasil"),2*_xlfn.IFS(Q58=TRUE,6,R58=TRUE,4,AND(S58=TRUE,T58=FALSE),3,T58=TRUE,2,U58=TRUE,0),_xlfn.IFS(Q58=TRUE,6,R58=TRUE,4,AND(S58=TRUE,T58=FALSE),3,T58=TRUE,2,U58=TRUE,0))</f>
        <v>0</v>
      </c>
      <c r="X58" s="3"/>
      <c r="Y58" s="3"/>
    </row>
    <row r="59" spans="1:25" ht="14.25" customHeight="1" x14ac:dyDescent="0.3">
      <c r="A59" s="3">
        <f>'Tabela de Jogos'!A59</f>
        <v>57</v>
      </c>
      <c r="B59" s="3" t="str">
        <f>'Tabela de Jogos'!B59</f>
        <v>Tunísia</v>
      </c>
      <c r="C59" s="3">
        <f>'Tabela de Jogos'!C59</f>
        <v>1</v>
      </c>
      <c r="D59" s="3" t="str">
        <f>'Tabela de Jogos'!D59</f>
        <v>x</v>
      </c>
      <c r="E59" s="3">
        <f>'Tabela de Jogos'!E59</f>
        <v>3</v>
      </c>
      <c r="F59" s="3" t="str">
        <f>'Tabela de Jogos'!F59</f>
        <v>Holanda</v>
      </c>
      <c r="G59" s="3" t="str">
        <f>'Tabela de Jogos'!G59</f>
        <v>Holanda</v>
      </c>
      <c r="H59" s="3"/>
      <c r="I59" s="3">
        <f t="shared" ref="I59:J59" si="71">A59</f>
        <v>57</v>
      </c>
      <c r="J59" s="3" t="str">
        <f t="shared" si="71"/>
        <v>Tunísia</v>
      </c>
      <c r="K59" s="3">
        <v>0</v>
      </c>
      <c r="L59" s="3" t="str">
        <f t="shared" si="41"/>
        <v>x</v>
      </c>
      <c r="M59" s="3">
        <v>4</v>
      </c>
      <c r="N59" s="3" t="str">
        <f t="shared" si="42"/>
        <v>Holanda</v>
      </c>
      <c r="O59" s="3" t="str">
        <f t="shared" si="43"/>
        <v>Holanda</v>
      </c>
      <c r="P59" s="3"/>
      <c r="Q59" s="3" t="b">
        <f t="shared" si="44"/>
        <v>0</v>
      </c>
      <c r="R59" s="3" t="b">
        <f t="shared" si="45"/>
        <v>0</v>
      </c>
      <c r="S59" s="3" t="b">
        <f t="shared" si="46"/>
        <v>0</v>
      </c>
      <c r="T59" s="3" t="b">
        <f t="shared" si="47"/>
        <v>1</v>
      </c>
      <c r="U59" s="3" t="b">
        <f t="shared" si="8"/>
        <v>0</v>
      </c>
      <c r="V59" s="3"/>
      <c r="W59" s="3" cm="1">
        <f t="array" ref="W59">IF(OR(J59="Brasil",N59="Brasil"),2*_xlfn.IFS(Q59=TRUE,6,R59=TRUE,4,AND(S59=TRUE,T59=FALSE),3,T59=TRUE,2,U59=TRUE,0),_xlfn.IFS(Q59=TRUE,6,R59=TRUE,4,AND(S59=TRUE,T59=FALSE),3,T59=TRUE,2,U59=TRUE,0))</f>
        <v>2</v>
      </c>
      <c r="X59" s="3"/>
      <c r="Y59" s="3"/>
    </row>
    <row r="60" spans="1:25" ht="14.25" customHeight="1" x14ac:dyDescent="0.3">
      <c r="A60" s="3">
        <f>'Tabela de Jogos'!A60</f>
        <v>58</v>
      </c>
      <c r="B60" s="3" t="str">
        <f>'Tabela de Jogos'!B60</f>
        <v>Japão</v>
      </c>
      <c r="C60" s="3">
        <f>'Tabela de Jogos'!C60</f>
        <v>1</v>
      </c>
      <c r="D60" s="3" t="str">
        <f>'Tabela de Jogos'!D60</f>
        <v>x</v>
      </c>
      <c r="E60" s="3">
        <f>'Tabela de Jogos'!E60</f>
        <v>1</v>
      </c>
      <c r="F60" s="3" t="str">
        <f>'Tabela de Jogos'!F60</f>
        <v>Suécia</v>
      </c>
      <c r="G60" s="3" t="str">
        <f>'Tabela de Jogos'!G60</f>
        <v>Empate</v>
      </c>
      <c r="H60" s="3"/>
      <c r="I60" s="3">
        <f t="shared" ref="I60:J60" si="72">A60</f>
        <v>58</v>
      </c>
      <c r="J60" s="3" t="str">
        <f t="shared" si="72"/>
        <v>Japão</v>
      </c>
      <c r="K60" s="3">
        <v>3</v>
      </c>
      <c r="L60" s="3" t="str">
        <f t="shared" si="41"/>
        <v>x</v>
      </c>
      <c r="M60" s="3">
        <v>1</v>
      </c>
      <c r="N60" s="3" t="str">
        <f t="shared" si="42"/>
        <v>Suécia</v>
      </c>
      <c r="O60" s="3" t="str">
        <f t="shared" si="43"/>
        <v>Japão</v>
      </c>
      <c r="P60" s="3"/>
      <c r="Q60" s="3" t="b">
        <f t="shared" si="44"/>
        <v>0</v>
      </c>
      <c r="R60" s="3" t="b">
        <f t="shared" si="45"/>
        <v>0</v>
      </c>
      <c r="S60" s="3" t="b">
        <f t="shared" si="46"/>
        <v>0</v>
      </c>
      <c r="T60" s="3" t="b">
        <f t="shared" si="47"/>
        <v>0</v>
      </c>
      <c r="U60" s="3" t="b">
        <f t="shared" si="8"/>
        <v>1</v>
      </c>
      <c r="V60" s="3"/>
      <c r="W60" s="3" cm="1">
        <f t="array" ref="W60">IF(OR(J60="Brasil",N60="Brasil"),2*_xlfn.IFS(Q60=TRUE,6,R60=TRUE,4,AND(S60=TRUE,T60=FALSE),3,T60=TRUE,2,U60=TRUE,0),_xlfn.IFS(Q60=TRUE,6,R60=TRUE,4,AND(S60=TRUE,T60=FALSE),3,T60=TRUE,2,U60=TRUE,0))</f>
        <v>0</v>
      </c>
      <c r="X60" s="3"/>
      <c r="Y60" s="3"/>
    </row>
    <row r="61" spans="1:25" ht="14.25" customHeight="1" x14ac:dyDescent="0.3">
      <c r="A61" s="3">
        <f>'Tabela de Jogos'!A61</f>
        <v>59</v>
      </c>
      <c r="B61" s="3" t="str">
        <f>'Tabela de Jogos'!B61</f>
        <v>Turquia</v>
      </c>
      <c r="C61" s="3">
        <f>'Tabela de Jogos'!C61</f>
        <v>0</v>
      </c>
      <c r="D61" s="3" t="str">
        <f>'Tabela de Jogos'!D61</f>
        <v>x</v>
      </c>
      <c r="E61" s="3">
        <f>'Tabela de Jogos'!E61</f>
        <v>0</v>
      </c>
      <c r="F61" s="3" t="str">
        <f>'Tabela de Jogos'!F61</f>
        <v>EUA</v>
      </c>
      <c r="G61" s="3" t="str">
        <f>'Tabela de Jogos'!G61</f>
        <v>-</v>
      </c>
      <c r="H61" s="3"/>
      <c r="I61" s="3">
        <f t="shared" ref="I61:J61" si="73">A61</f>
        <v>59</v>
      </c>
      <c r="J61" s="3" t="str">
        <f t="shared" si="73"/>
        <v>Turquia</v>
      </c>
      <c r="K61" s="3">
        <v>0</v>
      </c>
      <c r="L61" s="3" t="str">
        <f t="shared" si="41"/>
        <v>x</v>
      </c>
      <c r="M61" s="3">
        <v>3</v>
      </c>
      <c r="N61" s="3" t="str">
        <f t="shared" si="42"/>
        <v>EUA</v>
      </c>
      <c r="O61" s="3" t="str">
        <f t="shared" si="43"/>
        <v>EUA</v>
      </c>
      <c r="P61" s="3"/>
      <c r="Q61" s="3" t="b">
        <f t="shared" si="44"/>
        <v>0</v>
      </c>
      <c r="R61" s="3" t="b">
        <f t="shared" si="45"/>
        <v>0</v>
      </c>
      <c r="S61" s="3" t="b">
        <f t="shared" si="46"/>
        <v>0</v>
      </c>
      <c r="T61" s="3" t="b">
        <f t="shared" si="47"/>
        <v>0</v>
      </c>
      <c r="U61" s="3" t="b">
        <f t="shared" si="8"/>
        <v>1</v>
      </c>
      <c r="V61" s="3"/>
      <c r="W61" s="3" cm="1">
        <f t="array" ref="W61">IF(OR(J61="Brasil",N61="Brasil"),2*_xlfn.IFS(Q61=TRUE,6,R61=TRUE,4,AND(S61=TRUE,T61=FALSE),3,T61=TRUE,2,U61=TRUE,0),_xlfn.IFS(Q61=TRUE,6,R61=TRUE,4,AND(S61=TRUE,T61=FALSE),3,T61=TRUE,2,U61=TRUE,0))</f>
        <v>0</v>
      </c>
      <c r="X61" s="3"/>
      <c r="Y61" s="3"/>
    </row>
    <row r="62" spans="1:25" ht="14.25" customHeight="1" x14ac:dyDescent="0.3">
      <c r="A62" s="3">
        <f>'Tabela de Jogos'!A62</f>
        <v>60</v>
      </c>
      <c r="B62" s="3" t="str">
        <f>'Tabela de Jogos'!B62</f>
        <v>Paraguai</v>
      </c>
      <c r="C62" s="3">
        <f>'Tabela de Jogos'!C62</f>
        <v>0</v>
      </c>
      <c r="D62" s="3" t="str">
        <f>'Tabela de Jogos'!D62</f>
        <v>x</v>
      </c>
      <c r="E62" s="3">
        <f>'Tabela de Jogos'!E62</f>
        <v>0</v>
      </c>
      <c r="F62" s="3" t="str">
        <f>'Tabela de Jogos'!F62</f>
        <v>Austrália</v>
      </c>
      <c r="G62" s="3" t="str">
        <f>'Tabela de Jogos'!G62</f>
        <v>-</v>
      </c>
      <c r="H62" s="3"/>
      <c r="I62" s="3">
        <f t="shared" ref="I62:J62" si="74">A62</f>
        <v>60</v>
      </c>
      <c r="J62" s="3" t="str">
        <f t="shared" si="74"/>
        <v>Paraguai</v>
      </c>
      <c r="K62" s="3">
        <v>1</v>
      </c>
      <c r="L62" s="3" t="str">
        <f t="shared" si="41"/>
        <v>x</v>
      </c>
      <c r="M62" s="3">
        <v>0</v>
      </c>
      <c r="N62" s="3" t="str">
        <f t="shared" si="42"/>
        <v>Austrália</v>
      </c>
      <c r="O62" s="3" t="str">
        <f t="shared" si="43"/>
        <v>Paraguai</v>
      </c>
      <c r="P62" s="3"/>
      <c r="Q62" s="3" t="b">
        <f t="shared" si="44"/>
        <v>0</v>
      </c>
      <c r="R62" s="3" t="b">
        <f t="shared" si="45"/>
        <v>0</v>
      </c>
      <c r="S62" s="3" t="b">
        <f t="shared" si="46"/>
        <v>0</v>
      </c>
      <c r="T62" s="3" t="b">
        <f t="shared" si="47"/>
        <v>0</v>
      </c>
      <c r="U62" s="3" t="b">
        <f t="shared" si="8"/>
        <v>1</v>
      </c>
      <c r="V62" s="3"/>
      <c r="W62" s="3" cm="1">
        <f t="array" ref="W62">IF(OR(J62="Brasil",N62="Brasil"),2*_xlfn.IFS(Q62=TRUE,6,R62=TRUE,4,AND(S62=TRUE,T62=FALSE),3,T62=TRUE,2,U62=TRUE,0),_xlfn.IFS(Q62=TRUE,6,R62=TRUE,4,AND(S62=TRUE,T62=FALSE),3,T62=TRUE,2,U62=TRUE,0))</f>
        <v>0</v>
      </c>
      <c r="X62" s="3"/>
      <c r="Y62" s="3"/>
    </row>
    <row r="63" spans="1:25" ht="14.25" customHeight="1" x14ac:dyDescent="0.3">
      <c r="A63" s="3">
        <f>'Tabela de Jogos'!A63</f>
        <v>61</v>
      </c>
      <c r="B63" s="3" t="str">
        <f>'Tabela de Jogos'!B63</f>
        <v>Noruega</v>
      </c>
      <c r="C63" s="3">
        <f>'Tabela de Jogos'!C63</f>
        <v>0</v>
      </c>
      <c r="D63" s="3" t="str">
        <f>'Tabela de Jogos'!D63</f>
        <v>x</v>
      </c>
      <c r="E63" s="3">
        <f>'Tabela de Jogos'!E63</f>
        <v>0</v>
      </c>
      <c r="F63" s="3" t="str">
        <f>'Tabela de Jogos'!F63</f>
        <v>França</v>
      </c>
      <c r="G63" s="3" t="str">
        <f>'Tabela de Jogos'!G63</f>
        <v>-</v>
      </c>
      <c r="H63" s="3"/>
      <c r="I63" s="3">
        <f t="shared" ref="I63:J63" si="75">A63</f>
        <v>61</v>
      </c>
      <c r="J63" s="3" t="str">
        <f t="shared" si="75"/>
        <v>Noruega</v>
      </c>
      <c r="K63" s="3"/>
      <c r="L63" s="3" t="str">
        <f t="shared" si="41"/>
        <v>x</v>
      </c>
      <c r="M63" s="3"/>
      <c r="N63" s="3" t="str">
        <f t="shared" si="42"/>
        <v>França</v>
      </c>
      <c r="O63" s="3" t="str">
        <f t="shared" si="43"/>
        <v>-</v>
      </c>
      <c r="P63" s="3"/>
      <c r="Q63" s="3" t="b">
        <f t="shared" si="44"/>
        <v>0</v>
      </c>
      <c r="R63" s="3" t="b">
        <f t="shared" si="45"/>
        <v>0</v>
      </c>
      <c r="S63" s="3" t="b">
        <f t="shared" si="46"/>
        <v>0</v>
      </c>
      <c r="T63" s="3" t="b">
        <f t="shared" si="47"/>
        <v>0</v>
      </c>
      <c r="U63" s="3" t="b">
        <f t="shared" si="8"/>
        <v>1</v>
      </c>
      <c r="V63" s="3"/>
      <c r="W63" s="3" cm="1">
        <f t="array" ref="W63">IF(OR(J63="Brasil",N63="Brasil"),2*_xlfn.IFS(Q63=TRUE,6,R63=TRUE,4,AND(S63=TRUE,T63=FALSE),3,T63=TRUE,2,U63=TRUE,0),_xlfn.IFS(Q63=TRUE,6,R63=TRUE,4,AND(S63=TRUE,T63=FALSE),3,T63=TRUE,2,U63=TRUE,0))</f>
        <v>0</v>
      </c>
      <c r="X63" s="3"/>
      <c r="Y63" s="3"/>
    </row>
    <row r="64" spans="1:25" ht="14.25" customHeight="1" x14ac:dyDescent="0.3">
      <c r="A64" s="3">
        <f>'Tabela de Jogos'!A64</f>
        <v>62</v>
      </c>
      <c r="B64" s="3" t="str">
        <f>'Tabela de Jogos'!B64</f>
        <v>Senegal</v>
      </c>
      <c r="C64" s="3">
        <f>'Tabela de Jogos'!C64</f>
        <v>0</v>
      </c>
      <c r="D64" s="3" t="str">
        <f>'Tabela de Jogos'!D64</f>
        <v>x</v>
      </c>
      <c r="E64" s="3">
        <f>'Tabela de Jogos'!E64</f>
        <v>0</v>
      </c>
      <c r="F64" s="3" t="str">
        <f>'Tabela de Jogos'!F64</f>
        <v>Iraque</v>
      </c>
      <c r="G64" s="3" t="str">
        <f>'Tabela de Jogos'!G64</f>
        <v>-</v>
      </c>
      <c r="H64" s="3"/>
      <c r="I64" s="3">
        <f t="shared" ref="I64:J64" si="76">A64</f>
        <v>62</v>
      </c>
      <c r="J64" s="3" t="str">
        <f t="shared" si="76"/>
        <v>Senegal</v>
      </c>
      <c r="K64" s="3"/>
      <c r="L64" s="3" t="str">
        <f t="shared" si="41"/>
        <v>x</v>
      </c>
      <c r="M64" s="3"/>
      <c r="N64" s="3" t="str">
        <f t="shared" si="42"/>
        <v>Iraque</v>
      </c>
      <c r="O64" s="3" t="str">
        <f t="shared" si="43"/>
        <v>-</v>
      </c>
      <c r="P64" s="3"/>
      <c r="Q64" s="3" t="b">
        <f t="shared" si="44"/>
        <v>0</v>
      </c>
      <c r="R64" s="3" t="b">
        <f t="shared" si="45"/>
        <v>0</v>
      </c>
      <c r="S64" s="3" t="b">
        <f t="shared" si="46"/>
        <v>0</v>
      </c>
      <c r="T64" s="3" t="b">
        <f t="shared" si="47"/>
        <v>0</v>
      </c>
      <c r="U64" s="3" t="b">
        <f t="shared" si="8"/>
        <v>1</v>
      </c>
      <c r="V64" s="3"/>
      <c r="W64" s="3" cm="1">
        <f t="array" ref="W64">IF(OR(J64="Brasil",N64="Brasil"),2*_xlfn.IFS(Q64=TRUE,6,R64=TRUE,4,AND(S64=TRUE,T64=FALSE),3,T64=TRUE,2,U64=TRUE,0),_xlfn.IFS(Q64=TRUE,6,R64=TRUE,4,AND(S64=TRUE,T64=FALSE),3,T64=TRUE,2,U64=TRUE,0))</f>
        <v>0</v>
      </c>
      <c r="X64" s="3"/>
      <c r="Y64" s="3"/>
    </row>
    <row r="65" spans="1:25" ht="14.25" customHeight="1" x14ac:dyDescent="0.3">
      <c r="A65" s="3">
        <f>'Tabela de Jogos'!A65</f>
        <v>63</v>
      </c>
      <c r="B65" s="3" t="str">
        <f>'Tabela de Jogos'!B65</f>
        <v>Cabo Verde</v>
      </c>
      <c r="C65" s="3">
        <f>'Tabela de Jogos'!C65</f>
        <v>0</v>
      </c>
      <c r="D65" s="3" t="str">
        <f>'Tabela de Jogos'!D65</f>
        <v>x</v>
      </c>
      <c r="E65" s="3">
        <f>'Tabela de Jogos'!E65</f>
        <v>0</v>
      </c>
      <c r="F65" s="3" t="str">
        <f>'Tabela de Jogos'!F65</f>
        <v>Arábia Saudita</v>
      </c>
      <c r="G65" s="3" t="str">
        <f>'Tabela de Jogos'!G65</f>
        <v>-</v>
      </c>
      <c r="H65" s="3"/>
      <c r="I65" s="3">
        <f t="shared" ref="I65:J65" si="77">A65</f>
        <v>63</v>
      </c>
      <c r="J65" s="3" t="str">
        <f t="shared" si="77"/>
        <v>Cabo Verde</v>
      </c>
      <c r="K65" s="3"/>
      <c r="L65" s="3" t="str">
        <f t="shared" si="41"/>
        <v>x</v>
      </c>
      <c r="M65" s="3"/>
      <c r="N65" s="3" t="str">
        <f t="shared" si="42"/>
        <v>Arábia Saudita</v>
      </c>
      <c r="O65" s="3" t="str">
        <f t="shared" si="43"/>
        <v>-</v>
      </c>
      <c r="P65" s="3"/>
      <c r="Q65" s="3" t="b">
        <f t="shared" si="44"/>
        <v>0</v>
      </c>
      <c r="R65" s="3" t="b">
        <f t="shared" si="45"/>
        <v>0</v>
      </c>
      <c r="S65" s="3" t="b">
        <f t="shared" si="46"/>
        <v>0</v>
      </c>
      <c r="T65" s="3" t="b">
        <f t="shared" si="47"/>
        <v>0</v>
      </c>
      <c r="U65" s="3" t="b">
        <f t="shared" si="8"/>
        <v>1</v>
      </c>
      <c r="V65" s="3"/>
      <c r="W65" s="3" cm="1">
        <f t="array" ref="W65">IF(OR(J65="Brasil",N65="Brasil"),2*_xlfn.IFS(Q65=TRUE,6,R65=TRUE,4,AND(S65=TRUE,T65=FALSE),3,T65=TRUE,2,U65=TRUE,0),_xlfn.IFS(Q65=TRUE,6,R65=TRUE,4,AND(S65=TRUE,T65=FALSE),3,T65=TRUE,2,U65=TRUE,0))</f>
        <v>0</v>
      </c>
      <c r="X65" s="3"/>
      <c r="Y65" s="3"/>
    </row>
    <row r="66" spans="1:25" ht="14.25" customHeight="1" x14ac:dyDescent="0.3">
      <c r="A66" s="3">
        <f>'Tabela de Jogos'!A66</f>
        <v>64</v>
      </c>
      <c r="B66" s="3" t="str">
        <f>'Tabela de Jogos'!B66</f>
        <v>Uruguai</v>
      </c>
      <c r="C66" s="3">
        <f>'Tabela de Jogos'!C66</f>
        <v>0</v>
      </c>
      <c r="D66" s="3" t="str">
        <f>'Tabela de Jogos'!D66</f>
        <v>x</v>
      </c>
      <c r="E66" s="3">
        <f>'Tabela de Jogos'!E66</f>
        <v>0</v>
      </c>
      <c r="F66" s="3" t="str">
        <f>'Tabela de Jogos'!F66</f>
        <v>Espanha</v>
      </c>
      <c r="G66" s="3" t="str">
        <f>'Tabela de Jogos'!G66</f>
        <v>-</v>
      </c>
      <c r="H66" s="3"/>
      <c r="I66" s="3">
        <f t="shared" ref="I66:J66" si="78">A66</f>
        <v>64</v>
      </c>
      <c r="J66" s="3" t="str">
        <f t="shared" si="78"/>
        <v>Uruguai</v>
      </c>
      <c r="K66" s="3"/>
      <c r="L66" s="3" t="str">
        <f t="shared" si="41"/>
        <v>x</v>
      </c>
      <c r="M66" s="3"/>
      <c r="N66" s="3" t="str">
        <f t="shared" si="42"/>
        <v>Espanha</v>
      </c>
      <c r="O66" s="3" t="str">
        <f t="shared" si="43"/>
        <v>-</v>
      </c>
      <c r="P66" s="3"/>
      <c r="Q66" s="3" t="b">
        <f t="shared" si="44"/>
        <v>0</v>
      </c>
      <c r="R66" s="3" t="b">
        <f t="shared" si="45"/>
        <v>0</v>
      </c>
      <c r="S66" s="3" t="b">
        <f t="shared" si="46"/>
        <v>0</v>
      </c>
      <c r="T66" s="3" t="b">
        <f t="shared" si="47"/>
        <v>0</v>
      </c>
      <c r="U66" s="3" t="b">
        <f t="shared" si="8"/>
        <v>1</v>
      </c>
      <c r="V66" s="3"/>
      <c r="W66" s="3" cm="1">
        <f t="array" ref="W66">IF(OR(J66="Brasil",N66="Brasil"),2*_xlfn.IFS(Q66=TRUE,6,R66=TRUE,4,AND(S66=TRUE,T66=FALSE),3,T66=TRUE,2,U66=TRUE,0),_xlfn.IFS(Q66=TRUE,6,R66=TRUE,4,AND(S66=TRUE,T66=FALSE),3,T66=TRUE,2,U66=TRUE,0))</f>
        <v>0</v>
      </c>
      <c r="X66" s="3"/>
      <c r="Y66" s="3"/>
    </row>
    <row r="67" spans="1:25" ht="14.25" customHeight="1" x14ac:dyDescent="0.3">
      <c r="A67" s="3">
        <f>'Tabela de Jogos'!A67</f>
        <v>65</v>
      </c>
      <c r="B67" s="3" t="str">
        <f>'Tabela de Jogos'!B67</f>
        <v>Nova Zelândia</v>
      </c>
      <c r="C67" s="3">
        <f>'Tabela de Jogos'!C67</f>
        <v>0</v>
      </c>
      <c r="D67" s="3" t="str">
        <f>'Tabela de Jogos'!D67</f>
        <v>x</v>
      </c>
      <c r="E67" s="3">
        <f>'Tabela de Jogos'!E67</f>
        <v>0</v>
      </c>
      <c r="F67" s="3" t="str">
        <f>'Tabela de Jogos'!F67</f>
        <v>Bélgica</v>
      </c>
      <c r="G67" s="3" t="str">
        <f>'Tabela de Jogos'!G67</f>
        <v>-</v>
      </c>
      <c r="H67" s="3"/>
      <c r="I67" s="3">
        <f t="shared" ref="I67:J67" si="79">A67</f>
        <v>65</v>
      </c>
      <c r="J67" s="3" t="str">
        <f t="shared" si="79"/>
        <v>Nova Zelândia</v>
      </c>
      <c r="K67" s="3"/>
      <c r="L67" s="3" t="str">
        <f t="shared" ref="L67:L98" si="80">D67</f>
        <v>x</v>
      </c>
      <c r="M67" s="3"/>
      <c r="N67" s="3" t="str">
        <f t="shared" ref="N67:N98" si="81">F67</f>
        <v>Bélgica</v>
      </c>
      <c r="O67" s="3" t="str">
        <f t="shared" ref="O67:O98" si="82">IF(K67&gt;M67,J67,IF(M67&gt;K67,N67,IF(ISBLANK(K67),"-","Empate")))</f>
        <v>-</v>
      </c>
      <c r="P67" s="3"/>
      <c r="Q67" s="3" t="b">
        <f t="shared" ref="Q67:Q98" si="83">IF(AND(O67=G67,K67=C67,M67=E67,ISBLANK(K67)&lt;&gt;TRUE),TRUE,FALSE)</f>
        <v>0</v>
      </c>
      <c r="R67" s="3" t="b">
        <f t="shared" ref="R67:R98" si="84">IF(OR(AND(O67=G67,K67=C67,K67&gt;M67,M67&lt;&gt;E67,ISBLANK(K67)&lt;&gt;TRUE),AND(O67=G67,M67&gt;K67,K67&lt;&gt;C67,M67=E67,ISBLANK(K67)&lt;&gt;TRUE)),TRUE,FALSE)</f>
        <v>0</v>
      </c>
      <c r="S67" s="3" t="b">
        <f t="shared" ref="S67:S98" si="85">IF(AND(O67=G67,ABS(K67-M67)=ABS(C67-E67),OR(K67&lt;&gt;C67,M67&lt;&gt;E67),ISBLANK(K67)&lt;&gt;TRUE),TRUE,FALSE)</f>
        <v>0</v>
      </c>
      <c r="T67" s="3" t="b">
        <f t="shared" ref="T67:T98" si="86">IF(OR(AND(O67=G67,Q67=FALSE,R67=FALSE,S67=FALSE,G67&lt;&gt;"-"),AND(O67="Empate",S67=TRUE)),TRUE,FALSE)</f>
        <v>0</v>
      </c>
      <c r="U67" s="3" t="b">
        <f t="shared" si="8"/>
        <v>1</v>
      </c>
      <c r="V67" s="3"/>
      <c r="W67" s="3" cm="1">
        <f t="array" ref="W67">IF(OR(J67="Brasil",N67="Brasil"),2*_xlfn.IFS(Q67=TRUE,6,R67=TRUE,4,AND(S67=TRUE,T67=FALSE),3,T67=TRUE,2,U67=TRUE,0),_xlfn.IFS(Q67=TRUE,6,R67=TRUE,4,AND(S67=TRUE,T67=FALSE),3,T67=TRUE,2,U67=TRUE,0))</f>
        <v>0</v>
      </c>
      <c r="X67" s="3"/>
      <c r="Y67" s="3"/>
    </row>
    <row r="68" spans="1:25" ht="14.25" customHeight="1" x14ac:dyDescent="0.3">
      <c r="A68" s="3">
        <f>'Tabela de Jogos'!A68</f>
        <v>66</v>
      </c>
      <c r="B68" s="3" t="str">
        <f>'Tabela de Jogos'!B68</f>
        <v>Egito</v>
      </c>
      <c r="C68" s="3">
        <f>'Tabela de Jogos'!C68</f>
        <v>0</v>
      </c>
      <c r="D68" s="3" t="str">
        <f>'Tabela de Jogos'!D68</f>
        <v>x</v>
      </c>
      <c r="E68" s="3">
        <f>'Tabela de Jogos'!E68</f>
        <v>0</v>
      </c>
      <c r="F68" s="3" t="str">
        <f>'Tabela de Jogos'!F68</f>
        <v>Irã</v>
      </c>
      <c r="G68" s="3" t="str">
        <f>'Tabela de Jogos'!G68</f>
        <v>-</v>
      </c>
      <c r="H68" s="3"/>
      <c r="I68" s="3">
        <f t="shared" ref="I68:J68" si="87">A68</f>
        <v>66</v>
      </c>
      <c r="J68" s="3" t="str">
        <f t="shared" si="87"/>
        <v>Egito</v>
      </c>
      <c r="K68" s="3"/>
      <c r="L68" s="3" t="str">
        <f t="shared" si="80"/>
        <v>x</v>
      </c>
      <c r="M68" s="3"/>
      <c r="N68" s="3" t="str">
        <f t="shared" si="81"/>
        <v>Irã</v>
      </c>
      <c r="O68" s="3" t="str">
        <f t="shared" si="82"/>
        <v>-</v>
      </c>
      <c r="P68" s="3"/>
      <c r="Q68" s="3" t="b">
        <f t="shared" si="83"/>
        <v>0</v>
      </c>
      <c r="R68" s="3" t="b">
        <f t="shared" si="84"/>
        <v>0</v>
      </c>
      <c r="S68" s="3" t="b">
        <f t="shared" si="85"/>
        <v>0</v>
      </c>
      <c r="T68" s="3" t="b">
        <f t="shared" si="86"/>
        <v>0</v>
      </c>
      <c r="U68" s="3" t="b">
        <f t="shared" si="8"/>
        <v>1</v>
      </c>
      <c r="V68" s="3"/>
      <c r="W68" s="3" cm="1">
        <f t="array" ref="W68">IF(OR(J68="Brasil",N68="Brasil"),2*_xlfn.IFS(Q68=TRUE,6,R68=TRUE,4,AND(S68=TRUE,T68=FALSE),3,T68=TRUE,2,U68=TRUE,0),_xlfn.IFS(Q68=TRUE,6,R68=TRUE,4,AND(S68=TRUE,T68=FALSE),3,T68=TRUE,2,U68=TRUE,0))</f>
        <v>0</v>
      </c>
      <c r="X68" s="3"/>
      <c r="Y68" s="3"/>
    </row>
    <row r="69" spans="1:25" ht="14.25" customHeight="1" x14ac:dyDescent="0.3">
      <c r="A69" s="3">
        <f>'Tabela de Jogos'!A69</f>
        <v>67</v>
      </c>
      <c r="B69" s="3" t="str">
        <f>'Tabela de Jogos'!B69</f>
        <v>Panamá</v>
      </c>
      <c r="C69" s="3">
        <f>'Tabela de Jogos'!C69</f>
        <v>0</v>
      </c>
      <c r="D69" s="3" t="str">
        <f>'Tabela de Jogos'!D69</f>
        <v>x</v>
      </c>
      <c r="E69" s="3">
        <f>'Tabela de Jogos'!E69</f>
        <v>0</v>
      </c>
      <c r="F69" s="3" t="str">
        <f>'Tabela de Jogos'!F69</f>
        <v>Inglaterra</v>
      </c>
      <c r="G69" s="3" t="str">
        <f>'Tabela de Jogos'!G69</f>
        <v>-</v>
      </c>
      <c r="H69" s="3"/>
      <c r="I69" s="3">
        <f t="shared" ref="I69:J69" si="88">A69</f>
        <v>67</v>
      </c>
      <c r="J69" s="3" t="str">
        <f t="shared" si="88"/>
        <v>Panamá</v>
      </c>
      <c r="K69" s="3"/>
      <c r="L69" s="3" t="str">
        <f t="shared" si="80"/>
        <v>x</v>
      </c>
      <c r="M69" s="3"/>
      <c r="N69" s="3" t="str">
        <f t="shared" si="81"/>
        <v>Inglaterra</v>
      </c>
      <c r="O69" s="3" t="str">
        <f t="shared" si="82"/>
        <v>-</v>
      </c>
      <c r="P69" s="3"/>
      <c r="Q69" s="3" t="b">
        <f t="shared" si="83"/>
        <v>0</v>
      </c>
      <c r="R69" s="3" t="b">
        <f t="shared" si="84"/>
        <v>0</v>
      </c>
      <c r="S69" s="3" t="b">
        <f t="shared" si="85"/>
        <v>0</v>
      </c>
      <c r="T69" s="3" t="b">
        <f t="shared" si="86"/>
        <v>0</v>
      </c>
      <c r="U69" s="3" t="b">
        <f t="shared" si="8"/>
        <v>1</v>
      </c>
      <c r="V69" s="3"/>
      <c r="W69" s="3" cm="1">
        <f t="array" ref="W69">IF(OR(J69="Brasil",N69="Brasil"),2*_xlfn.IFS(Q69=TRUE,6,R69=TRUE,4,AND(S69=TRUE,T69=FALSE),3,T69=TRUE,2,U69=TRUE,0),_xlfn.IFS(Q69=TRUE,6,R69=TRUE,4,AND(S69=TRUE,T69=FALSE),3,T69=TRUE,2,U69=TRUE,0))</f>
        <v>0</v>
      </c>
      <c r="X69" s="3"/>
      <c r="Y69" s="3"/>
    </row>
    <row r="70" spans="1:25" ht="14.25" customHeight="1" x14ac:dyDescent="0.3">
      <c r="A70" s="3">
        <f>'Tabela de Jogos'!A70</f>
        <v>68</v>
      </c>
      <c r="B70" s="3" t="str">
        <f>'Tabela de Jogos'!B70</f>
        <v>Croácia</v>
      </c>
      <c r="C70" s="3">
        <f>'Tabela de Jogos'!C70</f>
        <v>0</v>
      </c>
      <c r="D70" s="3" t="str">
        <f>'Tabela de Jogos'!D70</f>
        <v>x</v>
      </c>
      <c r="E70" s="3">
        <f>'Tabela de Jogos'!E70</f>
        <v>0</v>
      </c>
      <c r="F70" s="3" t="str">
        <f>'Tabela de Jogos'!F70</f>
        <v>Gana</v>
      </c>
      <c r="G70" s="3" t="str">
        <f>'Tabela de Jogos'!G70</f>
        <v>-</v>
      </c>
      <c r="H70" s="3"/>
      <c r="I70" s="3">
        <f t="shared" ref="I70:J70" si="89">A70</f>
        <v>68</v>
      </c>
      <c r="J70" s="3" t="str">
        <f t="shared" si="89"/>
        <v>Croácia</v>
      </c>
      <c r="K70" s="3"/>
      <c r="L70" s="3" t="str">
        <f t="shared" si="80"/>
        <v>x</v>
      </c>
      <c r="M70" s="3"/>
      <c r="N70" s="3" t="str">
        <f t="shared" si="81"/>
        <v>Gana</v>
      </c>
      <c r="O70" s="3" t="str">
        <f t="shared" si="82"/>
        <v>-</v>
      </c>
      <c r="P70" s="3"/>
      <c r="Q70" s="3" t="b">
        <f t="shared" si="83"/>
        <v>0</v>
      </c>
      <c r="R70" s="3" t="b">
        <f t="shared" si="84"/>
        <v>0</v>
      </c>
      <c r="S70" s="3" t="b">
        <f t="shared" si="85"/>
        <v>0</v>
      </c>
      <c r="T70" s="3" t="b">
        <f t="shared" si="86"/>
        <v>0</v>
      </c>
      <c r="U70" s="3" t="b">
        <f t="shared" si="8"/>
        <v>1</v>
      </c>
      <c r="V70" s="3"/>
      <c r="W70" s="3" cm="1">
        <f t="array" ref="W70">IF(OR(J70="Brasil",N70="Brasil"),2*_xlfn.IFS(Q70=TRUE,6,R70=TRUE,4,AND(S70=TRUE,T70=FALSE),3,T70=TRUE,2,U70=TRUE,0),_xlfn.IFS(Q70=TRUE,6,R70=TRUE,4,AND(S70=TRUE,T70=FALSE),3,T70=TRUE,2,U70=TRUE,0))</f>
        <v>0</v>
      </c>
      <c r="X70" s="3"/>
      <c r="Y70" s="3"/>
    </row>
    <row r="71" spans="1:25" ht="14.25" customHeight="1" x14ac:dyDescent="0.3">
      <c r="A71" s="3">
        <f>'Tabela de Jogos'!A71</f>
        <v>69</v>
      </c>
      <c r="B71" s="3" t="str">
        <f>'Tabela de Jogos'!B71</f>
        <v>Colômbia</v>
      </c>
      <c r="C71" s="3">
        <f>'Tabela de Jogos'!C71</f>
        <v>0</v>
      </c>
      <c r="D71" s="3" t="str">
        <f>'Tabela de Jogos'!D71</f>
        <v>x</v>
      </c>
      <c r="E71" s="3">
        <f>'Tabela de Jogos'!E71</f>
        <v>0</v>
      </c>
      <c r="F71" s="3" t="str">
        <f>'Tabela de Jogos'!F71</f>
        <v>Portugal</v>
      </c>
      <c r="G71" s="3" t="str">
        <f>'Tabela de Jogos'!G71</f>
        <v>-</v>
      </c>
      <c r="H71" s="3"/>
      <c r="I71" s="3">
        <f t="shared" ref="I71:J71" si="90">A71</f>
        <v>69</v>
      </c>
      <c r="J71" s="3" t="str">
        <f t="shared" si="90"/>
        <v>Colômbia</v>
      </c>
      <c r="K71" s="3"/>
      <c r="L71" s="3" t="str">
        <f t="shared" si="80"/>
        <v>x</v>
      </c>
      <c r="M71" s="3"/>
      <c r="N71" s="3" t="str">
        <f t="shared" si="81"/>
        <v>Portugal</v>
      </c>
      <c r="O71" s="3" t="str">
        <f t="shared" si="82"/>
        <v>-</v>
      </c>
      <c r="P71" s="3"/>
      <c r="Q71" s="3" t="b">
        <f t="shared" si="83"/>
        <v>0</v>
      </c>
      <c r="R71" s="3" t="b">
        <f t="shared" si="84"/>
        <v>0</v>
      </c>
      <c r="S71" s="3" t="b">
        <f t="shared" si="85"/>
        <v>0</v>
      </c>
      <c r="T71" s="3" t="b">
        <f t="shared" si="86"/>
        <v>0</v>
      </c>
      <c r="U71" s="3" t="b">
        <f t="shared" si="8"/>
        <v>1</v>
      </c>
      <c r="V71" s="3"/>
      <c r="W71" s="3" cm="1">
        <f t="array" ref="W71">IF(OR(J71="Brasil",N71="Brasil"),2*_xlfn.IFS(Q71=TRUE,6,R71=TRUE,4,AND(S71=TRUE,T71=FALSE),3,T71=TRUE,2,U71=TRUE,0),_xlfn.IFS(Q71=TRUE,6,R71=TRUE,4,AND(S71=TRUE,T71=FALSE),3,T71=TRUE,2,U71=TRUE,0))</f>
        <v>0</v>
      </c>
      <c r="X71" s="3"/>
      <c r="Y71" s="3"/>
    </row>
    <row r="72" spans="1:25" ht="14.25" customHeight="1" x14ac:dyDescent="0.3">
      <c r="A72" s="3">
        <f>'Tabela de Jogos'!A72</f>
        <v>70</v>
      </c>
      <c r="B72" s="3" t="str">
        <f>'Tabela de Jogos'!B72</f>
        <v>RD Congo</v>
      </c>
      <c r="C72" s="3">
        <f>'Tabela de Jogos'!C72</f>
        <v>0</v>
      </c>
      <c r="D72" s="3" t="str">
        <f>'Tabela de Jogos'!D72</f>
        <v>x</v>
      </c>
      <c r="E72" s="3">
        <f>'Tabela de Jogos'!E72</f>
        <v>0</v>
      </c>
      <c r="F72" s="3" t="str">
        <f>'Tabela de Jogos'!F72</f>
        <v>Uzbequistão</v>
      </c>
      <c r="G72" s="3" t="str">
        <f>'Tabela de Jogos'!G72</f>
        <v>-</v>
      </c>
      <c r="H72" s="3"/>
      <c r="I72" s="3">
        <f t="shared" ref="I72:J72" si="91">A72</f>
        <v>70</v>
      </c>
      <c r="J72" s="3" t="str">
        <f t="shared" si="91"/>
        <v>RD Congo</v>
      </c>
      <c r="K72" s="3"/>
      <c r="L72" s="3" t="str">
        <f t="shared" si="80"/>
        <v>x</v>
      </c>
      <c r="M72" s="3"/>
      <c r="N72" s="3" t="str">
        <f t="shared" si="81"/>
        <v>Uzbequistão</v>
      </c>
      <c r="O72" s="3" t="str">
        <f t="shared" si="82"/>
        <v>-</v>
      </c>
      <c r="P72" s="3"/>
      <c r="Q72" s="3" t="b">
        <f t="shared" si="83"/>
        <v>0</v>
      </c>
      <c r="R72" s="3" t="b">
        <f t="shared" si="84"/>
        <v>0</v>
      </c>
      <c r="S72" s="3" t="b">
        <f t="shared" si="85"/>
        <v>0</v>
      </c>
      <c r="T72" s="3" t="b">
        <f t="shared" si="86"/>
        <v>0</v>
      </c>
      <c r="U72" s="3" t="b">
        <f t="shared" si="8"/>
        <v>1</v>
      </c>
      <c r="V72" s="3"/>
      <c r="W72" s="3" cm="1">
        <f t="array" ref="W72">IF(OR(J72="Brasil",N72="Brasil"),2*_xlfn.IFS(Q72=TRUE,6,R72=TRUE,4,AND(S72=TRUE,T72=FALSE),3,T72=TRUE,2,U72=TRUE,0),_xlfn.IFS(Q72=TRUE,6,R72=TRUE,4,AND(S72=TRUE,T72=FALSE),3,T72=TRUE,2,U72=TRUE,0))</f>
        <v>0</v>
      </c>
      <c r="X72" s="3"/>
      <c r="Y72" s="3"/>
    </row>
    <row r="73" spans="1:25" ht="14.25" customHeight="1" x14ac:dyDescent="0.3">
      <c r="A73" s="3">
        <f>'Tabela de Jogos'!A73</f>
        <v>71</v>
      </c>
      <c r="B73" s="3" t="str">
        <f>'Tabela de Jogos'!B73</f>
        <v>Argélia</v>
      </c>
      <c r="C73" s="3">
        <f>'Tabela de Jogos'!C73</f>
        <v>0</v>
      </c>
      <c r="D73" s="3" t="str">
        <f>'Tabela de Jogos'!D73</f>
        <v>x</v>
      </c>
      <c r="E73" s="3">
        <f>'Tabela de Jogos'!E73</f>
        <v>0</v>
      </c>
      <c r="F73" s="3" t="str">
        <f>'Tabela de Jogos'!F73</f>
        <v>Áustria</v>
      </c>
      <c r="G73" s="3" t="str">
        <f>'Tabela de Jogos'!G73</f>
        <v>-</v>
      </c>
      <c r="H73" s="3"/>
      <c r="I73" s="3">
        <f t="shared" ref="I73:J73" si="92">A73</f>
        <v>71</v>
      </c>
      <c r="J73" s="3" t="str">
        <f t="shared" si="92"/>
        <v>Argélia</v>
      </c>
      <c r="K73" s="3"/>
      <c r="L73" s="3" t="str">
        <f t="shared" si="80"/>
        <v>x</v>
      </c>
      <c r="M73" s="3"/>
      <c r="N73" s="3" t="str">
        <f t="shared" si="81"/>
        <v>Áustria</v>
      </c>
      <c r="O73" s="3" t="str">
        <f t="shared" si="82"/>
        <v>-</v>
      </c>
      <c r="P73" s="3"/>
      <c r="Q73" s="3" t="b">
        <f t="shared" si="83"/>
        <v>0</v>
      </c>
      <c r="R73" s="3" t="b">
        <f t="shared" si="84"/>
        <v>0</v>
      </c>
      <c r="S73" s="3" t="b">
        <f t="shared" si="85"/>
        <v>0</v>
      </c>
      <c r="T73" s="3" t="b">
        <f t="shared" si="86"/>
        <v>0</v>
      </c>
      <c r="U73" s="3" t="b">
        <f t="shared" si="8"/>
        <v>1</v>
      </c>
      <c r="V73" s="3"/>
      <c r="W73" s="3" cm="1">
        <f t="array" ref="W73">IF(OR(J73="Brasil",N73="Brasil"),2*_xlfn.IFS(Q73=TRUE,6,R73=TRUE,4,AND(S73=TRUE,T73=FALSE),3,T73=TRUE,2,U73=TRUE,0),_xlfn.IFS(Q73=TRUE,6,R73=TRUE,4,AND(S73=TRUE,T73=FALSE),3,T73=TRUE,2,U73=TRUE,0))</f>
        <v>0</v>
      </c>
      <c r="X73" s="3"/>
      <c r="Y73" s="3"/>
    </row>
    <row r="74" spans="1:25" ht="14.25" customHeight="1" x14ac:dyDescent="0.3">
      <c r="A74" s="3">
        <f>'Tabela de Jogos'!A74</f>
        <v>72</v>
      </c>
      <c r="B74" s="3" t="str">
        <f>'Tabela de Jogos'!B74</f>
        <v>Jordânia</v>
      </c>
      <c r="C74" s="3">
        <f>'Tabela de Jogos'!C74</f>
        <v>0</v>
      </c>
      <c r="D74" s="3" t="str">
        <f>'Tabela de Jogos'!D74</f>
        <v>x</v>
      </c>
      <c r="E74" s="3">
        <f>'Tabela de Jogos'!E74</f>
        <v>0</v>
      </c>
      <c r="F74" s="3" t="str">
        <f>'Tabela de Jogos'!F74</f>
        <v>Argentina</v>
      </c>
      <c r="G74" s="3" t="str">
        <f>'Tabela de Jogos'!G74</f>
        <v>-</v>
      </c>
      <c r="H74" s="3"/>
      <c r="I74" s="3">
        <f t="shared" ref="I74:J74" si="93">A74</f>
        <v>72</v>
      </c>
      <c r="J74" s="3" t="str">
        <f t="shared" si="93"/>
        <v>Jordânia</v>
      </c>
      <c r="K74" s="3"/>
      <c r="L74" s="3" t="str">
        <f t="shared" si="80"/>
        <v>x</v>
      </c>
      <c r="M74" s="3"/>
      <c r="N74" s="3" t="str">
        <f t="shared" si="81"/>
        <v>Argentina</v>
      </c>
      <c r="O74" s="3" t="str">
        <f t="shared" si="82"/>
        <v>-</v>
      </c>
      <c r="P74" s="3"/>
      <c r="Q74" s="3" t="b">
        <f t="shared" si="83"/>
        <v>0</v>
      </c>
      <c r="R74" s="3" t="b">
        <f t="shared" si="84"/>
        <v>0</v>
      </c>
      <c r="S74" s="3" t="b">
        <f t="shared" si="85"/>
        <v>0</v>
      </c>
      <c r="T74" s="3" t="b">
        <f t="shared" si="86"/>
        <v>0</v>
      </c>
      <c r="U74" s="3" t="b">
        <f t="shared" si="8"/>
        <v>1</v>
      </c>
      <c r="V74" s="3"/>
      <c r="W74" s="3" cm="1">
        <f t="array" ref="W74">IF(OR(J74="Brasil",N74="Brasil"),2*_xlfn.IFS(Q74=TRUE,6,R74=TRUE,4,AND(S74=TRUE,T74=FALSE),3,T74=TRUE,2,U74=TRUE,0),_xlfn.IFS(Q74=TRUE,6,R74=TRUE,4,AND(S74=TRUE,T74=FALSE),3,T74=TRUE,2,U74=TRUE,0))</f>
        <v>0</v>
      </c>
      <c r="X74" s="3"/>
      <c r="Y74" s="3"/>
    </row>
    <row r="75" spans="1:25" ht="14.25" customHeight="1" x14ac:dyDescent="0.3">
      <c r="A75" s="3">
        <f>'Tabela de Jogos'!A75</f>
        <v>73</v>
      </c>
      <c r="B75" s="3">
        <f>'Tabela de Jogos'!B75</f>
        <v>0</v>
      </c>
      <c r="C75" s="3">
        <f>'Tabela de Jogos'!C75</f>
        <v>0</v>
      </c>
      <c r="D75" s="3" t="str">
        <f>'Tabela de Jogos'!D75</f>
        <v>x</v>
      </c>
      <c r="E75" s="3">
        <f>'Tabela de Jogos'!E75</f>
        <v>0</v>
      </c>
      <c r="F75" s="3">
        <f>'Tabela de Jogos'!F75</f>
        <v>0</v>
      </c>
      <c r="G75" s="3" t="str">
        <f>'Tabela de Jogos'!G75</f>
        <v>-</v>
      </c>
      <c r="H75" s="3"/>
      <c r="I75" s="3">
        <f t="shared" ref="I75:J75" si="94">A75</f>
        <v>73</v>
      </c>
      <c r="J75" s="3">
        <f t="shared" si="94"/>
        <v>0</v>
      </c>
      <c r="K75" s="3"/>
      <c r="L75" s="3" t="str">
        <f t="shared" si="80"/>
        <v>x</v>
      </c>
      <c r="M75" s="3"/>
      <c r="N75" s="3">
        <f t="shared" si="81"/>
        <v>0</v>
      </c>
      <c r="O75" s="3" t="str">
        <f t="shared" si="82"/>
        <v>-</v>
      </c>
      <c r="P75" s="3"/>
      <c r="Q75" s="3" t="b">
        <f t="shared" si="83"/>
        <v>0</v>
      </c>
      <c r="R75" s="3" t="b">
        <f t="shared" si="84"/>
        <v>0</v>
      </c>
      <c r="S75" s="3" t="b">
        <f t="shared" si="85"/>
        <v>0</v>
      </c>
      <c r="T75" s="3" t="b">
        <f t="shared" si="86"/>
        <v>0</v>
      </c>
      <c r="U75" s="3" t="b">
        <f t="shared" si="8"/>
        <v>1</v>
      </c>
      <c r="V75" s="3"/>
      <c r="W75" s="3" cm="1">
        <f t="array" ref="W75">IF(OR(J75="Brasil",N75="Brasil"),2*_xlfn.IFS(Q75=TRUE,6,R75=TRUE,4,AND(S75=TRUE,T75=FALSE),3,T75=TRUE,2,U75=TRUE,0),_xlfn.IFS(Q75=TRUE,6,R75=TRUE,4,AND(S75=TRUE,T75=FALSE),3,T75=TRUE,2,U75=TRUE,0))</f>
        <v>0</v>
      </c>
      <c r="X75" s="3"/>
      <c r="Y75" s="3"/>
    </row>
    <row r="76" spans="1:25" ht="14.25" customHeight="1" x14ac:dyDescent="0.3">
      <c r="A76" s="3">
        <f>'Tabela de Jogos'!A76</f>
        <v>74</v>
      </c>
      <c r="B76" s="3">
        <f>'Tabela de Jogos'!B76</f>
        <v>0</v>
      </c>
      <c r="C76" s="3">
        <f>'Tabela de Jogos'!C76</f>
        <v>0</v>
      </c>
      <c r="D76" s="3" t="str">
        <f>'Tabela de Jogos'!D76</f>
        <v>x</v>
      </c>
      <c r="E76" s="3">
        <f>'Tabela de Jogos'!E76</f>
        <v>0</v>
      </c>
      <c r="F76" s="3">
        <f>'Tabela de Jogos'!F76</f>
        <v>0</v>
      </c>
      <c r="G76" s="3" t="str">
        <f>'Tabela de Jogos'!G76</f>
        <v>-</v>
      </c>
      <c r="H76" s="3"/>
      <c r="I76" s="3">
        <f t="shared" ref="I76:J76" si="95">A76</f>
        <v>74</v>
      </c>
      <c r="J76" s="3">
        <f t="shared" si="95"/>
        <v>0</v>
      </c>
      <c r="K76" s="3"/>
      <c r="L76" s="3" t="str">
        <f t="shared" si="80"/>
        <v>x</v>
      </c>
      <c r="M76" s="3"/>
      <c r="N76" s="3">
        <f t="shared" si="81"/>
        <v>0</v>
      </c>
      <c r="O76" s="3" t="str">
        <f t="shared" si="82"/>
        <v>-</v>
      </c>
      <c r="P76" s="3"/>
      <c r="Q76" s="3" t="b">
        <f t="shared" si="83"/>
        <v>0</v>
      </c>
      <c r="R76" s="3" t="b">
        <f t="shared" si="84"/>
        <v>0</v>
      </c>
      <c r="S76" s="3" t="b">
        <f t="shared" si="85"/>
        <v>0</v>
      </c>
      <c r="T76" s="3" t="b">
        <f t="shared" si="86"/>
        <v>0</v>
      </c>
      <c r="U76" s="3" t="b">
        <f t="shared" si="8"/>
        <v>1</v>
      </c>
      <c r="V76" s="3"/>
      <c r="W76" s="3" cm="1">
        <f t="array" ref="W76">IF(OR(J76="Brasil",N76="Brasil"),2*_xlfn.IFS(Q76=TRUE,6,R76=TRUE,4,AND(S76=TRUE,T76=FALSE),3,T76=TRUE,2,U76=TRUE,0),_xlfn.IFS(Q76=TRUE,6,R76=TRUE,4,AND(S76=TRUE,T76=FALSE),3,T76=TRUE,2,U76=TRUE,0))</f>
        <v>0</v>
      </c>
      <c r="X76" s="3"/>
      <c r="Y76" s="3"/>
    </row>
    <row r="77" spans="1:25" ht="14.25" customHeight="1" x14ac:dyDescent="0.3">
      <c r="A77" s="3">
        <f>'Tabela de Jogos'!A77</f>
        <v>75</v>
      </c>
      <c r="B77" s="3">
        <f>'Tabela de Jogos'!B77</f>
        <v>0</v>
      </c>
      <c r="C77" s="3">
        <f>'Tabela de Jogos'!C77</f>
        <v>0</v>
      </c>
      <c r="D77" s="3" t="str">
        <f>'Tabela de Jogos'!D77</f>
        <v>x</v>
      </c>
      <c r="E77" s="3">
        <f>'Tabela de Jogos'!E77</f>
        <v>0</v>
      </c>
      <c r="F77" s="3">
        <f>'Tabela de Jogos'!F77</f>
        <v>0</v>
      </c>
      <c r="G77" s="3" t="str">
        <f>'Tabela de Jogos'!G77</f>
        <v>-</v>
      </c>
      <c r="H77" s="3"/>
      <c r="I77" s="3">
        <f t="shared" ref="I77:J77" si="96">A77</f>
        <v>75</v>
      </c>
      <c r="J77" s="3">
        <f t="shared" si="96"/>
        <v>0</v>
      </c>
      <c r="K77" s="3"/>
      <c r="L77" s="3" t="str">
        <f t="shared" si="80"/>
        <v>x</v>
      </c>
      <c r="M77" s="3"/>
      <c r="N77" s="3">
        <f t="shared" si="81"/>
        <v>0</v>
      </c>
      <c r="O77" s="3" t="str">
        <f t="shared" si="82"/>
        <v>-</v>
      </c>
      <c r="P77" s="3"/>
      <c r="Q77" s="3" t="b">
        <f t="shared" si="83"/>
        <v>0</v>
      </c>
      <c r="R77" s="3" t="b">
        <f t="shared" si="84"/>
        <v>0</v>
      </c>
      <c r="S77" s="3" t="b">
        <f t="shared" si="85"/>
        <v>0</v>
      </c>
      <c r="T77" s="3" t="b">
        <f t="shared" si="86"/>
        <v>0</v>
      </c>
      <c r="U77" s="3" t="b">
        <f t="shared" si="8"/>
        <v>1</v>
      </c>
      <c r="V77" s="3"/>
      <c r="W77" s="3" cm="1">
        <f t="array" ref="W77">IF(OR(J77="Brasil",N77="Brasil"),2*_xlfn.IFS(Q77=TRUE,6,R77=TRUE,4,AND(S77=TRUE,T77=FALSE),3,T77=TRUE,2,U77=TRUE,0),_xlfn.IFS(Q77=TRUE,6,R77=TRUE,4,AND(S77=TRUE,T77=FALSE),3,T77=TRUE,2,U77=TRUE,0))</f>
        <v>0</v>
      </c>
      <c r="X77" s="3"/>
      <c r="Y77" s="3"/>
    </row>
    <row r="78" spans="1:25" ht="14.25" customHeight="1" x14ac:dyDescent="0.3">
      <c r="A78" s="3">
        <f>'Tabela de Jogos'!A78</f>
        <v>76</v>
      </c>
      <c r="B78" s="3">
        <f>'Tabela de Jogos'!B78</f>
        <v>0</v>
      </c>
      <c r="C78" s="3">
        <f>'Tabela de Jogos'!C78</f>
        <v>0</v>
      </c>
      <c r="D78" s="3" t="str">
        <f>'Tabela de Jogos'!D78</f>
        <v>x</v>
      </c>
      <c r="E78" s="3">
        <f>'Tabela de Jogos'!E78</f>
        <v>0</v>
      </c>
      <c r="F78" s="3">
        <f>'Tabela de Jogos'!F78</f>
        <v>0</v>
      </c>
      <c r="G78" s="3" t="str">
        <f>'Tabela de Jogos'!G78</f>
        <v>-</v>
      </c>
      <c r="H78" s="3"/>
      <c r="I78" s="3">
        <f t="shared" ref="I78:J78" si="97">A78</f>
        <v>76</v>
      </c>
      <c r="J78" s="3">
        <f t="shared" si="97"/>
        <v>0</v>
      </c>
      <c r="K78" s="3"/>
      <c r="L78" s="3" t="str">
        <f t="shared" si="80"/>
        <v>x</v>
      </c>
      <c r="M78" s="3"/>
      <c r="N78" s="3">
        <f t="shared" si="81"/>
        <v>0</v>
      </c>
      <c r="O78" s="3" t="str">
        <f t="shared" si="82"/>
        <v>-</v>
      </c>
      <c r="P78" s="3"/>
      <c r="Q78" s="3" t="b">
        <f t="shared" si="83"/>
        <v>0</v>
      </c>
      <c r="R78" s="3" t="b">
        <f t="shared" si="84"/>
        <v>0</v>
      </c>
      <c r="S78" s="3" t="b">
        <f t="shared" si="85"/>
        <v>0</v>
      </c>
      <c r="T78" s="3" t="b">
        <f t="shared" si="86"/>
        <v>0</v>
      </c>
      <c r="U78" s="3" t="b">
        <f t="shared" si="8"/>
        <v>1</v>
      </c>
      <c r="V78" s="3"/>
      <c r="W78" s="3" cm="1">
        <f t="array" ref="W78">IF(OR(J78="Brasil",N78="Brasil"),2*_xlfn.IFS(Q78=TRUE,6,R78=TRUE,4,AND(S78=TRUE,T78=FALSE),3,T78=TRUE,2,U78=TRUE,0),_xlfn.IFS(Q78=TRUE,6,R78=TRUE,4,AND(S78=TRUE,T78=FALSE),3,T78=TRUE,2,U78=TRUE,0))</f>
        <v>0</v>
      </c>
      <c r="X78" s="3"/>
      <c r="Y78" s="3"/>
    </row>
    <row r="79" spans="1:25" ht="14.25" customHeight="1" x14ac:dyDescent="0.3">
      <c r="A79" s="3">
        <f>'Tabela de Jogos'!A79</f>
        <v>77</v>
      </c>
      <c r="B79" s="3">
        <f>'Tabela de Jogos'!B79</f>
        <v>0</v>
      </c>
      <c r="C79" s="3">
        <f>'Tabela de Jogos'!C79</f>
        <v>0</v>
      </c>
      <c r="D79" s="3" t="str">
        <f>'Tabela de Jogos'!D79</f>
        <v>x</v>
      </c>
      <c r="E79" s="3">
        <f>'Tabela de Jogos'!E79</f>
        <v>0</v>
      </c>
      <c r="F79" s="3">
        <f>'Tabela de Jogos'!F79</f>
        <v>0</v>
      </c>
      <c r="G79" s="3" t="str">
        <f>'Tabela de Jogos'!G79</f>
        <v>-</v>
      </c>
      <c r="H79" s="3"/>
      <c r="I79" s="3">
        <f t="shared" ref="I79:J79" si="98">A79</f>
        <v>77</v>
      </c>
      <c r="J79" s="3">
        <f t="shared" si="98"/>
        <v>0</v>
      </c>
      <c r="K79" s="3"/>
      <c r="L79" s="3" t="str">
        <f t="shared" si="80"/>
        <v>x</v>
      </c>
      <c r="M79" s="3"/>
      <c r="N79" s="3">
        <f t="shared" si="81"/>
        <v>0</v>
      </c>
      <c r="O79" s="3" t="str">
        <f t="shared" si="82"/>
        <v>-</v>
      </c>
      <c r="P79" s="3"/>
      <c r="Q79" s="3" t="b">
        <f t="shared" si="83"/>
        <v>0</v>
      </c>
      <c r="R79" s="3" t="b">
        <f t="shared" si="84"/>
        <v>0</v>
      </c>
      <c r="S79" s="3" t="b">
        <f t="shared" si="85"/>
        <v>0</v>
      </c>
      <c r="T79" s="3" t="b">
        <f t="shared" si="86"/>
        <v>0</v>
      </c>
      <c r="U79" s="3" t="b">
        <f t="shared" si="8"/>
        <v>1</v>
      </c>
      <c r="V79" s="3"/>
      <c r="W79" s="3" cm="1">
        <f t="array" ref="W79">IF(OR(J79="Brasil",N79="Brasil"),2*_xlfn.IFS(Q79=TRUE,6,R79=TRUE,4,AND(S79=TRUE,T79=FALSE),3,T79=TRUE,2,U79=TRUE,0),_xlfn.IFS(Q79=TRUE,6,R79=TRUE,4,AND(S79=TRUE,T79=FALSE),3,T79=TRUE,2,U79=TRUE,0))</f>
        <v>0</v>
      </c>
      <c r="X79" s="3"/>
      <c r="Y79" s="3"/>
    </row>
    <row r="80" spans="1:25" ht="14.25" customHeight="1" x14ac:dyDescent="0.3">
      <c r="A80" s="3">
        <f>'Tabela de Jogos'!A80</f>
        <v>78</v>
      </c>
      <c r="B80" s="3">
        <f>'Tabela de Jogos'!B80</f>
        <v>0</v>
      </c>
      <c r="C80" s="3">
        <f>'Tabela de Jogos'!C80</f>
        <v>0</v>
      </c>
      <c r="D80" s="3" t="str">
        <f>'Tabela de Jogos'!D80</f>
        <v>x</v>
      </c>
      <c r="E80" s="3">
        <f>'Tabela de Jogos'!E80</f>
        <v>0</v>
      </c>
      <c r="F80" s="3">
        <f>'Tabela de Jogos'!F80</f>
        <v>0</v>
      </c>
      <c r="G80" s="3" t="str">
        <f>'Tabela de Jogos'!G80</f>
        <v>-</v>
      </c>
      <c r="H80" s="3"/>
      <c r="I80" s="3">
        <f t="shared" ref="I80:J80" si="99">A80</f>
        <v>78</v>
      </c>
      <c r="J80" s="3">
        <f t="shared" si="99"/>
        <v>0</v>
      </c>
      <c r="K80" s="3"/>
      <c r="L80" s="3" t="str">
        <f t="shared" si="80"/>
        <v>x</v>
      </c>
      <c r="M80" s="3"/>
      <c r="N80" s="3">
        <f t="shared" si="81"/>
        <v>0</v>
      </c>
      <c r="O80" s="3" t="str">
        <f t="shared" si="82"/>
        <v>-</v>
      </c>
      <c r="P80" s="3"/>
      <c r="Q80" s="3" t="b">
        <f t="shared" si="83"/>
        <v>0</v>
      </c>
      <c r="R80" s="3" t="b">
        <f t="shared" si="84"/>
        <v>0</v>
      </c>
      <c r="S80" s="3" t="b">
        <f t="shared" si="85"/>
        <v>0</v>
      </c>
      <c r="T80" s="3" t="b">
        <f t="shared" si="86"/>
        <v>0</v>
      </c>
      <c r="U80" s="3" t="b">
        <f t="shared" si="8"/>
        <v>1</v>
      </c>
      <c r="V80" s="3"/>
      <c r="W80" s="3" cm="1">
        <f t="array" ref="W80">IF(OR(J80="Brasil",N80="Brasil"),2*_xlfn.IFS(Q80=TRUE,6,R80=TRUE,4,AND(S80=TRUE,T80=FALSE),3,T80=TRUE,2,U80=TRUE,0),_xlfn.IFS(Q80=TRUE,6,R80=TRUE,4,AND(S80=TRUE,T80=FALSE),3,T80=TRUE,2,U80=TRUE,0))</f>
        <v>0</v>
      </c>
      <c r="X80" s="3"/>
      <c r="Y80" s="3"/>
    </row>
    <row r="81" spans="1:25" ht="14.25" customHeight="1" x14ac:dyDescent="0.3">
      <c r="A81" s="3">
        <f>'Tabela de Jogos'!A81</f>
        <v>79</v>
      </c>
      <c r="B81" s="3">
        <f>'Tabela de Jogos'!B81</f>
        <v>0</v>
      </c>
      <c r="C81" s="3">
        <f>'Tabela de Jogos'!C81</f>
        <v>0</v>
      </c>
      <c r="D81" s="3" t="str">
        <f>'Tabela de Jogos'!D81</f>
        <v>x</v>
      </c>
      <c r="E81" s="3">
        <f>'Tabela de Jogos'!E81</f>
        <v>0</v>
      </c>
      <c r="F81" s="3">
        <f>'Tabela de Jogos'!F81</f>
        <v>0</v>
      </c>
      <c r="G81" s="3" t="str">
        <f>'Tabela de Jogos'!G81</f>
        <v>-</v>
      </c>
      <c r="H81" s="3"/>
      <c r="I81" s="3">
        <f t="shared" ref="I81:J81" si="100">A81</f>
        <v>79</v>
      </c>
      <c r="J81" s="3">
        <f t="shared" si="100"/>
        <v>0</v>
      </c>
      <c r="K81" s="3"/>
      <c r="L81" s="3" t="str">
        <f t="shared" si="80"/>
        <v>x</v>
      </c>
      <c r="M81" s="3"/>
      <c r="N81" s="3">
        <f t="shared" si="81"/>
        <v>0</v>
      </c>
      <c r="O81" s="3" t="str">
        <f t="shared" si="82"/>
        <v>-</v>
      </c>
      <c r="P81" s="3"/>
      <c r="Q81" s="3" t="b">
        <f t="shared" si="83"/>
        <v>0</v>
      </c>
      <c r="R81" s="3" t="b">
        <f t="shared" si="84"/>
        <v>0</v>
      </c>
      <c r="S81" s="3" t="b">
        <f t="shared" si="85"/>
        <v>0</v>
      </c>
      <c r="T81" s="3" t="b">
        <f t="shared" si="86"/>
        <v>0</v>
      </c>
      <c r="U81" s="3" t="b">
        <f t="shared" si="8"/>
        <v>1</v>
      </c>
      <c r="V81" s="3"/>
      <c r="W81" s="3" cm="1">
        <f t="array" ref="W81">IF(OR(J81="Brasil",N81="Brasil"),2*_xlfn.IFS(Q81=TRUE,6,R81=TRUE,4,AND(S81=TRUE,T81=FALSE),3,T81=TRUE,2,U81=TRUE,0),_xlfn.IFS(Q81=TRUE,6,R81=TRUE,4,AND(S81=TRUE,T81=FALSE),3,T81=TRUE,2,U81=TRUE,0))</f>
        <v>0</v>
      </c>
      <c r="X81" s="3"/>
      <c r="Y81" s="3"/>
    </row>
    <row r="82" spans="1:25" ht="14.25" customHeight="1" x14ac:dyDescent="0.3">
      <c r="A82" s="3">
        <f>'Tabela de Jogos'!A82</f>
        <v>80</v>
      </c>
      <c r="B82" s="3">
        <f>'Tabela de Jogos'!B82</f>
        <v>0</v>
      </c>
      <c r="C82" s="3">
        <f>'Tabela de Jogos'!C82</f>
        <v>0</v>
      </c>
      <c r="D82" s="3" t="str">
        <f>'Tabela de Jogos'!D82</f>
        <v>x</v>
      </c>
      <c r="E82" s="3">
        <f>'Tabela de Jogos'!E82</f>
        <v>0</v>
      </c>
      <c r="F82" s="3">
        <f>'Tabela de Jogos'!F82</f>
        <v>0</v>
      </c>
      <c r="G82" s="3" t="str">
        <f>'Tabela de Jogos'!G82</f>
        <v>-</v>
      </c>
      <c r="H82" s="3"/>
      <c r="I82" s="3">
        <f t="shared" ref="I82:J82" si="101">A82</f>
        <v>80</v>
      </c>
      <c r="J82" s="3">
        <f t="shared" si="101"/>
        <v>0</v>
      </c>
      <c r="K82" s="3"/>
      <c r="L82" s="3" t="str">
        <f t="shared" si="80"/>
        <v>x</v>
      </c>
      <c r="M82" s="3"/>
      <c r="N82" s="3">
        <f t="shared" si="81"/>
        <v>0</v>
      </c>
      <c r="O82" s="3" t="str">
        <f t="shared" si="82"/>
        <v>-</v>
      </c>
      <c r="P82" s="3"/>
      <c r="Q82" s="3" t="b">
        <f t="shared" si="83"/>
        <v>0</v>
      </c>
      <c r="R82" s="3" t="b">
        <f t="shared" si="84"/>
        <v>0</v>
      </c>
      <c r="S82" s="3" t="b">
        <f t="shared" si="85"/>
        <v>0</v>
      </c>
      <c r="T82" s="3" t="b">
        <f t="shared" si="86"/>
        <v>0</v>
      </c>
      <c r="U82" s="3" t="b">
        <f t="shared" si="8"/>
        <v>1</v>
      </c>
      <c r="V82" s="3"/>
      <c r="W82" s="3" cm="1">
        <f t="array" ref="W82">IF(OR(J82="Brasil",N82="Brasil"),2*_xlfn.IFS(Q82=TRUE,6,R82=TRUE,4,AND(S82=TRUE,T82=FALSE),3,T82=TRUE,2,U82=TRUE,0),_xlfn.IFS(Q82=TRUE,6,R82=TRUE,4,AND(S82=TRUE,T82=FALSE),3,T82=TRUE,2,U82=TRUE,0))</f>
        <v>0</v>
      </c>
      <c r="X82" s="3"/>
      <c r="Y82" s="3"/>
    </row>
    <row r="83" spans="1:25" ht="14.25" customHeight="1" x14ac:dyDescent="0.3">
      <c r="A83" s="3">
        <f>'Tabela de Jogos'!A83</f>
        <v>81</v>
      </c>
      <c r="B83" s="3">
        <f>'Tabela de Jogos'!B83</f>
        <v>0</v>
      </c>
      <c r="C83" s="3">
        <f>'Tabela de Jogos'!C83</f>
        <v>0</v>
      </c>
      <c r="D83" s="3" t="str">
        <f>'Tabela de Jogos'!D83</f>
        <v>x</v>
      </c>
      <c r="E83" s="3">
        <f>'Tabela de Jogos'!E83</f>
        <v>0</v>
      </c>
      <c r="F83" s="3">
        <f>'Tabela de Jogos'!F83</f>
        <v>0</v>
      </c>
      <c r="G83" s="3" t="str">
        <f>'Tabela de Jogos'!G83</f>
        <v>-</v>
      </c>
      <c r="H83" s="3"/>
      <c r="I83" s="3">
        <f t="shared" ref="I83:J83" si="102">A83</f>
        <v>81</v>
      </c>
      <c r="J83" s="3">
        <f t="shared" si="102"/>
        <v>0</v>
      </c>
      <c r="K83" s="3"/>
      <c r="L83" s="3" t="str">
        <f t="shared" si="80"/>
        <v>x</v>
      </c>
      <c r="M83" s="3"/>
      <c r="N83" s="3">
        <f t="shared" si="81"/>
        <v>0</v>
      </c>
      <c r="O83" s="3" t="str">
        <f t="shared" si="82"/>
        <v>-</v>
      </c>
      <c r="P83" s="3"/>
      <c r="Q83" s="3" t="b">
        <f t="shared" si="83"/>
        <v>0</v>
      </c>
      <c r="R83" s="3" t="b">
        <f t="shared" si="84"/>
        <v>0</v>
      </c>
      <c r="S83" s="3" t="b">
        <f t="shared" si="85"/>
        <v>0</v>
      </c>
      <c r="T83" s="3" t="b">
        <f t="shared" si="86"/>
        <v>0</v>
      </c>
      <c r="U83" s="3" t="b">
        <f t="shared" si="8"/>
        <v>1</v>
      </c>
      <c r="V83" s="3"/>
      <c r="W83" s="3" cm="1">
        <f t="array" ref="W83">IF(OR(J83="Brasil",N83="Brasil"),2*_xlfn.IFS(Q83=TRUE,6,R83=TRUE,4,AND(S83=TRUE,T83=FALSE),3,T83=TRUE,2,U83=TRUE,0),_xlfn.IFS(Q83=TRUE,6,R83=TRUE,4,AND(S83=TRUE,T83=FALSE),3,T83=TRUE,2,U83=TRUE,0))</f>
        <v>0</v>
      </c>
      <c r="X83" s="3"/>
      <c r="Y83" s="3"/>
    </row>
    <row r="84" spans="1:25" ht="14.25" customHeight="1" x14ac:dyDescent="0.3">
      <c r="A84" s="3">
        <f>'Tabela de Jogos'!A84</f>
        <v>82</v>
      </c>
      <c r="B84" s="3">
        <f>'Tabela de Jogos'!B84</f>
        <v>0</v>
      </c>
      <c r="C84" s="3">
        <f>'Tabela de Jogos'!C84</f>
        <v>0</v>
      </c>
      <c r="D84" s="3" t="str">
        <f>'Tabela de Jogos'!D84</f>
        <v>x</v>
      </c>
      <c r="E84" s="3">
        <f>'Tabela de Jogos'!E84</f>
        <v>0</v>
      </c>
      <c r="F84" s="3">
        <f>'Tabela de Jogos'!F84</f>
        <v>0</v>
      </c>
      <c r="G84" s="3" t="str">
        <f>'Tabela de Jogos'!G84</f>
        <v>-</v>
      </c>
      <c r="H84" s="3"/>
      <c r="I84" s="3">
        <f t="shared" ref="I84:J84" si="103">A84</f>
        <v>82</v>
      </c>
      <c r="J84" s="3">
        <f t="shared" si="103"/>
        <v>0</v>
      </c>
      <c r="K84" s="3"/>
      <c r="L84" s="3" t="str">
        <f t="shared" si="80"/>
        <v>x</v>
      </c>
      <c r="M84" s="3"/>
      <c r="N84" s="3">
        <f t="shared" si="81"/>
        <v>0</v>
      </c>
      <c r="O84" s="3" t="str">
        <f t="shared" si="82"/>
        <v>-</v>
      </c>
      <c r="P84" s="3"/>
      <c r="Q84" s="3" t="b">
        <f t="shared" si="83"/>
        <v>0</v>
      </c>
      <c r="R84" s="3" t="b">
        <f t="shared" si="84"/>
        <v>0</v>
      </c>
      <c r="S84" s="3" t="b">
        <f t="shared" si="85"/>
        <v>0</v>
      </c>
      <c r="T84" s="3" t="b">
        <f t="shared" si="86"/>
        <v>0</v>
      </c>
      <c r="U84" s="3" t="b">
        <f t="shared" si="8"/>
        <v>1</v>
      </c>
      <c r="V84" s="3"/>
      <c r="W84" s="3" cm="1">
        <f t="array" ref="W84">IF(OR(J84="Brasil",N84="Brasil"),2*_xlfn.IFS(Q84=TRUE,6,R84=TRUE,4,AND(S84=TRUE,T84=FALSE),3,T84=TRUE,2,U84=TRUE,0),_xlfn.IFS(Q84=TRUE,6,R84=TRUE,4,AND(S84=TRUE,T84=FALSE),3,T84=TRUE,2,U84=TRUE,0))</f>
        <v>0</v>
      </c>
      <c r="X84" s="3"/>
      <c r="Y84" s="3"/>
    </row>
    <row r="85" spans="1:25" ht="14.25" customHeight="1" x14ac:dyDescent="0.3">
      <c r="A85" s="3">
        <f>'Tabela de Jogos'!A85</f>
        <v>83</v>
      </c>
      <c r="B85" s="3">
        <f>'Tabela de Jogos'!B85</f>
        <v>0</v>
      </c>
      <c r="C85" s="3">
        <f>'Tabela de Jogos'!C85</f>
        <v>0</v>
      </c>
      <c r="D85" s="3" t="str">
        <f>'Tabela de Jogos'!D85</f>
        <v>x</v>
      </c>
      <c r="E85" s="3">
        <f>'Tabela de Jogos'!E85</f>
        <v>0</v>
      </c>
      <c r="F85" s="3">
        <f>'Tabela de Jogos'!F85</f>
        <v>0</v>
      </c>
      <c r="G85" s="3" t="str">
        <f>'Tabela de Jogos'!G85</f>
        <v>-</v>
      </c>
      <c r="H85" s="3"/>
      <c r="I85" s="3">
        <f t="shared" ref="I85:J85" si="104">A85</f>
        <v>83</v>
      </c>
      <c r="J85" s="3">
        <f t="shared" si="104"/>
        <v>0</v>
      </c>
      <c r="K85" s="3"/>
      <c r="L85" s="3" t="str">
        <f t="shared" si="80"/>
        <v>x</v>
      </c>
      <c r="M85" s="3"/>
      <c r="N85" s="3">
        <f t="shared" si="81"/>
        <v>0</v>
      </c>
      <c r="O85" s="3" t="str">
        <f t="shared" si="82"/>
        <v>-</v>
      </c>
      <c r="P85" s="3"/>
      <c r="Q85" s="3" t="b">
        <f t="shared" si="83"/>
        <v>0</v>
      </c>
      <c r="R85" s="3" t="b">
        <f t="shared" si="84"/>
        <v>0</v>
      </c>
      <c r="S85" s="3" t="b">
        <f t="shared" si="85"/>
        <v>0</v>
      </c>
      <c r="T85" s="3" t="b">
        <f t="shared" si="86"/>
        <v>0</v>
      </c>
      <c r="U85" s="3" t="b">
        <f t="shared" si="8"/>
        <v>1</v>
      </c>
      <c r="V85" s="3"/>
      <c r="W85" s="3" cm="1">
        <f t="array" ref="W85">IF(OR(J85="Brasil",N85="Brasil"),2*_xlfn.IFS(Q85=TRUE,6,R85=TRUE,4,AND(S85=TRUE,T85=FALSE),3,T85=TRUE,2,U85=TRUE,0),_xlfn.IFS(Q85=TRUE,6,R85=TRUE,4,AND(S85=TRUE,T85=FALSE),3,T85=TRUE,2,U85=TRUE,0))</f>
        <v>0</v>
      </c>
      <c r="X85" s="3"/>
      <c r="Y85" s="3"/>
    </row>
    <row r="86" spans="1:25" ht="14.25" customHeight="1" x14ac:dyDescent="0.3">
      <c r="A86" s="3">
        <f>'Tabela de Jogos'!A86</f>
        <v>84</v>
      </c>
      <c r="B86" s="3">
        <f>'Tabela de Jogos'!B86</f>
        <v>0</v>
      </c>
      <c r="C86" s="3">
        <f>'Tabela de Jogos'!C86</f>
        <v>0</v>
      </c>
      <c r="D86" s="3" t="str">
        <f>'Tabela de Jogos'!D86</f>
        <v>x</v>
      </c>
      <c r="E86" s="3">
        <f>'Tabela de Jogos'!E86</f>
        <v>0</v>
      </c>
      <c r="F86" s="3">
        <f>'Tabela de Jogos'!F86</f>
        <v>0</v>
      </c>
      <c r="G86" s="3" t="str">
        <f>'Tabela de Jogos'!G86</f>
        <v>-</v>
      </c>
      <c r="H86" s="3"/>
      <c r="I86" s="3">
        <f t="shared" ref="I86:J86" si="105">A86</f>
        <v>84</v>
      </c>
      <c r="J86" s="3">
        <f t="shared" si="105"/>
        <v>0</v>
      </c>
      <c r="K86" s="3"/>
      <c r="L86" s="3" t="str">
        <f t="shared" si="80"/>
        <v>x</v>
      </c>
      <c r="M86" s="3"/>
      <c r="N86" s="3">
        <f t="shared" si="81"/>
        <v>0</v>
      </c>
      <c r="O86" s="3" t="str">
        <f t="shared" si="82"/>
        <v>-</v>
      </c>
      <c r="P86" s="3"/>
      <c r="Q86" s="3" t="b">
        <f t="shared" si="83"/>
        <v>0</v>
      </c>
      <c r="R86" s="3" t="b">
        <f t="shared" si="84"/>
        <v>0</v>
      </c>
      <c r="S86" s="3" t="b">
        <f t="shared" si="85"/>
        <v>0</v>
      </c>
      <c r="T86" s="3" t="b">
        <f t="shared" si="86"/>
        <v>0</v>
      </c>
      <c r="U86" s="3" t="b">
        <f t="shared" si="8"/>
        <v>1</v>
      </c>
      <c r="V86" s="3"/>
      <c r="W86" s="3" cm="1">
        <f t="array" ref="W86">IF(OR(J86="Brasil",N86="Brasil"),2*_xlfn.IFS(Q86=TRUE,6,R86=TRUE,4,AND(S86=TRUE,T86=FALSE),3,T86=TRUE,2,U86=TRUE,0),_xlfn.IFS(Q86=TRUE,6,R86=TRUE,4,AND(S86=TRUE,T86=FALSE),3,T86=TRUE,2,U86=TRUE,0))</f>
        <v>0</v>
      </c>
      <c r="X86" s="3"/>
      <c r="Y86" s="3"/>
    </row>
    <row r="87" spans="1:25" ht="14.25" customHeight="1" x14ac:dyDescent="0.3">
      <c r="A87" s="3">
        <f>'Tabela de Jogos'!A87</f>
        <v>85</v>
      </c>
      <c r="B87" s="3">
        <f>'Tabela de Jogos'!B87</f>
        <v>0</v>
      </c>
      <c r="C87" s="3">
        <f>'Tabela de Jogos'!C87</f>
        <v>0</v>
      </c>
      <c r="D87" s="3" t="str">
        <f>'Tabela de Jogos'!D87</f>
        <v>x</v>
      </c>
      <c r="E87" s="3">
        <f>'Tabela de Jogos'!E87</f>
        <v>0</v>
      </c>
      <c r="F87" s="3">
        <f>'Tabela de Jogos'!F87</f>
        <v>0</v>
      </c>
      <c r="G87" s="3" t="str">
        <f>'Tabela de Jogos'!G87</f>
        <v>-</v>
      </c>
      <c r="H87" s="3"/>
      <c r="I87" s="3">
        <f t="shared" ref="I87:J87" si="106">A87</f>
        <v>85</v>
      </c>
      <c r="J87" s="3">
        <f t="shared" si="106"/>
        <v>0</v>
      </c>
      <c r="K87" s="3"/>
      <c r="L87" s="3" t="str">
        <f t="shared" si="80"/>
        <v>x</v>
      </c>
      <c r="M87" s="3"/>
      <c r="N87" s="3">
        <f t="shared" si="81"/>
        <v>0</v>
      </c>
      <c r="O87" s="3" t="str">
        <f t="shared" si="82"/>
        <v>-</v>
      </c>
      <c r="P87" s="3"/>
      <c r="Q87" s="3" t="b">
        <f t="shared" si="83"/>
        <v>0</v>
      </c>
      <c r="R87" s="3" t="b">
        <f t="shared" si="84"/>
        <v>0</v>
      </c>
      <c r="S87" s="3" t="b">
        <f t="shared" si="85"/>
        <v>0</v>
      </c>
      <c r="T87" s="3" t="b">
        <f t="shared" si="86"/>
        <v>0</v>
      </c>
      <c r="U87" s="3" t="b">
        <f t="shared" si="8"/>
        <v>1</v>
      </c>
      <c r="V87" s="3"/>
      <c r="W87" s="3" cm="1">
        <f t="array" ref="W87">IF(OR(J87="Brasil",N87="Brasil"),2*_xlfn.IFS(Q87=TRUE,6,R87=TRUE,4,AND(S87=TRUE,T87=FALSE),3,T87=TRUE,2,U87=TRUE,0),_xlfn.IFS(Q87=TRUE,6,R87=TRUE,4,AND(S87=TRUE,T87=FALSE),3,T87=TRUE,2,U87=TRUE,0))</f>
        <v>0</v>
      </c>
      <c r="X87" s="3"/>
      <c r="Y87" s="3"/>
    </row>
    <row r="88" spans="1:25" ht="14.25" customHeight="1" x14ac:dyDescent="0.3">
      <c r="A88" s="3">
        <f>'Tabela de Jogos'!A88</f>
        <v>86</v>
      </c>
      <c r="B88" s="3">
        <f>'Tabela de Jogos'!B88</f>
        <v>0</v>
      </c>
      <c r="C88" s="3">
        <f>'Tabela de Jogos'!C88</f>
        <v>0</v>
      </c>
      <c r="D88" s="3" t="str">
        <f>'Tabela de Jogos'!D88</f>
        <v>x</v>
      </c>
      <c r="E88" s="3">
        <f>'Tabela de Jogos'!E88</f>
        <v>0</v>
      </c>
      <c r="F88" s="3">
        <f>'Tabela de Jogos'!F88</f>
        <v>0</v>
      </c>
      <c r="G88" s="3" t="str">
        <f>'Tabela de Jogos'!G88</f>
        <v>-</v>
      </c>
      <c r="H88" s="3"/>
      <c r="I88" s="3">
        <f t="shared" ref="I88:J88" si="107">A88</f>
        <v>86</v>
      </c>
      <c r="J88" s="3">
        <f t="shared" si="107"/>
        <v>0</v>
      </c>
      <c r="K88" s="3"/>
      <c r="L88" s="3" t="str">
        <f t="shared" si="80"/>
        <v>x</v>
      </c>
      <c r="M88" s="3"/>
      <c r="N88" s="3">
        <f t="shared" si="81"/>
        <v>0</v>
      </c>
      <c r="O88" s="3" t="str">
        <f t="shared" si="82"/>
        <v>-</v>
      </c>
      <c r="P88" s="3"/>
      <c r="Q88" s="3" t="b">
        <f t="shared" si="83"/>
        <v>0</v>
      </c>
      <c r="R88" s="3" t="b">
        <f t="shared" si="84"/>
        <v>0</v>
      </c>
      <c r="S88" s="3" t="b">
        <f t="shared" si="85"/>
        <v>0</v>
      </c>
      <c r="T88" s="3" t="b">
        <f t="shared" si="86"/>
        <v>0</v>
      </c>
      <c r="U88" s="3" t="b">
        <f t="shared" si="8"/>
        <v>1</v>
      </c>
      <c r="V88" s="3"/>
      <c r="W88" s="3" cm="1">
        <f t="array" ref="W88">IF(OR(J88="Brasil",N88="Brasil"),2*_xlfn.IFS(Q88=TRUE,6,R88=TRUE,4,AND(S88=TRUE,T88=FALSE),3,T88=TRUE,2,U88=TRUE,0),_xlfn.IFS(Q88=TRUE,6,R88=TRUE,4,AND(S88=TRUE,T88=FALSE),3,T88=TRUE,2,U88=TRUE,0))</f>
        <v>0</v>
      </c>
      <c r="X88" s="3"/>
      <c r="Y88" s="3"/>
    </row>
    <row r="89" spans="1:25" ht="14.25" customHeight="1" x14ac:dyDescent="0.3">
      <c r="A89" s="3">
        <f>'Tabela de Jogos'!A89</f>
        <v>87</v>
      </c>
      <c r="B89" s="3">
        <f>'Tabela de Jogos'!B89</f>
        <v>0</v>
      </c>
      <c r="C89" s="3">
        <f>'Tabela de Jogos'!C89</f>
        <v>0</v>
      </c>
      <c r="D89" s="3" t="str">
        <f>'Tabela de Jogos'!D89</f>
        <v>x</v>
      </c>
      <c r="E89" s="3">
        <f>'Tabela de Jogos'!E89</f>
        <v>0</v>
      </c>
      <c r="F89" s="3">
        <f>'Tabela de Jogos'!F89</f>
        <v>0</v>
      </c>
      <c r="G89" s="3" t="str">
        <f>'Tabela de Jogos'!G89</f>
        <v>-</v>
      </c>
      <c r="H89" s="3"/>
      <c r="I89" s="3">
        <f t="shared" ref="I89:J89" si="108">A89</f>
        <v>87</v>
      </c>
      <c r="J89" s="3">
        <f t="shared" si="108"/>
        <v>0</v>
      </c>
      <c r="K89" s="3"/>
      <c r="L89" s="3" t="str">
        <f t="shared" si="80"/>
        <v>x</v>
      </c>
      <c r="M89" s="3"/>
      <c r="N89" s="3">
        <f t="shared" si="81"/>
        <v>0</v>
      </c>
      <c r="O89" s="3" t="str">
        <f t="shared" si="82"/>
        <v>-</v>
      </c>
      <c r="P89" s="3"/>
      <c r="Q89" s="3" t="b">
        <f t="shared" si="83"/>
        <v>0</v>
      </c>
      <c r="R89" s="3" t="b">
        <f t="shared" si="84"/>
        <v>0</v>
      </c>
      <c r="S89" s="3" t="b">
        <f t="shared" si="85"/>
        <v>0</v>
      </c>
      <c r="T89" s="3" t="b">
        <f t="shared" si="86"/>
        <v>0</v>
      </c>
      <c r="U89" s="3" t="b">
        <f t="shared" si="8"/>
        <v>1</v>
      </c>
      <c r="V89" s="3"/>
      <c r="W89" s="3" cm="1">
        <f t="array" ref="W89">IF(OR(J89="Brasil",N89="Brasil"),2*_xlfn.IFS(Q89=TRUE,6,R89=TRUE,4,AND(S89=TRUE,T89=FALSE),3,T89=TRUE,2,U89=TRUE,0),_xlfn.IFS(Q89=TRUE,6,R89=TRUE,4,AND(S89=TRUE,T89=FALSE),3,T89=TRUE,2,U89=TRUE,0))</f>
        <v>0</v>
      </c>
      <c r="X89" s="3"/>
      <c r="Y89" s="3"/>
    </row>
    <row r="90" spans="1:25" ht="14.25" customHeight="1" x14ac:dyDescent="0.3">
      <c r="A90" s="3">
        <f>'Tabela de Jogos'!A90</f>
        <v>88</v>
      </c>
      <c r="B90" s="3">
        <f>'Tabela de Jogos'!B90</f>
        <v>0</v>
      </c>
      <c r="C90" s="3">
        <f>'Tabela de Jogos'!C90</f>
        <v>0</v>
      </c>
      <c r="D90" s="3" t="str">
        <f>'Tabela de Jogos'!D90</f>
        <v>x</v>
      </c>
      <c r="E90" s="3">
        <f>'Tabela de Jogos'!E90</f>
        <v>0</v>
      </c>
      <c r="F90" s="3">
        <f>'Tabela de Jogos'!F90</f>
        <v>0</v>
      </c>
      <c r="G90" s="3" t="str">
        <f>'Tabela de Jogos'!G90</f>
        <v>-</v>
      </c>
      <c r="H90" s="3"/>
      <c r="I90" s="3">
        <f t="shared" ref="I90:J90" si="109">A90</f>
        <v>88</v>
      </c>
      <c r="J90" s="3">
        <f t="shared" si="109"/>
        <v>0</v>
      </c>
      <c r="K90" s="3"/>
      <c r="L90" s="3" t="str">
        <f t="shared" si="80"/>
        <v>x</v>
      </c>
      <c r="M90" s="3"/>
      <c r="N90" s="3">
        <f t="shared" si="81"/>
        <v>0</v>
      </c>
      <c r="O90" s="3" t="str">
        <f t="shared" si="82"/>
        <v>-</v>
      </c>
      <c r="P90" s="3"/>
      <c r="Q90" s="3" t="b">
        <f t="shared" si="83"/>
        <v>0</v>
      </c>
      <c r="R90" s="3" t="b">
        <f t="shared" si="84"/>
        <v>0</v>
      </c>
      <c r="S90" s="3" t="b">
        <f t="shared" si="85"/>
        <v>0</v>
      </c>
      <c r="T90" s="3" t="b">
        <f t="shared" si="86"/>
        <v>0</v>
      </c>
      <c r="U90" s="3" t="b">
        <f t="shared" si="8"/>
        <v>1</v>
      </c>
      <c r="V90" s="3"/>
      <c r="W90" s="3" cm="1">
        <f t="array" ref="W90">IF(OR(J90="Brasil",N90="Brasil"),2*_xlfn.IFS(Q90=TRUE,6,R90=TRUE,4,AND(S90=TRUE,T90=FALSE),3,T90=TRUE,2,U90=TRUE,0),_xlfn.IFS(Q90=TRUE,6,R90=TRUE,4,AND(S90=TRUE,T90=FALSE),3,T90=TRUE,2,U90=TRUE,0))</f>
        <v>0</v>
      </c>
      <c r="X90" s="3"/>
      <c r="Y90" s="3"/>
    </row>
    <row r="91" spans="1:25" ht="14.25" customHeight="1" x14ac:dyDescent="0.3">
      <c r="A91" s="3">
        <f>'Tabela de Jogos'!A91</f>
        <v>89</v>
      </c>
      <c r="B91" s="3">
        <f>'Tabela de Jogos'!B91</f>
        <v>0</v>
      </c>
      <c r="C91" s="3">
        <f>'Tabela de Jogos'!C91</f>
        <v>0</v>
      </c>
      <c r="D91" s="3" t="str">
        <f>'Tabela de Jogos'!D91</f>
        <v>x</v>
      </c>
      <c r="E91" s="3">
        <f>'Tabela de Jogos'!E91</f>
        <v>0</v>
      </c>
      <c r="F91" s="3">
        <f>'Tabela de Jogos'!F91</f>
        <v>0</v>
      </c>
      <c r="G91" s="3" t="str">
        <f>'Tabela de Jogos'!G91</f>
        <v>-</v>
      </c>
      <c r="H91" s="3"/>
      <c r="I91" s="3">
        <f t="shared" ref="I91:J91" si="110">A91</f>
        <v>89</v>
      </c>
      <c r="J91" s="3">
        <f t="shared" si="110"/>
        <v>0</v>
      </c>
      <c r="K91" s="3"/>
      <c r="L91" s="3" t="str">
        <f t="shared" si="80"/>
        <v>x</v>
      </c>
      <c r="M91" s="3"/>
      <c r="N91" s="3">
        <f t="shared" si="81"/>
        <v>0</v>
      </c>
      <c r="O91" s="3" t="str">
        <f t="shared" si="82"/>
        <v>-</v>
      </c>
      <c r="P91" s="3"/>
      <c r="Q91" s="3" t="b">
        <f t="shared" si="83"/>
        <v>0</v>
      </c>
      <c r="R91" s="3" t="b">
        <f t="shared" si="84"/>
        <v>0</v>
      </c>
      <c r="S91" s="3" t="b">
        <f t="shared" si="85"/>
        <v>0</v>
      </c>
      <c r="T91" s="3" t="b">
        <f t="shared" si="86"/>
        <v>0</v>
      </c>
      <c r="U91" s="3" t="b">
        <f t="shared" si="8"/>
        <v>1</v>
      </c>
      <c r="V91" s="3"/>
      <c r="W91" s="3" cm="1">
        <f t="array" ref="W91">IF(OR(J91="Brasil",N91="Brasil"),2*_xlfn.IFS(Q91=TRUE,6,R91=TRUE,4,AND(S91=TRUE,T91=FALSE),3,T91=TRUE,2,U91=TRUE,0),_xlfn.IFS(Q91=TRUE,6,R91=TRUE,4,AND(S91=TRUE,T91=FALSE),3,T91=TRUE,2,U91=TRUE,0))</f>
        <v>0</v>
      </c>
      <c r="X91" s="3"/>
      <c r="Y91" s="3"/>
    </row>
    <row r="92" spans="1:25" ht="14.25" customHeight="1" x14ac:dyDescent="0.3">
      <c r="A92" s="3">
        <f>'Tabela de Jogos'!A92</f>
        <v>90</v>
      </c>
      <c r="B92" s="3">
        <f>'Tabela de Jogos'!B92</f>
        <v>0</v>
      </c>
      <c r="C92" s="3">
        <f>'Tabela de Jogos'!C92</f>
        <v>0</v>
      </c>
      <c r="D92" s="3" t="str">
        <f>'Tabela de Jogos'!D92</f>
        <v>x</v>
      </c>
      <c r="E92" s="3">
        <f>'Tabela de Jogos'!E92</f>
        <v>0</v>
      </c>
      <c r="F92" s="3">
        <f>'Tabela de Jogos'!F92</f>
        <v>0</v>
      </c>
      <c r="G92" s="3" t="str">
        <f>'Tabela de Jogos'!G92</f>
        <v>-</v>
      </c>
      <c r="H92" s="3"/>
      <c r="I92" s="3">
        <f t="shared" ref="I92:J92" si="111">A92</f>
        <v>90</v>
      </c>
      <c r="J92" s="3">
        <f t="shared" si="111"/>
        <v>0</v>
      </c>
      <c r="K92" s="3"/>
      <c r="L92" s="3" t="str">
        <f t="shared" si="80"/>
        <v>x</v>
      </c>
      <c r="M92" s="3"/>
      <c r="N92" s="3">
        <f t="shared" si="81"/>
        <v>0</v>
      </c>
      <c r="O92" s="3" t="str">
        <f t="shared" si="82"/>
        <v>-</v>
      </c>
      <c r="P92" s="3"/>
      <c r="Q92" s="3" t="b">
        <f t="shared" si="83"/>
        <v>0</v>
      </c>
      <c r="R92" s="3" t="b">
        <f t="shared" si="84"/>
        <v>0</v>
      </c>
      <c r="S92" s="3" t="b">
        <f t="shared" si="85"/>
        <v>0</v>
      </c>
      <c r="T92" s="3" t="b">
        <f t="shared" si="86"/>
        <v>0</v>
      </c>
      <c r="U92" s="3" t="b">
        <f t="shared" si="8"/>
        <v>1</v>
      </c>
      <c r="V92" s="3"/>
      <c r="W92" s="3" cm="1">
        <f t="array" ref="W92">IF(OR(J92="Brasil",N92="Brasil"),2*_xlfn.IFS(Q92=TRUE,6,R92=TRUE,4,AND(S92=TRUE,T92=FALSE),3,T92=TRUE,2,U92=TRUE,0),_xlfn.IFS(Q92=TRUE,6,R92=TRUE,4,AND(S92=TRUE,T92=FALSE),3,T92=TRUE,2,U92=TRUE,0))</f>
        <v>0</v>
      </c>
      <c r="X92" s="3"/>
      <c r="Y92" s="3"/>
    </row>
    <row r="93" spans="1:25" ht="14.25" customHeight="1" x14ac:dyDescent="0.3">
      <c r="A93" s="3">
        <f>'Tabela de Jogos'!A93</f>
        <v>91</v>
      </c>
      <c r="B93" s="3">
        <f>'Tabela de Jogos'!B93</f>
        <v>0</v>
      </c>
      <c r="C93" s="3">
        <f>'Tabela de Jogos'!C93</f>
        <v>0</v>
      </c>
      <c r="D93" s="3" t="str">
        <f>'Tabela de Jogos'!D93</f>
        <v>x</v>
      </c>
      <c r="E93" s="3">
        <f>'Tabela de Jogos'!E93</f>
        <v>0</v>
      </c>
      <c r="F93" s="3">
        <f>'Tabela de Jogos'!F93</f>
        <v>0</v>
      </c>
      <c r="G93" s="3" t="str">
        <f>'Tabela de Jogos'!G93</f>
        <v>-</v>
      </c>
      <c r="H93" s="3"/>
      <c r="I93" s="3">
        <f t="shared" ref="I93:J93" si="112">A93</f>
        <v>91</v>
      </c>
      <c r="J93" s="3">
        <f t="shared" si="112"/>
        <v>0</v>
      </c>
      <c r="K93" s="3"/>
      <c r="L93" s="3" t="str">
        <f t="shared" si="80"/>
        <v>x</v>
      </c>
      <c r="M93" s="3"/>
      <c r="N93" s="3">
        <f t="shared" si="81"/>
        <v>0</v>
      </c>
      <c r="O93" s="3" t="str">
        <f t="shared" si="82"/>
        <v>-</v>
      </c>
      <c r="P93" s="3"/>
      <c r="Q93" s="3" t="b">
        <f t="shared" si="83"/>
        <v>0</v>
      </c>
      <c r="R93" s="3" t="b">
        <f t="shared" si="84"/>
        <v>0</v>
      </c>
      <c r="S93" s="3" t="b">
        <f t="shared" si="85"/>
        <v>0</v>
      </c>
      <c r="T93" s="3" t="b">
        <f t="shared" si="86"/>
        <v>0</v>
      </c>
      <c r="U93" s="3" t="b">
        <f t="shared" si="8"/>
        <v>1</v>
      </c>
      <c r="V93" s="3"/>
      <c r="W93" s="3" cm="1">
        <f t="array" ref="W93">IF(OR(J93="Brasil",N93="Brasil"),2*_xlfn.IFS(Q93=TRUE,6,R93=TRUE,4,AND(S93=TRUE,T93=FALSE),3,T93=TRUE,2,U93=TRUE,0),_xlfn.IFS(Q93=TRUE,6,R93=TRUE,4,AND(S93=TRUE,T93=FALSE),3,T93=TRUE,2,U93=TRUE,0))</f>
        <v>0</v>
      </c>
      <c r="X93" s="3"/>
      <c r="Y93" s="3"/>
    </row>
    <row r="94" spans="1:25" ht="14.25" customHeight="1" x14ac:dyDescent="0.3">
      <c r="A94" s="3">
        <f>'Tabela de Jogos'!A94</f>
        <v>92</v>
      </c>
      <c r="B94" s="3">
        <f>'Tabela de Jogos'!B94</f>
        <v>0</v>
      </c>
      <c r="C94" s="3">
        <f>'Tabela de Jogos'!C94</f>
        <v>0</v>
      </c>
      <c r="D94" s="3" t="str">
        <f>'Tabela de Jogos'!D94</f>
        <v>x</v>
      </c>
      <c r="E94" s="3">
        <f>'Tabela de Jogos'!E94</f>
        <v>0</v>
      </c>
      <c r="F94" s="3">
        <f>'Tabela de Jogos'!F94</f>
        <v>0</v>
      </c>
      <c r="G94" s="3" t="str">
        <f>'Tabela de Jogos'!G94</f>
        <v>-</v>
      </c>
      <c r="H94" s="3"/>
      <c r="I94" s="3">
        <f t="shared" ref="I94:J94" si="113">A94</f>
        <v>92</v>
      </c>
      <c r="J94" s="3">
        <f t="shared" si="113"/>
        <v>0</v>
      </c>
      <c r="K94" s="3"/>
      <c r="L94" s="3" t="str">
        <f t="shared" si="80"/>
        <v>x</v>
      </c>
      <c r="M94" s="3"/>
      <c r="N94" s="3">
        <f t="shared" si="81"/>
        <v>0</v>
      </c>
      <c r="O94" s="3" t="str">
        <f t="shared" si="82"/>
        <v>-</v>
      </c>
      <c r="P94" s="3"/>
      <c r="Q94" s="3" t="b">
        <f t="shared" si="83"/>
        <v>0</v>
      </c>
      <c r="R94" s="3" t="b">
        <f t="shared" si="84"/>
        <v>0</v>
      </c>
      <c r="S94" s="3" t="b">
        <f t="shared" si="85"/>
        <v>0</v>
      </c>
      <c r="T94" s="3" t="b">
        <f t="shared" si="86"/>
        <v>0</v>
      </c>
      <c r="U94" s="3" t="b">
        <f t="shared" si="8"/>
        <v>1</v>
      </c>
      <c r="V94" s="3"/>
      <c r="W94" s="3" cm="1">
        <f t="array" ref="W94">IF(OR(J94="Brasil",N94="Brasil"),2*_xlfn.IFS(Q94=TRUE,6,R94=TRUE,4,AND(S94=TRUE,T94=FALSE),3,T94=TRUE,2,U94=TRUE,0),_xlfn.IFS(Q94=TRUE,6,R94=TRUE,4,AND(S94=TRUE,T94=FALSE),3,T94=TRUE,2,U94=TRUE,0))</f>
        <v>0</v>
      </c>
      <c r="X94" s="3"/>
      <c r="Y94" s="3"/>
    </row>
    <row r="95" spans="1:25" ht="14.25" customHeight="1" x14ac:dyDescent="0.3">
      <c r="A95" s="3">
        <f>'Tabela de Jogos'!A95</f>
        <v>93</v>
      </c>
      <c r="B95" s="3">
        <f>'Tabela de Jogos'!B95</f>
        <v>0</v>
      </c>
      <c r="C95" s="3">
        <f>'Tabela de Jogos'!C95</f>
        <v>0</v>
      </c>
      <c r="D95" s="3" t="str">
        <f>'Tabela de Jogos'!D95</f>
        <v>x</v>
      </c>
      <c r="E95" s="3">
        <f>'Tabela de Jogos'!E95</f>
        <v>0</v>
      </c>
      <c r="F95" s="3">
        <f>'Tabela de Jogos'!F95</f>
        <v>0</v>
      </c>
      <c r="G95" s="3" t="str">
        <f>'Tabela de Jogos'!G95</f>
        <v>-</v>
      </c>
      <c r="H95" s="3"/>
      <c r="I95" s="3">
        <f t="shared" ref="I95:J95" si="114">A95</f>
        <v>93</v>
      </c>
      <c r="J95" s="3">
        <f t="shared" si="114"/>
        <v>0</v>
      </c>
      <c r="K95" s="3"/>
      <c r="L95" s="3" t="str">
        <f t="shared" si="80"/>
        <v>x</v>
      </c>
      <c r="M95" s="3"/>
      <c r="N95" s="3">
        <f t="shared" si="81"/>
        <v>0</v>
      </c>
      <c r="O95" s="3" t="str">
        <f t="shared" si="82"/>
        <v>-</v>
      </c>
      <c r="P95" s="3"/>
      <c r="Q95" s="3" t="b">
        <f t="shared" si="83"/>
        <v>0</v>
      </c>
      <c r="R95" s="3" t="b">
        <f t="shared" si="84"/>
        <v>0</v>
      </c>
      <c r="S95" s="3" t="b">
        <f t="shared" si="85"/>
        <v>0</v>
      </c>
      <c r="T95" s="3" t="b">
        <f t="shared" si="86"/>
        <v>0</v>
      </c>
      <c r="U95" s="3" t="b">
        <f t="shared" si="8"/>
        <v>1</v>
      </c>
      <c r="V95" s="3"/>
      <c r="W95" s="3" cm="1">
        <f t="array" ref="W95">IF(OR(J95="Brasil",N95="Brasil"),2*_xlfn.IFS(Q95=TRUE,6,R95=TRUE,4,AND(S95=TRUE,T95=FALSE),3,T95=TRUE,2,U95=TRUE,0),_xlfn.IFS(Q95=TRUE,6,R95=TRUE,4,AND(S95=TRUE,T95=FALSE),3,T95=TRUE,2,U95=TRUE,0))</f>
        <v>0</v>
      </c>
      <c r="X95" s="3"/>
      <c r="Y95" s="3"/>
    </row>
    <row r="96" spans="1:25" ht="14.25" customHeight="1" x14ac:dyDescent="0.3">
      <c r="A96" s="3">
        <f>'Tabela de Jogos'!A96</f>
        <v>94</v>
      </c>
      <c r="B96" s="3">
        <f>'Tabela de Jogos'!B96</f>
        <v>0</v>
      </c>
      <c r="C96" s="3">
        <f>'Tabela de Jogos'!C96</f>
        <v>0</v>
      </c>
      <c r="D96" s="3" t="str">
        <f>'Tabela de Jogos'!D96</f>
        <v>x</v>
      </c>
      <c r="E96" s="3">
        <f>'Tabela de Jogos'!E96</f>
        <v>0</v>
      </c>
      <c r="F96" s="3">
        <f>'Tabela de Jogos'!F96</f>
        <v>0</v>
      </c>
      <c r="G96" s="3" t="str">
        <f>'Tabela de Jogos'!G96</f>
        <v>-</v>
      </c>
      <c r="H96" s="3"/>
      <c r="I96" s="3">
        <f t="shared" ref="I96:J96" si="115">A96</f>
        <v>94</v>
      </c>
      <c r="J96" s="3">
        <f t="shared" si="115"/>
        <v>0</v>
      </c>
      <c r="K96" s="3"/>
      <c r="L96" s="3" t="str">
        <f t="shared" si="80"/>
        <v>x</v>
      </c>
      <c r="M96" s="3"/>
      <c r="N96" s="3">
        <f t="shared" si="81"/>
        <v>0</v>
      </c>
      <c r="O96" s="3" t="str">
        <f t="shared" si="82"/>
        <v>-</v>
      </c>
      <c r="P96" s="3"/>
      <c r="Q96" s="3" t="b">
        <f t="shared" si="83"/>
        <v>0</v>
      </c>
      <c r="R96" s="3" t="b">
        <f t="shared" si="84"/>
        <v>0</v>
      </c>
      <c r="S96" s="3" t="b">
        <f t="shared" si="85"/>
        <v>0</v>
      </c>
      <c r="T96" s="3" t="b">
        <f t="shared" si="86"/>
        <v>0</v>
      </c>
      <c r="U96" s="3" t="b">
        <f t="shared" si="8"/>
        <v>1</v>
      </c>
      <c r="V96" s="3"/>
      <c r="W96" s="3" cm="1">
        <f t="array" ref="W96">IF(OR(J96="Brasil",N96="Brasil"),2*_xlfn.IFS(Q96=TRUE,6,R96=TRUE,4,AND(S96=TRUE,T96=FALSE),3,T96=TRUE,2,U96=TRUE,0),_xlfn.IFS(Q96=TRUE,6,R96=TRUE,4,AND(S96=TRUE,T96=FALSE),3,T96=TRUE,2,U96=TRUE,0))</f>
        <v>0</v>
      </c>
      <c r="X96" s="3"/>
      <c r="Y96" s="3"/>
    </row>
    <row r="97" spans="1:25" ht="14.25" customHeight="1" x14ac:dyDescent="0.3">
      <c r="A97" s="3">
        <f>'Tabela de Jogos'!A97</f>
        <v>95</v>
      </c>
      <c r="B97" s="3">
        <f>'Tabela de Jogos'!B97</f>
        <v>0</v>
      </c>
      <c r="C97" s="3">
        <f>'Tabela de Jogos'!C97</f>
        <v>0</v>
      </c>
      <c r="D97" s="3" t="str">
        <f>'Tabela de Jogos'!D97</f>
        <v>x</v>
      </c>
      <c r="E97" s="3">
        <f>'Tabela de Jogos'!E97</f>
        <v>0</v>
      </c>
      <c r="F97" s="3">
        <f>'Tabela de Jogos'!F97</f>
        <v>0</v>
      </c>
      <c r="G97" s="3" t="str">
        <f>'Tabela de Jogos'!G97</f>
        <v>-</v>
      </c>
      <c r="H97" s="3"/>
      <c r="I97" s="3">
        <f t="shared" ref="I97:J97" si="116">A97</f>
        <v>95</v>
      </c>
      <c r="J97" s="3">
        <f t="shared" si="116"/>
        <v>0</v>
      </c>
      <c r="K97" s="3"/>
      <c r="L97" s="3" t="str">
        <f t="shared" si="80"/>
        <v>x</v>
      </c>
      <c r="M97" s="3"/>
      <c r="N97" s="3">
        <f t="shared" si="81"/>
        <v>0</v>
      </c>
      <c r="O97" s="3" t="str">
        <f t="shared" si="82"/>
        <v>-</v>
      </c>
      <c r="P97" s="3"/>
      <c r="Q97" s="3" t="b">
        <f t="shared" si="83"/>
        <v>0</v>
      </c>
      <c r="R97" s="3" t="b">
        <f t="shared" si="84"/>
        <v>0</v>
      </c>
      <c r="S97" s="3" t="b">
        <f t="shared" si="85"/>
        <v>0</v>
      </c>
      <c r="T97" s="3" t="b">
        <f t="shared" si="86"/>
        <v>0</v>
      </c>
      <c r="U97" s="3" t="b">
        <f t="shared" si="8"/>
        <v>1</v>
      </c>
      <c r="V97" s="3"/>
      <c r="W97" s="3" cm="1">
        <f t="array" ref="W97">IF(OR(J97="Brasil",N97="Brasil"),2*_xlfn.IFS(Q97=TRUE,6,R97=TRUE,4,AND(S97=TRUE,T97=FALSE),3,T97=TRUE,2,U97=TRUE,0),_xlfn.IFS(Q97=TRUE,6,R97=TRUE,4,AND(S97=TRUE,T97=FALSE),3,T97=TRUE,2,U97=TRUE,0))</f>
        <v>0</v>
      </c>
      <c r="X97" s="3"/>
      <c r="Y97" s="3"/>
    </row>
    <row r="98" spans="1:25" ht="14.25" customHeight="1" x14ac:dyDescent="0.3">
      <c r="A98" s="3">
        <f>'Tabela de Jogos'!A98</f>
        <v>96</v>
      </c>
      <c r="B98" s="3">
        <f>'Tabela de Jogos'!B98</f>
        <v>0</v>
      </c>
      <c r="C98" s="3">
        <f>'Tabela de Jogos'!C98</f>
        <v>0</v>
      </c>
      <c r="D98" s="3" t="str">
        <f>'Tabela de Jogos'!D98</f>
        <v>x</v>
      </c>
      <c r="E98" s="3">
        <f>'Tabela de Jogos'!E98</f>
        <v>0</v>
      </c>
      <c r="F98" s="3">
        <f>'Tabela de Jogos'!F98</f>
        <v>0</v>
      </c>
      <c r="G98" s="3" t="str">
        <f>'Tabela de Jogos'!G98</f>
        <v>-</v>
      </c>
      <c r="H98" s="3"/>
      <c r="I98" s="3">
        <f t="shared" ref="I98:J98" si="117">A98</f>
        <v>96</v>
      </c>
      <c r="J98" s="3">
        <f t="shared" si="117"/>
        <v>0</v>
      </c>
      <c r="K98" s="3"/>
      <c r="L98" s="3" t="str">
        <f t="shared" si="80"/>
        <v>x</v>
      </c>
      <c r="M98" s="3"/>
      <c r="N98" s="3">
        <f t="shared" si="81"/>
        <v>0</v>
      </c>
      <c r="O98" s="3" t="str">
        <f t="shared" si="82"/>
        <v>-</v>
      </c>
      <c r="P98" s="3"/>
      <c r="Q98" s="3" t="b">
        <f t="shared" si="83"/>
        <v>0</v>
      </c>
      <c r="R98" s="3" t="b">
        <f t="shared" si="84"/>
        <v>0</v>
      </c>
      <c r="S98" s="3" t="b">
        <f t="shared" si="85"/>
        <v>0</v>
      </c>
      <c r="T98" s="3" t="b">
        <f t="shared" si="86"/>
        <v>0</v>
      </c>
      <c r="U98" s="3" t="b">
        <f t="shared" si="8"/>
        <v>1</v>
      </c>
      <c r="V98" s="3"/>
      <c r="W98" s="3" cm="1">
        <f t="array" ref="W98">IF(OR(J98="Brasil",N98="Brasil"),2*_xlfn.IFS(Q98=TRUE,6,R98=TRUE,4,AND(S98=TRUE,T98=FALSE),3,T98=TRUE,2,U98=TRUE,0),_xlfn.IFS(Q98=TRUE,6,R98=TRUE,4,AND(S98=TRUE,T98=FALSE),3,T98=TRUE,2,U98=TRUE,0))</f>
        <v>0</v>
      </c>
      <c r="X98" s="3"/>
      <c r="Y98" s="3"/>
    </row>
    <row r="99" spans="1:25" ht="14.25" customHeight="1" x14ac:dyDescent="0.3">
      <c r="A99" s="3">
        <f>'Tabela de Jogos'!A99</f>
        <v>97</v>
      </c>
      <c r="B99" s="3">
        <f>'Tabela de Jogos'!B99</f>
        <v>0</v>
      </c>
      <c r="C99" s="3">
        <f>'Tabela de Jogos'!C99</f>
        <v>0</v>
      </c>
      <c r="D99" s="3" t="str">
        <f>'Tabela de Jogos'!D99</f>
        <v>x</v>
      </c>
      <c r="E99" s="3">
        <f>'Tabela de Jogos'!E99</f>
        <v>0</v>
      </c>
      <c r="F99" s="3">
        <f>'Tabela de Jogos'!F99</f>
        <v>0</v>
      </c>
      <c r="G99" s="3" t="str">
        <f>'Tabela de Jogos'!G99</f>
        <v>-</v>
      </c>
      <c r="H99" s="3"/>
      <c r="I99" s="3">
        <f t="shared" ref="I99:J99" si="118">A99</f>
        <v>97</v>
      </c>
      <c r="J99" s="3">
        <f t="shared" si="118"/>
        <v>0</v>
      </c>
      <c r="K99" s="3"/>
      <c r="L99" s="3" t="str">
        <f t="shared" ref="L99:L106" si="119">D99</f>
        <v>x</v>
      </c>
      <c r="M99" s="3"/>
      <c r="N99" s="3">
        <f t="shared" ref="N99:N106" si="120">F99</f>
        <v>0</v>
      </c>
      <c r="O99" s="3" t="str">
        <f t="shared" ref="O99:O106" si="121">IF(K99&gt;M99,J99,IF(M99&gt;K99,N99,IF(ISBLANK(K99),"-","Empate")))</f>
        <v>-</v>
      </c>
      <c r="P99" s="3"/>
      <c r="Q99" s="3" t="b">
        <f t="shared" ref="Q99:Q106" si="122">IF(AND(O99=G99,K99=C99,M99=E99,ISBLANK(K99)&lt;&gt;TRUE),TRUE,FALSE)</f>
        <v>0</v>
      </c>
      <c r="R99" s="3" t="b">
        <f t="shared" ref="R99:R106" si="123">IF(OR(AND(O99=G99,K99=C99,K99&gt;M99,M99&lt;&gt;E99,ISBLANK(K99)&lt;&gt;TRUE),AND(O99=G99,M99&gt;K99,K99&lt;&gt;C99,M99=E99,ISBLANK(K99)&lt;&gt;TRUE)),TRUE,FALSE)</f>
        <v>0</v>
      </c>
      <c r="S99" s="3" t="b">
        <f t="shared" ref="S99:S106" si="124">IF(AND(O99=G99,ABS(K99-M99)=ABS(C99-E99),OR(K99&lt;&gt;C99,M99&lt;&gt;E99),ISBLANK(K99)&lt;&gt;TRUE),TRUE,FALSE)</f>
        <v>0</v>
      </c>
      <c r="T99" s="3" t="b">
        <f t="shared" ref="T99:T106" si="125">IF(OR(AND(O99=G99,Q99=FALSE,R99=FALSE,S99=FALSE,G99&lt;&gt;"-"),AND(O99="Empate",S99=TRUE)),TRUE,FALSE)</f>
        <v>0</v>
      </c>
      <c r="U99" s="3" t="b">
        <f t="shared" si="8"/>
        <v>1</v>
      </c>
      <c r="V99" s="3"/>
      <c r="W99" s="3" cm="1">
        <f t="array" ref="W99">IF(OR(J99="Brasil",N99="Brasil"),2*_xlfn.IFS(Q99=TRUE,6,R99=TRUE,4,AND(S99=TRUE,T99=FALSE),3,T99=TRUE,2,U99=TRUE,0),_xlfn.IFS(Q99=TRUE,6,R99=TRUE,4,AND(S99=TRUE,T99=FALSE),3,T99=TRUE,2,U99=TRUE,0))</f>
        <v>0</v>
      </c>
      <c r="X99" s="3"/>
      <c r="Y99" s="3"/>
    </row>
    <row r="100" spans="1:25" ht="14.25" customHeight="1" x14ac:dyDescent="0.3">
      <c r="A100" s="3">
        <f>'Tabela de Jogos'!A100</f>
        <v>98</v>
      </c>
      <c r="B100" s="3">
        <f>'Tabela de Jogos'!B100</f>
        <v>0</v>
      </c>
      <c r="C100" s="3">
        <f>'Tabela de Jogos'!C100</f>
        <v>0</v>
      </c>
      <c r="D100" s="3" t="str">
        <f>'Tabela de Jogos'!D100</f>
        <v>x</v>
      </c>
      <c r="E100" s="3">
        <f>'Tabela de Jogos'!E100</f>
        <v>0</v>
      </c>
      <c r="F100" s="3">
        <f>'Tabela de Jogos'!F100</f>
        <v>0</v>
      </c>
      <c r="G100" s="3" t="str">
        <f>'Tabela de Jogos'!G100</f>
        <v>-</v>
      </c>
      <c r="H100" s="3"/>
      <c r="I100" s="3">
        <f t="shared" ref="I100:J100" si="126">A100</f>
        <v>98</v>
      </c>
      <c r="J100" s="3">
        <f t="shared" si="126"/>
        <v>0</v>
      </c>
      <c r="K100" s="3"/>
      <c r="L100" s="3" t="str">
        <f t="shared" si="119"/>
        <v>x</v>
      </c>
      <c r="M100" s="3"/>
      <c r="N100" s="3">
        <f t="shared" si="120"/>
        <v>0</v>
      </c>
      <c r="O100" s="3" t="str">
        <f t="shared" si="121"/>
        <v>-</v>
      </c>
      <c r="P100" s="3"/>
      <c r="Q100" s="3" t="b">
        <f t="shared" si="122"/>
        <v>0</v>
      </c>
      <c r="R100" s="3" t="b">
        <f t="shared" si="123"/>
        <v>0</v>
      </c>
      <c r="S100" s="3" t="b">
        <f t="shared" si="124"/>
        <v>0</v>
      </c>
      <c r="T100" s="3" t="b">
        <f t="shared" si="125"/>
        <v>0</v>
      </c>
      <c r="U100" s="3" t="b">
        <f t="shared" si="8"/>
        <v>1</v>
      </c>
      <c r="V100" s="3"/>
      <c r="W100" s="3" cm="1">
        <f t="array" ref="W100">IF(OR(J100="Brasil",N100="Brasil"),2*_xlfn.IFS(Q100=TRUE,6,R100=TRUE,4,AND(S100=TRUE,T100=FALSE),3,T100=TRUE,2,U100=TRUE,0),_xlfn.IFS(Q100=TRUE,6,R100=TRUE,4,AND(S100=TRUE,T100=FALSE),3,T100=TRUE,2,U100=TRUE,0))</f>
        <v>0</v>
      </c>
      <c r="X100" s="3"/>
      <c r="Y100" s="3"/>
    </row>
    <row r="101" spans="1:25" ht="14.25" customHeight="1" x14ac:dyDescent="0.3">
      <c r="A101" s="3">
        <f>'Tabela de Jogos'!A101</f>
        <v>99</v>
      </c>
      <c r="B101" s="3">
        <f>'Tabela de Jogos'!B101</f>
        <v>0</v>
      </c>
      <c r="C101" s="3">
        <f>'Tabela de Jogos'!C101</f>
        <v>0</v>
      </c>
      <c r="D101" s="3" t="str">
        <f>'Tabela de Jogos'!D101</f>
        <v>x</v>
      </c>
      <c r="E101" s="3">
        <f>'Tabela de Jogos'!E101</f>
        <v>0</v>
      </c>
      <c r="F101" s="3">
        <f>'Tabela de Jogos'!F101</f>
        <v>0</v>
      </c>
      <c r="G101" s="3" t="str">
        <f>'Tabela de Jogos'!G101</f>
        <v>-</v>
      </c>
      <c r="H101" s="3"/>
      <c r="I101" s="3">
        <f t="shared" ref="I101:J101" si="127">A101</f>
        <v>99</v>
      </c>
      <c r="J101" s="3">
        <f t="shared" si="127"/>
        <v>0</v>
      </c>
      <c r="K101" s="3"/>
      <c r="L101" s="3" t="str">
        <f t="shared" si="119"/>
        <v>x</v>
      </c>
      <c r="M101" s="3"/>
      <c r="N101" s="3">
        <f t="shared" si="120"/>
        <v>0</v>
      </c>
      <c r="O101" s="3" t="str">
        <f t="shared" si="121"/>
        <v>-</v>
      </c>
      <c r="P101" s="3"/>
      <c r="Q101" s="3" t="b">
        <f t="shared" si="122"/>
        <v>0</v>
      </c>
      <c r="R101" s="3" t="b">
        <f t="shared" si="123"/>
        <v>0</v>
      </c>
      <c r="S101" s="3" t="b">
        <f t="shared" si="124"/>
        <v>0</v>
      </c>
      <c r="T101" s="3" t="b">
        <f t="shared" si="125"/>
        <v>0</v>
      </c>
      <c r="U101" s="3" t="b">
        <f t="shared" si="8"/>
        <v>1</v>
      </c>
      <c r="V101" s="3"/>
      <c r="W101" s="3" cm="1">
        <f t="array" ref="W101">IF(OR(J101="Brasil",N101="Brasil"),2*_xlfn.IFS(Q101=TRUE,6,R101=TRUE,4,AND(S101=TRUE,T101=FALSE),3,T101=TRUE,2,U101=TRUE,0),_xlfn.IFS(Q101=TRUE,6,R101=TRUE,4,AND(S101=TRUE,T101=FALSE),3,T101=TRUE,2,U101=TRUE,0))</f>
        <v>0</v>
      </c>
      <c r="X101" s="3"/>
      <c r="Y101" s="3"/>
    </row>
    <row r="102" spans="1:25" ht="14.25" customHeight="1" x14ac:dyDescent="0.3">
      <c r="A102" s="3">
        <f>'Tabela de Jogos'!A102</f>
        <v>100</v>
      </c>
      <c r="B102" s="3">
        <f>'Tabela de Jogos'!B102</f>
        <v>0</v>
      </c>
      <c r="C102" s="3">
        <f>'Tabela de Jogos'!C102</f>
        <v>0</v>
      </c>
      <c r="D102" s="3" t="str">
        <f>'Tabela de Jogos'!D102</f>
        <v>x</v>
      </c>
      <c r="E102" s="3">
        <f>'Tabela de Jogos'!E102</f>
        <v>0</v>
      </c>
      <c r="F102" s="3">
        <f>'Tabela de Jogos'!F102</f>
        <v>0</v>
      </c>
      <c r="G102" s="3" t="str">
        <f>'Tabela de Jogos'!G102</f>
        <v>-</v>
      </c>
      <c r="H102" s="3"/>
      <c r="I102" s="3">
        <f t="shared" ref="I102:J102" si="128">A102</f>
        <v>100</v>
      </c>
      <c r="J102" s="3">
        <f t="shared" si="128"/>
        <v>0</v>
      </c>
      <c r="K102" s="3"/>
      <c r="L102" s="3" t="str">
        <f t="shared" si="119"/>
        <v>x</v>
      </c>
      <c r="M102" s="3"/>
      <c r="N102" s="3">
        <f t="shared" si="120"/>
        <v>0</v>
      </c>
      <c r="O102" s="3" t="str">
        <f t="shared" si="121"/>
        <v>-</v>
      </c>
      <c r="P102" s="3"/>
      <c r="Q102" s="3" t="b">
        <f t="shared" si="122"/>
        <v>0</v>
      </c>
      <c r="R102" s="3" t="b">
        <f t="shared" si="123"/>
        <v>0</v>
      </c>
      <c r="S102" s="3" t="b">
        <f t="shared" si="124"/>
        <v>0</v>
      </c>
      <c r="T102" s="3" t="b">
        <f t="shared" si="125"/>
        <v>0</v>
      </c>
      <c r="U102" s="3" t="b">
        <f t="shared" si="8"/>
        <v>1</v>
      </c>
      <c r="V102" s="3"/>
      <c r="W102" s="3" cm="1">
        <f t="array" ref="W102">IF(OR(J102="Brasil",N102="Brasil"),2*_xlfn.IFS(Q102=TRUE,6,R102=TRUE,4,AND(S102=TRUE,T102=FALSE),3,T102=TRUE,2,U102=TRUE,0),_xlfn.IFS(Q102=TRUE,6,R102=TRUE,4,AND(S102=TRUE,T102=FALSE),3,T102=TRUE,2,U102=TRUE,0))</f>
        <v>0</v>
      </c>
      <c r="X102" s="3"/>
      <c r="Y102" s="3"/>
    </row>
    <row r="103" spans="1:25" ht="14.25" customHeight="1" x14ac:dyDescent="0.3">
      <c r="A103" s="3">
        <f>'Tabela de Jogos'!A103</f>
        <v>101</v>
      </c>
      <c r="B103" s="3">
        <f>'Tabela de Jogos'!B103</f>
        <v>0</v>
      </c>
      <c r="C103" s="3">
        <f>'Tabela de Jogos'!C103</f>
        <v>0</v>
      </c>
      <c r="D103" s="3" t="str">
        <f>'Tabela de Jogos'!D103</f>
        <v>x</v>
      </c>
      <c r="E103" s="3">
        <f>'Tabela de Jogos'!E103</f>
        <v>0</v>
      </c>
      <c r="F103" s="3">
        <f>'Tabela de Jogos'!F103</f>
        <v>0</v>
      </c>
      <c r="G103" s="3" t="str">
        <f>'Tabela de Jogos'!G103</f>
        <v>-</v>
      </c>
      <c r="H103" s="3"/>
      <c r="I103" s="3">
        <f t="shared" ref="I103:J103" si="129">A103</f>
        <v>101</v>
      </c>
      <c r="J103" s="3">
        <f t="shared" si="129"/>
        <v>0</v>
      </c>
      <c r="K103" s="3"/>
      <c r="L103" s="3" t="str">
        <f t="shared" si="119"/>
        <v>x</v>
      </c>
      <c r="M103" s="3"/>
      <c r="N103" s="3">
        <f t="shared" si="120"/>
        <v>0</v>
      </c>
      <c r="O103" s="3" t="str">
        <f t="shared" si="121"/>
        <v>-</v>
      </c>
      <c r="P103" s="3"/>
      <c r="Q103" s="3" t="b">
        <f t="shared" si="122"/>
        <v>0</v>
      </c>
      <c r="R103" s="3" t="b">
        <f t="shared" si="123"/>
        <v>0</v>
      </c>
      <c r="S103" s="3" t="b">
        <f t="shared" si="124"/>
        <v>0</v>
      </c>
      <c r="T103" s="3" t="b">
        <f t="shared" si="125"/>
        <v>0</v>
      </c>
      <c r="U103" s="3" t="b">
        <f t="shared" si="8"/>
        <v>1</v>
      </c>
      <c r="V103" s="3"/>
      <c r="W103" s="3" cm="1">
        <f t="array" ref="W103">IF(OR(J103="Brasil",N103="Brasil"),2*_xlfn.IFS(Q103=TRUE,6,R103=TRUE,4,AND(S103=TRUE,T103=FALSE),3,T103=TRUE,2,U103=TRUE,0),_xlfn.IFS(Q103=TRUE,6,R103=TRUE,4,AND(S103=TRUE,T103=FALSE),3,T103=TRUE,2,U103=TRUE,0))</f>
        <v>0</v>
      </c>
      <c r="X103" s="3"/>
      <c r="Y103" s="3"/>
    </row>
    <row r="104" spans="1:25" ht="14.25" customHeight="1" x14ac:dyDescent="0.3">
      <c r="A104" s="3">
        <f>'Tabela de Jogos'!A104</f>
        <v>102</v>
      </c>
      <c r="B104" s="3">
        <f>'Tabela de Jogos'!B104</f>
        <v>0</v>
      </c>
      <c r="C104" s="3">
        <f>'Tabela de Jogos'!C104</f>
        <v>0</v>
      </c>
      <c r="D104" s="3" t="str">
        <f>'Tabela de Jogos'!D104</f>
        <v>x</v>
      </c>
      <c r="E104" s="3">
        <f>'Tabela de Jogos'!E104</f>
        <v>0</v>
      </c>
      <c r="F104" s="3">
        <f>'Tabela de Jogos'!F104</f>
        <v>0</v>
      </c>
      <c r="G104" s="3" t="str">
        <f>'Tabela de Jogos'!G104</f>
        <v>-</v>
      </c>
      <c r="H104" s="3"/>
      <c r="I104" s="3">
        <f t="shared" ref="I104:J104" si="130">A104</f>
        <v>102</v>
      </c>
      <c r="J104" s="3">
        <f t="shared" si="130"/>
        <v>0</v>
      </c>
      <c r="K104" s="3"/>
      <c r="L104" s="3" t="str">
        <f t="shared" si="119"/>
        <v>x</v>
      </c>
      <c r="M104" s="3"/>
      <c r="N104" s="3">
        <f t="shared" si="120"/>
        <v>0</v>
      </c>
      <c r="O104" s="3" t="str">
        <f t="shared" si="121"/>
        <v>-</v>
      </c>
      <c r="P104" s="3"/>
      <c r="Q104" s="3" t="b">
        <f t="shared" si="122"/>
        <v>0</v>
      </c>
      <c r="R104" s="3" t="b">
        <f t="shared" si="123"/>
        <v>0</v>
      </c>
      <c r="S104" s="3" t="b">
        <f t="shared" si="124"/>
        <v>0</v>
      </c>
      <c r="T104" s="3" t="b">
        <f t="shared" si="125"/>
        <v>0</v>
      </c>
      <c r="U104" s="3" t="b">
        <f t="shared" si="8"/>
        <v>1</v>
      </c>
      <c r="V104" s="3"/>
      <c r="W104" s="3" cm="1">
        <f t="array" ref="W104">IF(OR(J104="Brasil",N104="Brasil"),2*_xlfn.IFS(Q104=TRUE,6,R104=TRUE,4,AND(S104=TRUE,T104=FALSE),3,T104=TRUE,2,U104=TRUE,0),_xlfn.IFS(Q104=TRUE,6,R104=TRUE,4,AND(S104=TRUE,T104=FALSE),3,T104=TRUE,2,U104=TRUE,0))</f>
        <v>0</v>
      </c>
      <c r="X104" s="3"/>
      <c r="Y104" s="3"/>
    </row>
    <row r="105" spans="1:25" ht="14.25" customHeight="1" x14ac:dyDescent="0.3">
      <c r="A105" s="3">
        <f>'Tabela de Jogos'!A105</f>
        <v>103</v>
      </c>
      <c r="B105" s="3">
        <f>'Tabela de Jogos'!B105</f>
        <v>0</v>
      </c>
      <c r="C105" s="3">
        <f>'Tabela de Jogos'!C105</f>
        <v>0</v>
      </c>
      <c r="D105" s="3" t="str">
        <f>'Tabela de Jogos'!D105</f>
        <v>x</v>
      </c>
      <c r="E105" s="3">
        <f>'Tabela de Jogos'!E105</f>
        <v>0</v>
      </c>
      <c r="F105" s="3">
        <f>'Tabela de Jogos'!F105</f>
        <v>0</v>
      </c>
      <c r="G105" s="3" t="str">
        <f>'Tabela de Jogos'!G105</f>
        <v>-</v>
      </c>
      <c r="H105" s="3"/>
      <c r="I105" s="3">
        <f t="shared" ref="I105:J105" si="131">A105</f>
        <v>103</v>
      </c>
      <c r="J105" s="3">
        <f t="shared" si="131"/>
        <v>0</v>
      </c>
      <c r="K105" s="3"/>
      <c r="L105" s="3" t="str">
        <f t="shared" si="119"/>
        <v>x</v>
      </c>
      <c r="M105" s="3"/>
      <c r="N105" s="3">
        <f t="shared" si="120"/>
        <v>0</v>
      </c>
      <c r="O105" s="3" t="str">
        <f t="shared" si="121"/>
        <v>-</v>
      </c>
      <c r="P105" s="3"/>
      <c r="Q105" s="3" t="b">
        <f t="shared" si="122"/>
        <v>0</v>
      </c>
      <c r="R105" s="3" t="b">
        <f t="shared" si="123"/>
        <v>0</v>
      </c>
      <c r="S105" s="3" t="b">
        <f t="shared" si="124"/>
        <v>0</v>
      </c>
      <c r="T105" s="3" t="b">
        <f t="shared" si="125"/>
        <v>0</v>
      </c>
      <c r="U105" s="3" t="b">
        <f t="shared" si="8"/>
        <v>1</v>
      </c>
      <c r="V105" s="3"/>
      <c r="W105" s="3" cm="1">
        <f t="array" ref="W105">IF(OR(J105="Brasil",N105="Brasil"),2*_xlfn.IFS(Q105=TRUE,6,R105=TRUE,4,AND(S105=TRUE,T105=FALSE),3,T105=TRUE,2,U105=TRUE,0),_xlfn.IFS(Q105=TRUE,6,R105=TRUE,4,AND(S105=TRUE,T105=FALSE),3,T105=TRUE,2,U105=TRUE,0))</f>
        <v>0</v>
      </c>
      <c r="X105" s="3"/>
      <c r="Y105" s="3"/>
    </row>
    <row r="106" spans="1:25" ht="14.25" customHeight="1" x14ac:dyDescent="0.3">
      <c r="A106" s="3">
        <f>'Tabela de Jogos'!A106</f>
        <v>104</v>
      </c>
      <c r="B106" s="3">
        <f>'Tabela de Jogos'!B106</f>
        <v>0</v>
      </c>
      <c r="C106" s="3">
        <f>'Tabela de Jogos'!C106</f>
        <v>0</v>
      </c>
      <c r="D106" s="3" t="str">
        <f>'Tabela de Jogos'!D106</f>
        <v>x</v>
      </c>
      <c r="E106" s="3">
        <f>'Tabela de Jogos'!E106</f>
        <v>0</v>
      </c>
      <c r="F106" s="3">
        <f>'Tabela de Jogos'!F106</f>
        <v>0</v>
      </c>
      <c r="G106" s="3" t="str">
        <f>'Tabela de Jogos'!G106</f>
        <v>-</v>
      </c>
      <c r="H106" s="3"/>
      <c r="I106" s="3">
        <f t="shared" ref="I106:J106" si="132">A106</f>
        <v>104</v>
      </c>
      <c r="J106" s="3">
        <f t="shared" si="132"/>
        <v>0</v>
      </c>
      <c r="K106" s="3"/>
      <c r="L106" s="3" t="str">
        <f t="shared" si="119"/>
        <v>x</v>
      </c>
      <c r="M106" s="3"/>
      <c r="N106" s="3">
        <f t="shared" si="120"/>
        <v>0</v>
      </c>
      <c r="O106" s="3" t="str">
        <f t="shared" si="121"/>
        <v>-</v>
      </c>
      <c r="P106" s="3"/>
      <c r="Q106" s="3" t="b">
        <f t="shared" si="122"/>
        <v>0</v>
      </c>
      <c r="R106" s="3" t="b">
        <f t="shared" si="123"/>
        <v>0</v>
      </c>
      <c r="S106" s="3" t="b">
        <f t="shared" si="124"/>
        <v>0</v>
      </c>
      <c r="T106" s="3" t="b">
        <f t="shared" si="125"/>
        <v>0</v>
      </c>
      <c r="U106" s="3" t="b">
        <f t="shared" si="8"/>
        <v>1</v>
      </c>
      <c r="V106" s="3"/>
      <c r="W106" s="3" cm="1">
        <f t="array" ref="W106">IF(OR(J106="Brasil",N106="Brasil"),2*_xlfn.IFS(Q106=TRUE,6,R106=TRUE,4,AND(S106=TRUE,T106=FALSE),3,T106=TRUE,2,U106=TRUE,0),_xlfn.IFS(Q106=TRUE,6,R106=TRUE,4,AND(S106=TRUE,T106=FALSE),3,T106=TRUE,2,U106=TRUE,0))</f>
        <v>0</v>
      </c>
      <c r="X106" s="3"/>
      <c r="Y106" s="3"/>
    </row>
  </sheetData>
  <mergeCells count="2">
    <mergeCell ref="A1:G1"/>
    <mergeCell ref="I1:O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6"/>
  <sheetViews>
    <sheetView topLeftCell="I45" workbookViewId="0">
      <selection activeCell="M63" sqref="M63"/>
    </sheetView>
  </sheetViews>
  <sheetFormatPr defaultColWidth="12.6640625" defaultRowHeight="15" customHeight="1" x14ac:dyDescent="0.3"/>
  <cols>
    <col min="1" max="1" width="8.88671875" hidden="1" customWidth="1"/>
    <col min="2" max="2" width="14.109375" hidden="1" customWidth="1"/>
    <col min="3" max="5" width="8.88671875" hidden="1" customWidth="1"/>
    <col min="6" max="7" width="14.109375" hidden="1" customWidth="1"/>
    <col min="8" max="8" width="8.88671875" hidden="1" customWidth="1"/>
    <col min="9" max="9" width="8.88671875" customWidth="1"/>
    <col min="10" max="10" width="14.109375" customWidth="1"/>
    <col min="11" max="13" width="8.88671875" customWidth="1"/>
    <col min="14" max="14" width="14.109375" customWidth="1"/>
    <col min="15" max="15" width="14.33203125" customWidth="1"/>
    <col min="16" max="16" width="8.5546875" hidden="1" customWidth="1"/>
    <col min="17" max="21" width="11.6640625" hidden="1" customWidth="1"/>
    <col min="22" max="22" width="8.5546875" hidden="1" customWidth="1"/>
    <col min="23" max="24" width="8.88671875" customWidth="1"/>
    <col min="25" max="25" width="13.88671875" bestFit="1" customWidth="1"/>
    <col min="26" max="26" width="8.5546875" customWidth="1"/>
  </cols>
  <sheetData>
    <row r="1" spans="1:25" ht="14.25" customHeight="1" x14ac:dyDescent="0.3">
      <c r="A1" s="8" t="str">
        <f>'Tabela de Jogos'!A1</f>
        <v>Tabela de Jogos</v>
      </c>
      <c r="B1" s="9"/>
      <c r="C1" s="9"/>
      <c r="D1" s="9"/>
      <c r="E1" s="9"/>
      <c r="F1" s="9"/>
      <c r="G1" s="9"/>
      <c r="H1" s="3"/>
      <c r="I1" s="8" t="s">
        <v>68</v>
      </c>
      <c r="J1" s="9"/>
      <c r="K1" s="9"/>
      <c r="L1" s="9"/>
      <c r="M1" s="9"/>
      <c r="N1" s="9"/>
      <c r="O1" s="9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3" t="str">
        <f>'Tabela de Jogos'!A2</f>
        <v>Jogo</v>
      </c>
      <c r="B2" s="3" t="str">
        <f>'Tabela de Jogos'!B2</f>
        <v>Seleção A</v>
      </c>
      <c r="C2" s="3" t="str">
        <f>'Tabela de Jogos'!C2</f>
        <v>Gols A</v>
      </c>
      <c r="D2" s="3" t="str">
        <f>'Tabela de Jogos'!D2</f>
        <v>x</v>
      </c>
      <c r="E2" s="3" t="str">
        <f>'Tabela de Jogos'!E2</f>
        <v>Gols B</v>
      </c>
      <c r="F2" s="3" t="str">
        <f>'Tabela de Jogos'!F2</f>
        <v>Seleção B</v>
      </c>
      <c r="G2" s="3" t="str">
        <f>'Tabela de Jogos'!G2</f>
        <v>Vencedor</v>
      </c>
      <c r="H2" s="3"/>
      <c r="I2" s="3" t="str">
        <f t="shared" ref="I2:N2" si="0">A2</f>
        <v>Jogo</v>
      </c>
      <c r="J2" s="3" t="str">
        <f t="shared" si="0"/>
        <v>Seleção A</v>
      </c>
      <c r="K2" s="3" t="str">
        <f t="shared" si="0"/>
        <v>Gols A</v>
      </c>
      <c r="L2" s="3" t="str">
        <f t="shared" si="0"/>
        <v>x</v>
      </c>
      <c r="M2" s="3" t="str">
        <f t="shared" si="0"/>
        <v>Gols B</v>
      </c>
      <c r="N2" s="3" t="str">
        <f t="shared" si="0"/>
        <v>Seleção B</v>
      </c>
      <c r="O2" s="3" t="s">
        <v>7</v>
      </c>
      <c r="P2" s="3"/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 t="s">
        <v>57</v>
      </c>
      <c r="X2" s="3" t="s">
        <v>74</v>
      </c>
      <c r="Y2" s="3" t="s">
        <v>75</v>
      </c>
    </row>
    <row r="3" spans="1:25" ht="14.25" customHeight="1" x14ac:dyDescent="0.3">
      <c r="A3" s="3">
        <f>'Tabela de Jogos'!A3</f>
        <v>1</v>
      </c>
      <c r="B3" s="3" t="str">
        <f>'Tabela de Jogos'!B3</f>
        <v>México</v>
      </c>
      <c r="C3" s="3">
        <f>'Tabela de Jogos'!C3</f>
        <v>2</v>
      </c>
      <c r="D3" s="3" t="str">
        <f>'Tabela de Jogos'!D3</f>
        <v>x</v>
      </c>
      <c r="E3" s="3">
        <f>'Tabela de Jogos'!E3</f>
        <v>0</v>
      </c>
      <c r="F3" s="3" t="str">
        <f>'Tabela de Jogos'!F3</f>
        <v>África do Sul</v>
      </c>
      <c r="G3" s="3" t="str">
        <f>'Tabela de Jogos'!G3</f>
        <v>México</v>
      </c>
      <c r="H3" s="3"/>
      <c r="I3" s="3">
        <f t="shared" ref="I3:J3" si="1">A3</f>
        <v>1</v>
      </c>
      <c r="J3" s="3" t="str">
        <f t="shared" si="1"/>
        <v>México</v>
      </c>
      <c r="K3" s="3">
        <v>2</v>
      </c>
      <c r="L3" s="3" t="str">
        <f t="shared" ref="L3:L106" si="2">D3</f>
        <v>x</v>
      </c>
      <c r="M3" s="3">
        <v>1</v>
      </c>
      <c r="N3" s="3" t="str">
        <f t="shared" ref="N3:N106" si="3">F3</f>
        <v>África do Sul</v>
      </c>
      <c r="O3" s="3" t="str">
        <f t="shared" ref="O3:O106" si="4">IF(K3&gt;M3,J3,IF(M3&gt;K3,N3,IF(ISBLANK(K3),"-","Empate")))</f>
        <v>México</v>
      </c>
      <c r="P3" s="3"/>
      <c r="Q3" s="3" t="b">
        <f t="shared" ref="Q3:Q106" si="5">IF(AND(O3=G3,K3=C3,M3=E3,ISBLANK(K3)&lt;&gt;TRUE),TRUE,FALSE)</f>
        <v>0</v>
      </c>
      <c r="R3" s="3" t="b">
        <f t="shared" ref="R3:R106" si="6">IF(OR(AND(O3=G3,K3=C3,K3&gt;M3,M3&lt;&gt;E3,ISBLANK(K3)&lt;&gt;TRUE),AND(O3=G3,M3&gt;K3,K3&lt;&gt;C3,M3=E3,ISBLANK(K3)&lt;&gt;TRUE)),TRUE,FALSE)</f>
        <v>1</v>
      </c>
      <c r="S3" s="3" t="b">
        <f t="shared" ref="S3:S106" si="7">IF(AND(O3=G3,ABS(K3-M3)=ABS(C3-E3),OR(K3&lt;&gt;C3,M3&lt;&gt;E3),ISBLANK(K3)&lt;&gt;TRUE),TRUE,FALSE)</f>
        <v>0</v>
      </c>
      <c r="T3" s="3" t="b">
        <f t="shared" ref="T3:T106" si="8">IF(OR(AND(O3=G3,Q3=FALSE,R3=FALSE,S3=FALSE,G3&lt;&gt;"-"),AND(O3="Empate",S3=TRUE)),TRUE,FALSE)</f>
        <v>0</v>
      </c>
      <c r="U3" s="3" t="b">
        <f t="shared" ref="U3:U106" si="9">IF(AND(Q3=FALSE,R3=FALSE,S3=FALSE,T3=FALSE),TRUE,FALSE)</f>
        <v>0</v>
      </c>
      <c r="V3" s="3"/>
      <c r="W3" s="3" cm="1">
        <f t="array" ref="W3">IF(OR(J3="Brasil",N3="Brasil"),2*_xlfn.IFS(Q3=TRUE,6,R3=TRUE,4,AND(S3=TRUE,T3=FALSE),3,T3=TRUE,2,U3=TRUE,0),_xlfn.IFS(Q3=TRUE,6,R3=TRUE,4,AND(S3=TRUE,T3=FALSE),3,T3=TRUE,2,U3=TRUE,0))</f>
        <v>4</v>
      </c>
      <c r="X3" s="3">
        <f>SUM(W3:W106)</f>
        <v>107</v>
      </c>
      <c r="Y3" s="3">
        <f>COUNTIF(W3:W106,6)+COUNTIF(W3:W106,12)</f>
        <v>4</v>
      </c>
    </row>
    <row r="4" spans="1:25" ht="14.25" customHeight="1" x14ac:dyDescent="0.3">
      <c r="A4" s="3">
        <f>'Tabela de Jogos'!A4</f>
        <v>2</v>
      </c>
      <c r="B4" s="3" t="str">
        <f>'Tabela de Jogos'!B4</f>
        <v>Coreia do Sul</v>
      </c>
      <c r="C4" s="3">
        <f>'Tabela de Jogos'!C4</f>
        <v>2</v>
      </c>
      <c r="D4" s="3" t="str">
        <f>'Tabela de Jogos'!D4</f>
        <v>x</v>
      </c>
      <c r="E4" s="3">
        <f>'Tabela de Jogos'!E4</f>
        <v>1</v>
      </c>
      <c r="F4" s="3" t="str">
        <f>'Tabela de Jogos'!F4</f>
        <v>Tchéquia</v>
      </c>
      <c r="G4" s="3" t="str">
        <f>'Tabela de Jogos'!G4</f>
        <v>Coreia do Sul</v>
      </c>
      <c r="H4" s="3"/>
      <c r="I4" s="3">
        <f t="shared" ref="I4:J4" si="10">A4</f>
        <v>2</v>
      </c>
      <c r="J4" s="3" t="str">
        <f t="shared" si="10"/>
        <v>Coreia do Sul</v>
      </c>
      <c r="K4" s="3">
        <v>2</v>
      </c>
      <c r="L4" s="3" t="str">
        <f t="shared" si="2"/>
        <v>x</v>
      </c>
      <c r="M4" s="3">
        <v>0</v>
      </c>
      <c r="N4" s="3" t="str">
        <f t="shared" si="3"/>
        <v>Tchéquia</v>
      </c>
      <c r="O4" s="3" t="str">
        <f t="shared" si="4"/>
        <v>Coreia do Sul</v>
      </c>
      <c r="P4" s="3"/>
      <c r="Q4" s="3" t="b">
        <f t="shared" si="5"/>
        <v>0</v>
      </c>
      <c r="R4" s="3" t="b">
        <f t="shared" si="6"/>
        <v>1</v>
      </c>
      <c r="S4" s="3" t="b">
        <f t="shared" si="7"/>
        <v>0</v>
      </c>
      <c r="T4" s="3" t="b">
        <f t="shared" si="8"/>
        <v>0</v>
      </c>
      <c r="U4" s="3" t="b">
        <f t="shared" si="9"/>
        <v>0</v>
      </c>
      <c r="V4" s="3"/>
      <c r="W4" s="3" cm="1">
        <f t="array" ref="W4">IF(OR(J4="Brasil",N4="Brasil"),2*_xlfn.IFS(Q4=TRUE,6,R4=TRUE,4,AND(S4=TRUE,T4=FALSE),3,T4=TRUE,2,U4=TRUE,0),_xlfn.IFS(Q4=TRUE,6,R4=TRUE,4,AND(S4=TRUE,T4=FALSE),3,T4=TRUE,2,U4=TRUE,0))</f>
        <v>4</v>
      </c>
      <c r="X4" s="3"/>
      <c r="Y4" s="3"/>
    </row>
    <row r="5" spans="1:25" ht="14.25" customHeight="1" x14ac:dyDescent="0.3">
      <c r="A5" s="3">
        <f>'Tabela de Jogos'!A5</f>
        <v>3</v>
      </c>
      <c r="B5" s="3" t="str">
        <f>'Tabela de Jogos'!B5</f>
        <v>Canadá</v>
      </c>
      <c r="C5" s="3">
        <f>'Tabela de Jogos'!C5</f>
        <v>1</v>
      </c>
      <c r="D5" s="3" t="str">
        <f>'Tabela de Jogos'!D5</f>
        <v>x</v>
      </c>
      <c r="E5" s="3">
        <f>'Tabela de Jogos'!E5</f>
        <v>1</v>
      </c>
      <c r="F5" s="3" t="str">
        <f>'Tabela de Jogos'!F5</f>
        <v>Bósnia</v>
      </c>
      <c r="G5" s="3" t="str">
        <f>'Tabela de Jogos'!G5</f>
        <v>Empate</v>
      </c>
      <c r="H5" s="3"/>
      <c r="I5" s="3">
        <f t="shared" ref="I5:J5" si="11">A5</f>
        <v>3</v>
      </c>
      <c r="J5" s="3" t="str">
        <f t="shared" si="11"/>
        <v>Canadá</v>
      </c>
      <c r="K5" s="3">
        <v>0</v>
      </c>
      <c r="L5" s="3" t="str">
        <f t="shared" si="2"/>
        <v>x</v>
      </c>
      <c r="M5" s="3">
        <v>2</v>
      </c>
      <c r="N5" s="3" t="str">
        <f t="shared" si="3"/>
        <v>Bósnia</v>
      </c>
      <c r="O5" s="3" t="str">
        <f t="shared" si="4"/>
        <v>Bósnia</v>
      </c>
      <c r="P5" s="3"/>
      <c r="Q5" s="3" t="b">
        <f t="shared" si="5"/>
        <v>0</v>
      </c>
      <c r="R5" s="3" t="b">
        <f t="shared" si="6"/>
        <v>0</v>
      </c>
      <c r="S5" s="3" t="b">
        <f t="shared" si="7"/>
        <v>0</v>
      </c>
      <c r="T5" s="3" t="b">
        <f t="shared" si="8"/>
        <v>0</v>
      </c>
      <c r="U5" s="3" t="b">
        <f t="shared" si="9"/>
        <v>1</v>
      </c>
      <c r="V5" s="3"/>
      <c r="W5" s="3" cm="1">
        <f t="array" ref="W5">IF(OR(J5="Brasil",N5="Brasil"),2*_xlfn.IFS(Q5=TRUE,6,R5=TRUE,4,AND(S5=TRUE,T5=FALSE),3,T5=TRUE,2,U5=TRUE,0),_xlfn.IFS(Q5=TRUE,6,R5=TRUE,4,AND(S5=TRUE,T5=FALSE),3,T5=TRUE,2,U5=TRUE,0))</f>
        <v>0</v>
      </c>
      <c r="X5" s="3"/>
      <c r="Y5" s="3"/>
    </row>
    <row r="6" spans="1:25" ht="14.25" customHeight="1" x14ac:dyDescent="0.3">
      <c r="A6" s="3">
        <f>'Tabela de Jogos'!A6</f>
        <v>4</v>
      </c>
      <c r="B6" s="3" t="str">
        <f>'Tabela de Jogos'!B6</f>
        <v>EUA</v>
      </c>
      <c r="C6" s="3">
        <f>'Tabela de Jogos'!C6</f>
        <v>4</v>
      </c>
      <c r="D6" s="3" t="str">
        <f>'Tabela de Jogos'!D6</f>
        <v>x</v>
      </c>
      <c r="E6" s="3">
        <f>'Tabela de Jogos'!E6</f>
        <v>1</v>
      </c>
      <c r="F6" s="3" t="str">
        <f>'Tabela de Jogos'!F6</f>
        <v>Paraguai</v>
      </c>
      <c r="G6" s="3" t="str">
        <f>'Tabela de Jogos'!G6</f>
        <v>EUA</v>
      </c>
      <c r="H6" s="3"/>
      <c r="I6" s="3">
        <f t="shared" ref="I6:J6" si="12">A6</f>
        <v>4</v>
      </c>
      <c r="J6" s="3" t="str">
        <f t="shared" si="12"/>
        <v>EUA</v>
      </c>
      <c r="K6" s="3">
        <v>1</v>
      </c>
      <c r="L6" s="3" t="str">
        <f t="shared" si="2"/>
        <v>x</v>
      </c>
      <c r="M6" s="3">
        <v>0</v>
      </c>
      <c r="N6" s="3" t="str">
        <f t="shared" si="3"/>
        <v>Paraguai</v>
      </c>
      <c r="O6" s="3" t="str">
        <f t="shared" si="4"/>
        <v>EUA</v>
      </c>
      <c r="P6" s="3"/>
      <c r="Q6" s="3" t="b">
        <f t="shared" si="5"/>
        <v>0</v>
      </c>
      <c r="R6" s="3" t="b">
        <f t="shared" si="6"/>
        <v>0</v>
      </c>
      <c r="S6" s="3" t="b">
        <f t="shared" si="7"/>
        <v>0</v>
      </c>
      <c r="T6" s="3" t="b">
        <f t="shared" si="8"/>
        <v>1</v>
      </c>
      <c r="U6" s="3" t="b">
        <f t="shared" si="9"/>
        <v>0</v>
      </c>
      <c r="V6" s="3"/>
      <c r="W6" s="3" cm="1">
        <f t="array" ref="W6">IF(OR(J6="Brasil",N6="Brasil"),2*_xlfn.IFS(Q6=TRUE,6,R6=TRUE,4,AND(S6=TRUE,T6=FALSE),3,T6=TRUE,2,U6=TRUE,0),_xlfn.IFS(Q6=TRUE,6,R6=TRUE,4,AND(S6=TRUE,T6=FALSE),3,T6=TRUE,2,U6=TRUE,0))</f>
        <v>2</v>
      </c>
      <c r="X6" s="3"/>
      <c r="Y6" s="3"/>
    </row>
    <row r="7" spans="1:25" ht="14.25" customHeight="1" x14ac:dyDescent="0.3">
      <c r="A7" s="3">
        <f>'Tabela de Jogos'!A7</f>
        <v>5</v>
      </c>
      <c r="B7" s="3" t="str">
        <f>'Tabela de Jogos'!B7</f>
        <v>Catar</v>
      </c>
      <c r="C7" s="3">
        <f>'Tabela de Jogos'!C7</f>
        <v>1</v>
      </c>
      <c r="D7" s="3" t="str">
        <f>'Tabela de Jogos'!D7</f>
        <v>x</v>
      </c>
      <c r="E7" s="3">
        <f>'Tabela de Jogos'!E7</f>
        <v>1</v>
      </c>
      <c r="F7" s="3" t="str">
        <f>'Tabela de Jogos'!F7</f>
        <v>Suíça</v>
      </c>
      <c r="G7" s="3" t="str">
        <f>'Tabela de Jogos'!G7</f>
        <v>Empate</v>
      </c>
      <c r="H7" s="3"/>
      <c r="I7" s="3">
        <f t="shared" ref="I7:J7" si="13">A7</f>
        <v>5</v>
      </c>
      <c r="J7" s="3" t="str">
        <f t="shared" si="13"/>
        <v>Catar</v>
      </c>
      <c r="K7" s="3">
        <v>0</v>
      </c>
      <c r="L7" s="3" t="str">
        <f t="shared" si="2"/>
        <v>x</v>
      </c>
      <c r="M7" s="3">
        <v>3</v>
      </c>
      <c r="N7" s="3" t="str">
        <f t="shared" si="3"/>
        <v>Suíça</v>
      </c>
      <c r="O7" s="3" t="str">
        <f t="shared" si="4"/>
        <v>Suíça</v>
      </c>
      <c r="P7" s="3"/>
      <c r="Q7" s="3" t="b">
        <f t="shared" si="5"/>
        <v>0</v>
      </c>
      <c r="R7" s="3" t="b">
        <f t="shared" si="6"/>
        <v>0</v>
      </c>
      <c r="S7" s="3" t="b">
        <f t="shared" si="7"/>
        <v>0</v>
      </c>
      <c r="T7" s="3" t="b">
        <f t="shared" si="8"/>
        <v>0</v>
      </c>
      <c r="U7" s="3" t="b">
        <f t="shared" si="9"/>
        <v>1</v>
      </c>
      <c r="V7" s="3"/>
      <c r="W7" s="3" cm="1">
        <f t="array" ref="W7">IF(OR(J7="Brasil",N7="Brasil"),2*_xlfn.IFS(Q7=TRUE,6,R7=TRUE,4,AND(S7=TRUE,T7=FALSE),3,T7=TRUE,2,U7=TRUE,0),_xlfn.IFS(Q7=TRUE,6,R7=TRUE,4,AND(S7=TRUE,T7=FALSE),3,T7=TRUE,2,U7=TRUE,0))</f>
        <v>0</v>
      </c>
      <c r="X7" s="3"/>
      <c r="Y7" s="3"/>
    </row>
    <row r="8" spans="1:25" ht="14.25" customHeight="1" x14ac:dyDescent="0.3">
      <c r="A8" s="3">
        <f>'Tabela de Jogos'!A8</f>
        <v>6</v>
      </c>
      <c r="B8" s="3" t="str">
        <f>'Tabela de Jogos'!B8</f>
        <v>Brasil</v>
      </c>
      <c r="C8" s="3">
        <f>'Tabela de Jogos'!C8</f>
        <v>1</v>
      </c>
      <c r="D8" s="3" t="str">
        <f>'Tabela de Jogos'!D8</f>
        <v>x</v>
      </c>
      <c r="E8" s="3">
        <f>'Tabela de Jogos'!E8</f>
        <v>1</v>
      </c>
      <c r="F8" s="3" t="str">
        <f>'Tabela de Jogos'!F8</f>
        <v>Marrocos</v>
      </c>
      <c r="G8" s="3" t="str">
        <f>'Tabela de Jogos'!G8</f>
        <v>Empate</v>
      </c>
      <c r="H8" s="3"/>
      <c r="I8" s="3">
        <f t="shared" ref="I8:J8" si="14">A8</f>
        <v>6</v>
      </c>
      <c r="J8" s="3" t="str">
        <f t="shared" si="14"/>
        <v>Brasil</v>
      </c>
      <c r="K8" s="3">
        <v>2</v>
      </c>
      <c r="L8" s="3" t="str">
        <f t="shared" si="2"/>
        <v>x</v>
      </c>
      <c r="M8" s="3">
        <v>1</v>
      </c>
      <c r="N8" s="3" t="str">
        <f t="shared" si="3"/>
        <v>Marrocos</v>
      </c>
      <c r="O8" s="3" t="str">
        <f t="shared" si="4"/>
        <v>Brasil</v>
      </c>
      <c r="P8" s="3"/>
      <c r="Q8" s="3" t="b">
        <f t="shared" si="5"/>
        <v>0</v>
      </c>
      <c r="R8" s="3" t="b">
        <f t="shared" si="6"/>
        <v>0</v>
      </c>
      <c r="S8" s="3" t="b">
        <f t="shared" si="7"/>
        <v>0</v>
      </c>
      <c r="T8" s="3" t="b">
        <f t="shared" si="8"/>
        <v>0</v>
      </c>
      <c r="U8" s="3" t="b">
        <f t="shared" si="9"/>
        <v>1</v>
      </c>
      <c r="V8" s="3"/>
      <c r="W8" s="3" cm="1">
        <f t="array" ref="W8">IF(OR(J8="Brasil",N8="Brasil"),2*_xlfn.IFS(Q8=TRUE,6,R8=TRUE,4,AND(S8=TRUE,T8=FALSE),3,T8=TRUE,2,U8=TRUE,0),_xlfn.IFS(Q8=TRUE,6,R8=TRUE,4,AND(S8=TRUE,T8=FALSE),3,T8=TRUE,2,U8=TRUE,0))</f>
        <v>0</v>
      </c>
      <c r="X8" s="3"/>
      <c r="Y8" s="3"/>
    </row>
    <row r="9" spans="1:25" ht="14.25" customHeight="1" x14ac:dyDescent="0.3">
      <c r="A9" s="3">
        <f>'Tabela de Jogos'!A9</f>
        <v>7</v>
      </c>
      <c r="B9" s="3" t="str">
        <f>'Tabela de Jogos'!B9</f>
        <v>Haiti</v>
      </c>
      <c r="C9" s="3">
        <f>'Tabela de Jogos'!C9</f>
        <v>0</v>
      </c>
      <c r="D9" s="3" t="str">
        <f>'Tabela de Jogos'!D9</f>
        <v>x</v>
      </c>
      <c r="E9" s="3">
        <f>'Tabela de Jogos'!E9</f>
        <v>1</v>
      </c>
      <c r="F9" s="3" t="str">
        <f>'Tabela de Jogos'!F9</f>
        <v>Escócia</v>
      </c>
      <c r="G9" s="3" t="str">
        <f>'Tabela de Jogos'!G9</f>
        <v>Escócia</v>
      </c>
      <c r="H9" s="3"/>
      <c r="I9" s="3">
        <f t="shared" ref="I9:J9" si="15">A9</f>
        <v>7</v>
      </c>
      <c r="J9" s="3" t="str">
        <f t="shared" si="15"/>
        <v>Haiti</v>
      </c>
      <c r="K9" s="3">
        <v>1</v>
      </c>
      <c r="L9" s="3" t="str">
        <f t="shared" si="2"/>
        <v>x</v>
      </c>
      <c r="M9" s="3">
        <v>3</v>
      </c>
      <c r="N9" s="3" t="str">
        <f t="shared" si="3"/>
        <v>Escócia</v>
      </c>
      <c r="O9" s="3" t="str">
        <f t="shared" si="4"/>
        <v>Escócia</v>
      </c>
      <c r="P9" s="3"/>
      <c r="Q9" s="3" t="b">
        <f t="shared" si="5"/>
        <v>0</v>
      </c>
      <c r="R9" s="3" t="b">
        <f t="shared" si="6"/>
        <v>0</v>
      </c>
      <c r="S9" s="3" t="b">
        <f t="shared" si="7"/>
        <v>0</v>
      </c>
      <c r="T9" s="3" t="b">
        <f t="shared" si="8"/>
        <v>1</v>
      </c>
      <c r="U9" s="3" t="b">
        <f t="shared" si="9"/>
        <v>0</v>
      </c>
      <c r="V9" s="3"/>
      <c r="W9" s="3" cm="1">
        <f t="array" ref="W9">IF(OR(J9="Brasil",N9="Brasil"),2*_xlfn.IFS(Q9=TRUE,6,R9=TRUE,4,AND(S9=TRUE,T9=FALSE),3,T9=TRUE,2,U9=TRUE,0),_xlfn.IFS(Q9=TRUE,6,R9=TRUE,4,AND(S9=TRUE,T9=FALSE),3,T9=TRUE,2,U9=TRUE,0))</f>
        <v>2</v>
      </c>
      <c r="X9" s="3"/>
      <c r="Y9" s="3"/>
    </row>
    <row r="10" spans="1:25" ht="14.25" customHeight="1" x14ac:dyDescent="0.3">
      <c r="A10" s="3">
        <f>'Tabela de Jogos'!A10</f>
        <v>8</v>
      </c>
      <c r="B10" s="3" t="str">
        <f>'Tabela de Jogos'!B10</f>
        <v>Austrália</v>
      </c>
      <c r="C10" s="3">
        <f>'Tabela de Jogos'!C10</f>
        <v>2</v>
      </c>
      <c r="D10" s="3" t="str">
        <f>'Tabela de Jogos'!D10</f>
        <v>x</v>
      </c>
      <c r="E10" s="3">
        <f>'Tabela de Jogos'!E10</f>
        <v>0</v>
      </c>
      <c r="F10" s="3" t="str">
        <f>'Tabela de Jogos'!F10</f>
        <v>Turquia</v>
      </c>
      <c r="G10" s="3" t="str">
        <f>'Tabela de Jogos'!G10</f>
        <v>Austrália</v>
      </c>
      <c r="H10" s="3"/>
      <c r="I10" s="3">
        <f t="shared" ref="I10:J10" si="16">A10</f>
        <v>8</v>
      </c>
      <c r="J10" s="3" t="str">
        <f t="shared" si="16"/>
        <v>Austrália</v>
      </c>
      <c r="K10" s="3">
        <v>1</v>
      </c>
      <c r="L10" s="3" t="str">
        <f t="shared" si="2"/>
        <v>x</v>
      </c>
      <c r="M10" s="3">
        <v>2</v>
      </c>
      <c r="N10" s="3" t="str">
        <f t="shared" si="3"/>
        <v>Turquia</v>
      </c>
      <c r="O10" s="3" t="str">
        <f t="shared" si="4"/>
        <v>Turquia</v>
      </c>
      <c r="P10" s="3"/>
      <c r="Q10" s="3" t="b">
        <f t="shared" si="5"/>
        <v>0</v>
      </c>
      <c r="R10" s="3" t="b">
        <f t="shared" si="6"/>
        <v>0</v>
      </c>
      <c r="S10" s="3" t="b">
        <f t="shared" si="7"/>
        <v>0</v>
      </c>
      <c r="T10" s="3" t="b">
        <f t="shared" si="8"/>
        <v>0</v>
      </c>
      <c r="U10" s="3" t="b">
        <f t="shared" si="9"/>
        <v>1</v>
      </c>
      <c r="V10" s="3"/>
      <c r="W10" s="3" cm="1">
        <f t="array" ref="W10">IF(OR(J10="Brasil",N10="Brasil"),2*_xlfn.IFS(Q10=TRUE,6,R10=TRUE,4,AND(S10=TRUE,T10=FALSE),3,T10=TRUE,2,U10=TRUE,0),_xlfn.IFS(Q10=TRUE,6,R10=TRUE,4,AND(S10=TRUE,T10=FALSE),3,T10=TRUE,2,U10=TRUE,0))</f>
        <v>0</v>
      </c>
      <c r="X10" s="3"/>
      <c r="Y10" s="3"/>
    </row>
    <row r="11" spans="1:25" ht="14.25" customHeight="1" x14ac:dyDescent="0.3">
      <c r="A11" s="3">
        <f>'Tabela de Jogos'!A11</f>
        <v>9</v>
      </c>
      <c r="B11" s="3" t="str">
        <f>'Tabela de Jogos'!B11</f>
        <v>Alemanha</v>
      </c>
      <c r="C11" s="3">
        <f>'Tabela de Jogos'!C11</f>
        <v>7</v>
      </c>
      <c r="D11" s="3" t="str">
        <f>'Tabela de Jogos'!D11</f>
        <v>x</v>
      </c>
      <c r="E11" s="3">
        <f>'Tabela de Jogos'!E11</f>
        <v>1</v>
      </c>
      <c r="F11" s="3" t="str">
        <f>'Tabela de Jogos'!F11</f>
        <v>Curaçao</v>
      </c>
      <c r="G11" s="3" t="str">
        <f>'Tabela de Jogos'!G11</f>
        <v>Alemanha</v>
      </c>
      <c r="H11" s="3"/>
      <c r="I11" s="3">
        <f t="shared" ref="I11:J11" si="17">A11</f>
        <v>9</v>
      </c>
      <c r="J11" s="3" t="str">
        <f t="shared" si="17"/>
        <v>Alemanha</v>
      </c>
      <c r="K11" s="3">
        <v>4</v>
      </c>
      <c r="L11" s="3" t="str">
        <f t="shared" si="2"/>
        <v>x</v>
      </c>
      <c r="M11" s="3">
        <v>0</v>
      </c>
      <c r="N11" s="3" t="str">
        <f t="shared" si="3"/>
        <v>Curaçao</v>
      </c>
      <c r="O11" s="3" t="str">
        <f t="shared" si="4"/>
        <v>Alemanha</v>
      </c>
      <c r="P11" s="3"/>
      <c r="Q11" s="3" t="b">
        <f t="shared" si="5"/>
        <v>0</v>
      </c>
      <c r="R11" s="3" t="b">
        <f t="shared" si="6"/>
        <v>0</v>
      </c>
      <c r="S11" s="3" t="b">
        <f t="shared" si="7"/>
        <v>0</v>
      </c>
      <c r="T11" s="3" t="b">
        <f t="shared" si="8"/>
        <v>1</v>
      </c>
      <c r="U11" s="3" t="b">
        <f t="shared" si="9"/>
        <v>0</v>
      </c>
      <c r="V11" s="3"/>
      <c r="W11" s="3" cm="1">
        <f t="array" ref="W11">IF(OR(J11="Brasil",N11="Brasil"),2*_xlfn.IFS(Q11=TRUE,6,R11=TRUE,4,AND(S11=TRUE,T11=FALSE),3,T11=TRUE,2,U11=TRUE,0),_xlfn.IFS(Q11=TRUE,6,R11=TRUE,4,AND(S11=TRUE,T11=FALSE),3,T11=TRUE,2,U11=TRUE,0))</f>
        <v>2</v>
      </c>
      <c r="X11" s="3"/>
      <c r="Y11" s="3"/>
    </row>
    <row r="12" spans="1:25" ht="14.25" customHeight="1" x14ac:dyDescent="0.3">
      <c r="A12" s="3">
        <f>'Tabela de Jogos'!A12</f>
        <v>10</v>
      </c>
      <c r="B12" s="3" t="str">
        <f>'Tabela de Jogos'!B12</f>
        <v>Holanda</v>
      </c>
      <c r="C12" s="3">
        <f>'Tabela de Jogos'!C12</f>
        <v>2</v>
      </c>
      <c r="D12" s="3" t="str">
        <f>'Tabela de Jogos'!D12</f>
        <v>x</v>
      </c>
      <c r="E12" s="3">
        <f>'Tabela de Jogos'!E12</f>
        <v>2</v>
      </c>
      <c r="F12" s="3" t="str">
        <f>'Tabela de Jogos'!F12</f>
        <v>Japão</v>
      </c>
      <c r="G12" s="3" t="str">
        <f>'Tabela de Jogos'!G12</f>
        <v>Empate</v>
      </c>
      <c r="H12" s="3"/>
      <c r="I12" s="3">
        <f t="shared" ref="I12:J12" si="18">A12</f>
        <v>10</v>
      </c>
      <c r="J12" s="3" t="str">
        <f t="shared" si="18"/>
        <v>Holanda</v>
      </c>
      <c r="K12" s="3">
        <v>2</v>
      </c>
      <c r="L12" s="3" t="str">
        <f t="shared" si="2"/>
        <v>x</v>
      </c>
      <c r="M12" s="3">
        <v>1</v>
      </c>
      <c r="N12" s="3" t="str">
        <f t="shared" si="3"/>
        <v>Japão</v>
      </c>
      <c r="O12" s="3" t="str">
        <f t="shared" si="4"/>
        <v>Holanda</v>
      </c>
      <c r="P12" s="3"/>
      <c r="Q12" s="3" t="b">
        <f t="shared" si="5"/>
        <v>0</v>
      </c>
      <c r="R12" s="3" t="b">
        <f t="shared" si="6"/>
        <v>0</v>
      </c>
      <c r="S12" s="3" t="b">
        <f t="shared" si="7"/>
        <v>0</v>
      </c>
      <c r="T12" s="3" t="b">
        <f t="shared" si="8"/>
        <v>0</v>
      </c>
      <c r="U12" s="3" t="b">
        <f t="shared" si="9"/>
        <v>1</v>
      </c>
      <c r="V12" s="3"/>
      <c r="W12" s="3" cm="1">
        <f t="array" ref="W12">IF(OR(J12="Brasil",N12="Brasil"),2*_xlfn.IFS(Q12=TRUE,6,R12=TRUE,4,AND(S12=TRUE,T12=FALSE),3,T12=TRUE,2,U12=TRUE,0),_xlfn.IFS(Q12=TRUE,6,R12=TRUE,4,AND(S12=TRUE,T12=FALSE),3,T12=TRUE,2,U12=TRUE,0))</f>
        <v>0</v>
      </c>
      <c r="X12" s="3"/>
      <c r="Y12" s="3"/>
    </row>
    <row r="13" spans="1:25" ht="14.25" customHeight="1" x14ac:dyDescent="0.3">
      <c r="A13" s="3">
        <f>'Tabela de Jogos'!A13</f>
        <v>11</v>
      </c>
      <c r="B13" s="3" t="str">
        <f>'Tabela de Jogos'!B13</f>
        <v>Costa do Marfim</v>
      </c>
      <c r="C13" s="3">
        <f>'Tabela de Jogos'!C13</f>
        <v>1</v>
      </c>
      <c r="D13" s="3" t="str">
        <f>'Tabela de Jogos'!D13</f>
        <v>x</v>
      </c>
      <c r="E13" s="3">
        <f>'Tabela de Jogos'!E13</f>
        <v>0</v>
      </c>
      <c r="F13" s="3" t="str">
        <f>'Tabela de Jogos'!F13</f>
        <v>Equador</v>
      </c>
      <c r="G13" s="3" t="str">
        <f>'Tabela de Jogos'!G13</f>
        <v>Costa do Marfim</v>
      </c>
      <c r="H13" s="3"/>
      <c r="I13" s="3">
        <f t="shared" ref="I13:J13" si="19">A13</f>
        <v>11</v>
      </c>
      <c r="J13" s="3" t="str">
        <f t="shared" si="19"/>
        <v>Costa do Marfim</v>
      </c>
      <c r="K13" s="3">
        <v>0</v>
      </c>
      <c r="L13" s="3" t="str">
        <f t="shared" si="2"/>
        <v>x</v>
      </c>
      <c r="M13" s="3">
        <v>2</v>
      </c>
      <c r="N13" s="3" t="str">
        <f t="shared" si="3"/>
        <v>Equador</v>
      </c>
      <c r="O13" s="3" t="str">
        <f t="shared" si="4"/>
        <v>Equador</v>
      </c>
      <c r="P13" s="3"/>
      <c r="Q13" s="3" t="b">
        <f t="shared" si="5"/>
        <v>0</v>
      </c>
      <c r="R13" s="3" t="b">
        <f t="shared" si="6"/>
        <v>0</v>
      </c>
      <c r="S13" s="3" t="b">
        <f t="shared" si="7"/>
        <v>0</v>
      </c>
      <c r="T13" s="3" t="b">
        <f t="shared" si="8"/>
        <v>0</v>
      </c>
      <c r="U13" s="3" t="b">
        <f t="shared" si="9"/>
        <v>1</v>
      </c>
      <c r="V13" s="3"/>
      <c r="W13" s="3" cm="1">
        <f t="array" ref="W13">IF(OR(J13="Brasil",N13="Brasil"),2*_xlfn.IFS(Q13=TRUE,6,R13=TRUE,4,AND(S13=TRUE,T13=FALSE),3,T13=TRUE,2,U13=TRUE,0),_xlfn.IFS(Q13=TRUE,6,R13=TRUE,4,AND(S13=TRUE,T13=FALSE),3,T13=TRUE,2,U13=TRUE,0))</f>
        <v>0</v>
      </c>
      <c r="X13" s="3"/>
      <c r="Y13" s="3"/>
    </row>
    <row r="14" spans="1:25" ht="14.25" customHeight="1" x14ac:dyDescent="0.3">
      <c r="A14" s="3">
        <f>'Tabela de Jogos'!A14</f>
        <v>12</v>
      </c>
      <c r="B14" s="3" t="str">
        <f>'Tabela de Jogos'!B14</f>
        <v>Suécia</v>
      </c>
      <c r="C14" s="3">
        <f>'Tabela de Jogos'!C14</f>
        <v>5</v>
      </c>
      <c r="D14" s="3" t="str">
        <f>'Tabela de Jogos'!D14</f>
        <v>x</v>
      </c>
      <c r="E14" s="3">
        <f>'Tabela de Jogos'!E14</f>
        <v>1</v>
      </c>
      <c r="F14" s="3" t="str">
        <f>'Tabela de Jogos'!F14</f>
        <v>Tunísia</v>
      </c>
      <c r="G14" s="3" t="str">
        <f>'Tabela de Jogos'!G14</f>
        <v>Suécia</v>
      </c>
      <c r="H14" s="3"/>
      <c r="I14" s="3">
        <f t="shared" ref="I14:J14" si="20">A14</f>
        <v>12</v>
      </c>
      <c r="J14" s="3" t="str">
        <f t="shared" si="20"/>
        <v>Suécia</v>
      </c>
      <c r="K14" s="3">
        <v>1</v>
      </c>
      <c r="L14" s="3" t="str">
        <f t="shared" si="2"/>
        <v>x</v>
      </c>
      <c r="M14" s="3">
        <v>0</v>
      </c>
      <c r="N14" s="3" t="str">
        <f t="shared" si="3"/>
        <v>Tunísia</v>
      </c>
      <c r="O14" s="3" t="str">
        <f t="shared" si="4"/>
        <v>Suécia</v>
      </c>
      <c r="P14" s="3"/>
      <c r="Q14" s="3" t="b">
        <f t="shared" si="5"/>
        <v>0</v>
      </c>
      <c r="R14" s="3" t="b">
        <f t="shared" si="6"/>
        <v>0</v>
      </c>
      <c r="S14" s="3" t="b">
        <f t="shared" si="7"/>
        <v>0</v>
      </c>
      <c r="T14" s="3" t="b">
        <f t="shared" si="8"/>
        <v>1</v>
      </c>
      <c r="U14" s="3" t="b">
        <f t="shared" si="9"/>
        <v>0</v>
      </c>
      <c r="V14" s="3"/>
      <c r="W14" s="3" cm="1">
        <f t="array" ref="W14">IF(OR(J14="Brasil",N14="Brasil"),2*_xlfn.IFS(Q14=TRUE,6,R14=TRUE,4,AND(S14=TRUE,T14=FALSE),3,T14=TRUE,2,U14=TRUE,0),_xlfn.IFS(Q14=TRUE,6,R14=TRUE,4,AND(S14=TRUE,T14=FALSE),3,T14=TRUE,2,U14=TRUE,0))</f>
        <v>2</v>
      </c>
      <c r="X14" s="3"/>
      <c r="Y14" s="3"/>
    </row>
    <row r="15" spans="1:25" ht="14.25" customHeight="1" x14ac:dyDescent="0.3">
      <c r="A15" s="3">
        <f>'Tabela de Jogos'!A15</f>
        <v>13</v>
      </c>
      <c r="B15" s="3" t="str">
        <f>'Tabela de Jogos'!B15</f>
        <v>Espanha</v>
      </c>
      <c r="C15" s="3">
        <f>'Tabela de Jogos'!C15</f>
        <v>0</v>
      </c>
      <c r="D15" s="3" t="str">
        <f>'Tabela de Jogos'!D15</f>
        <v>x</v>
      </c>
      <c r="E15" s="3">
        <f>'Tabela de Jogos'!E15</f>
        <v>0</v>
      </c>
      <c r="F15" s="3" t="str">
        <f>'Tabela de Jogos'!F15</f>
        <v>Cabo Verde</v>
      </c>
      <c r="G15" s="3" t="str">
        <f>'Tabela de Jogos'!G15</f>
        <v>Empate</v>
      </c>
      <c r="H15" s="3"/>
      <c r="I15" s="3">
        <f t="shared" ref="I15:J15" si="21">A15</f>
        <v>13</v>
      </c>
      <c r="J15" s="3" t="str">
        <f t="shared" si="21"/>
        <v>Espanha</v>
      </c>
      <c r="K15" s="3">
        <v>5</v>
      </c>
      <c r="L15" s="3" t="str">
        <f t="shared" si="2"/>
        <v>x</v>
      </c>
      <c r="M15" s="3">
        <v>0</v>
      </c>
      <c r="N15" s="3" t="str">
        <f t="shared" si="3"/>
        <v>Cabo Verde</v>
      </c>
      <c r="O15" s="3" t="str">
        <f t="shared" si="4"/>
        <v>Espanha</v>
      </c>
      <c r="P15" s="3"/>
      <c r="Q15" s="3" t="b">
        <f t="shared" si="5"/>
        <v>0</v>
      </c>
      <c r="R15" s="3" t="b">
        <f t="shared" si="6"/>
        <v>0</v>
      </c>
      <c r="S15" s="3" t="b">
        <f t="shared" si="7"/>
        <v>0</v>
      </c>
      <c r="T15" s="3" t="b">
        <f t="shared" si="8"/>
        <v>0</v>
      </c>
      <c r="U15" s="3" t="b">
        <f t="shared" si="9"/>
        <v>1</v>
      </c>
      <c r="V15" s="3"/>
      <c r="W15" s="3" cm="1">
        <f t="array" ref="W15">IF(OR(J15="Brasil",N15="Brasil"),2*_xlfn.IFS(Q15=TRUE,6,R15=TRUE,4,AND(S15=TRUE,T15=FALSE),3,T15=TRUE,2,U15=TRUE,0),_xlfn.IFS(Q15=TRUE,6,R15=TRUE,4,AND(S15=TRUE,T15=FALSE),3,T15=TRUE,2,U15=TRUE,0))</f>
        <v>0</v>
      </c>
      <c r="X15" s="3"/>
      <c r="Y15" s="3"/>
    </row>
    <row r="16" spans="1:25" ht="14.25" customHeight="1" x14ac:dyDescent="0.3">
      <c r="A16" s="3">
        <f>'Tabela de Jogos'!A16</f>
        <v>14</v>
      </c>
      <c r="B16" s="3" t="str">
        <f>'Tabela de Jogos'!B16</f>
        <v>Bélgica</v>
      </c>
      <c r="C16" s="3">
        <f>'Tabela de Jogos'!C16</f>
        <v>1</v>
      </c>
      <c r="D16" s="3" t="str">
        <f>'Tabela de Jogos'!D16</f>
        <v>x</v>
      </c>
      <c r="E16" s="3">
        <f>'Tabela de Jogos'!E16</f>
        <v>1</v>
      </c>
      <c r="F16" s="3" t="str">
        <f>'Tabela de Jogos'!F16</f>
        <v>Egito</v>
      </c>
      <c r="G16" s="3" t="str">
        <f>'Tabela de Jogos'!G16</f>
        <v>Empate</v>
      </c>
      <c r="H16" s="3"/>
      <c r="I16" s="3">
        <f t="shared" ref="I16:J16" si="22">A16</f>
        <v>14</v>
      </c>
      <c r="J16" s="3" t="str">
        <f t="shared" si="22"/>
        <v>Bélgica</v>
      </c>
      <c r="K16" s="3">
        <v>2</v>
      </c>
      <c r="L16" s="3" t="str">
        <f t="shared" si="2"/>
        <v>x</v>
      </c>
      <c r="M16" s="3">
        <v>1</v>
      </c>
      <c r="N16" s="3" t="str">
        <f t="shared" si="3"/>
        <v>Egito</v>
      </c>
      <c r="O16" s="3" t="str">
        <f t="shared" si="4"/>
        <v>Bélgica</v>
      </c>
      <c r="P16" s="3"/>
      <c r="Q16" s="3" t="b">
        <f t="shared" si="5"/>
        <v>0</v>
      </c>
      <c r="R16" s="3" t="b">
        <f t="shared" si="6"/>
        <v>0</v>
      </c>
      <c r="S16" s="3" t="b">
        <f t="shared" si="7"/>
        <v>0</v>
      </c>
      <c r="T16" s="3" t="b">
        <f t="shared" si="8"/>
        <v>0</v>
      </c>
      <c r="U16" s="3" t="b">
        <f t="shared" si="9"/>
        <v>1</v>
      </c>
      <c r="V16" s="3"/>
      <c r="W16" s="3" cm="1">
        <f t="array" ref="W16">IF(OR(J16="Brasil",N16="Brasil"),2*_xlfn.IFS(Q16=TRUE,6,R16=TRUE,4,AND(S16=TRUE,T16=FALSE),3,T16=TRUE,2,U16=TRUE,0),_xlfn.IFS(Q16=TRUE,6,R16=TRUE,4,AND(S16=TRUE,T16=FALSE),3,T16=TRUE,2,U16=TRUE,0))</f>
        <v>0</v>
      </c>
      <c r="X16" s="3"/>
      <c r="Y16" s="3"/>
    </row>
    <row r="17" spans="1:25" ht="14.25" customHeight="1" x14ac:dyDescent="0.3">
      <c r="A17" s="3">
        <f>'Tabela de Jogos'!A17</f>
        <v>15</v>
      </c>
      <c r="B17" s="3" t="str">
        <f>'Tabela de Jogos'!B17</f>
        <v>Arábia Saudita</v>
      </c>
      <c r="C17" s="3">
        <f>'Tabela de Jogos'!C17</f>
        <v>1</v>
      </c>
      <c r="D17" s="3" t="str">
        <f>'Tabela de Jogos'!D17</f>
        <v>x</v>
      </c>
      <c r="E17" s="3">
        <f>'Tabela de Jogos'!E17</f>
        <v>1</v>
      </c>
      <c r="F17" s="3" t="str">
        <f>'Tabela de Jogos'!F17</f>
        <v>Uruguai</v>
      </c>
      <c r="G17" s="3" t="str">
        <f>'Tabela de Jogos'!G17</f>
        <v>Empate</v>
      </c>
      <c r="H17" s="3"/>
      <c r="I17" s="3">
        <f t="shared" ref="I17:J17" si="23">A17</f>
        <v>15</v>
      </c>
      <c r="J17" s="3" t="str">
        <f t="shared" si="23"/>
        <v>Arábia Saudita</v>
      </c>
      <c r="K17" s="3">
        <v>0</v>
      </c>
      <c r="L17" s="3" t="str">
        <f t="shared" si="2"/>
        <v>x</v>
      </c>
      <c r="M17" s="3">
        <v>1</v>
      </c>
      <c r="N17" s="3" t="str">
        <f t="shared" si="3"/>
        <v>Uruguai</v>
      </c>
      <c r="O17" s="3" t="str">
        <f t="shared" si="4"/>
        <v>Uruguai</v>
      </c>
      <c r="P17" s="3"/>
      <c r="Q17" s="3" t="b">
        <f t="shared" si="5"/>
        <v>0</v>
      </c>
      <c r="R17" s="3" t="b">
        <f t="shared" si="6"/>
        <v>0</v>
      </c>
      <c r="S17" s="3" t="b">
        <f t="shared" si="7"/>
        <v>0</v>
      </c>
      <c r="T17" s="3" t="b">
        <f t="shared" si="8"/>
        <v>0</v>
      </c>
      <c r="U17" s="3" t="b">
        <f t="shared" si="9"/>
        <v>1</v>
      </c>
      <c r="V17" s="3"/>
      <c r="W17" s="3" cm="1">
        <f t="array" ref="W17">IF(OR(J17="Brasil",N17="Brasil"),2*_xlfn.IFS(Q17=TRUE,6,R17=TRUE,4,AND(S17=TRUE,T17=FALSE),3,T17=TRUE,2,U17=TRUE,0),_xlfn.IFS(Q17=TRUE,6,R17=TRUE,4,AND(S17=TRUE,T17=FALSE),3,T17=TRUE,2,U17=TRUE,0))</f>
        <v>0</v>
      </c>
      <c r="X17" s="3"/>
      <c r="Y17" s="3"/>
    </row>
    <row r="18" spans="1:25" ht="14.25" customHeight="1" x14ac:dyDescent="0.3">
      <c r="A18" s="3">
        <f>'Tabela de Jogos'!A18</f>
        <v>16</v>
      </c>
      <c r="B18" s="3" t="str">
        <f>'Tabela de Jogos'!B18</f>
        <v>Irã</v>
      </c>
      <c r="C18" s="3">
        <f>'Tabela de Jogos'!C18</f>
        <v>2</v>
      </c>
      <c r="D18" s="3" t="str">
        <f>'Tabela de Jogos'!D18</f>
        <v>x</v>
      </c>
      <c r="E18" s="3">
        <f>'Tabela de Jogos'!E18</f>
        <v>2</v>
      </c>
      <c r="F18" s="3" t="str">
        <f>'Tabela de Jogos'!F18</f>
        <v>Nova Zelândia</v>
      </c>
      <c r="G18" s="3" t="str">
        <f>'Tabela de Jogos'!G18</f>
        <v>Empate</v>
      </c>
      <c r="H18" s="3"/>
      <c r="I18" s="3">
        <f t="shared" ref="I18:J18" si="24">A18</f>
        <v>16</v>
      </c>
      <c r="J18" s="3" t="str">
        <f t="shared" si="24"/>
        <v>Irã</v>
      </c>
      <c r="K18" s="3">
        <v>1</v>
      </c>
      <c r="L18" s="3" t="str">
        <f t="shared" si="2"/>
        <v>x</v>
      </c>
      <c r="M18" s="3">
        <v>0</v>
      </c>
      <c r="N18" s="3" t="str">
        <f t="shared" si="3"/>
        <v>Nova Zelândia</v>
      </c>
      <c r="O18" s="3" t="str">
        <f t="shared" si="4"/>
        <v>Irã</v>
      </c>
      <c r="P18" s="3"/>
      <c r="Q18" s="3" t="b">
        <f t="shared" si="5"/>
        <v>0</v>
      </c>
      <c r="R18" s="3" t="b">
        <f t="shared" si="6"/>
        <v>0</v>
      </c>
      <c r="S18" s="3" t="b">
        <f t="shared" si="7"/>
        <v>0</v>
      </c>
      <c r="T18" s="3" t="b">
        <f t="shared" si="8"/>
        <v>0</v>
      </c>
      <c r="U18" s="3" t="b">
        <f t="shared" si="9"/>
        <v>1</v>
      </c>
      <c r="V18" s="3"/>
      <c r="W18" s="3" cm="1">
        <f t="array" ref="W18">IF(OR(J18="Brasil",N18="Brasil"),2*_xlfn.IFS(Q18=TRUE,6,R18=TRUE,4,AND(S18=TRUE,T18=FALSE),3,T18=TRUE,2,U18=TRUE,0),_xlfn.IFS(Q18=TRUE,6,R18=TRUE,4,AND(S18=TRUE,T18=FALSE),3,T18=TRUE,2,U18=TRUE,0))</f>
        <v>0</v>
      </c>
      <c r="X18" s="3"/>
      <c r="Y18" s="3"/>
    </row>
    <row r="19" spans="1:25" ht="14.25" customHeight="1" x14ac:dyDescent="0.3">
      <c r="A19" s="3">
        <f>'Tabela de Jogos'!A19</f>
        <v>17</v>
      </c>
      <c r="B19" s="3" t="str">
        <f>'Tabela de Jogos'!B19</f>
        <v>França</v>
      </c>
      <c r="C19" s="3">
        <f>'Tabela de Jogos'!C19</f>
        <v>3</v>
      </c>
      <c r="D19" s="3" t="str">
        <f>'Tabela de Jogos'!D19</f>
        <v>x</v>
      </c>
      <c r="E19" s="3">
        <f>'Tabela de Jogos'!E19</f>
        <v>1</v>
      </c>
      <c r="F19" s="3" t="str">
        <f>'Tabela de Jogos'!F19</f>
        <v>Senegal</v>
      </c>
      <c r="G19" s="3" t="str">
        <f>'Tabela de Jogos'!G19</f>
        <v>França</v>
      </c>
      <c r="H19" s="3"/>
      <c r="I19" s="3">
        <f t="shared" ref="I19:J19" si="25">A19</f>
        <v>17</v>
      </c>
      <c r="J19" s="3" t="str">
        <f t="shared" si="25"/>
        <v>França</v>
      </c>
      <c r="K19" s="3">
        <v>3</v>
      </c>
      <c r="L19" s="3" t="str">
        <f t="shared" si="2"/>
        <v>x</v>
      </c>
      <c r="M19" s="3">
        <v>1</v>
      </c>
      <c r="N19" s="3" t="str">
        <f t="shared" si="3"/>
        <v>Senegal</v>
      </c>
      <c r="O19" s="3" t="str">
        <f t="shared" si="4"/>
        <v>França</v>
      </c>
      <c r="P19" s="3"/>
      <c r="Q19" s="3" t="b">
        <f t="shared" si="5"/>
        <v>1</v>
      </c>
      <c r="R19" s="3" t="b">
        <f t="shared" si="6"/>
        <v>0</v>
      </c>
      <c r="S19" s="3" t="b">
        <f t="shared" si="7"/>
        <v>0</v>
      </c>
      <c r="T19" s="3" t="b">
        <f t="shared" si="8"/>
        <v>0</v>
      </c>
      <c r="U19" s="3" t="b">
        <f t="shared" si="9"/>
        <v>0</v>
      </c>
      <c r="V19" s="3"/>
      <c r="W19" s="3" cm="1">
        <f t="array" ref="W19">IF(OR(J19="Brasil",N19="Brasil"),2*_xlfn.IFS(Q19=TRUE,6,R19=TRUE,4,AND(S19=TRUE,T19=FALSE),3,T19=TRUE,2,U19=TRUE,0),_xlfn.IFS(Q19=TRUE,6,R19=TRUE,4,AND(S19=TRUE,T19=FALSE),3,T19=TRUE,2,U19=TRUE,0))</f>
        <v>6</v>
      </c>
      <c r="X19" s="3"/>
      <c r="Y19" s="3"/>
    </row>
    <row r="20" spans="1:25" ht="14.25" customHeight="1" x14ac:dyDescent="0.3">
      <c r="A20" s="3">
        <f>'Tabela de Jogos'!A20</f>
        <v>18</v>
      </c>
      <c r="B20" s="3" t="str">
        <f>'Tabela de Jogos'!B20</f>
        <v>Iraque</v>
      </c>
      <c r="C20" s="3">
        <f>'Tabela de Jogos'!C20</f>
        <v>1</v>
      </c>
      <c r="D20" s="3" t="str">
        <f>'Tabela de Jogos'!D20</f>
        <v>x</v>
      </c>
      <c r="E20" s="3">
        <f>'Tabela de Jogos'!E20</f>
        <v>4</v>
      </c>
      <c r="F20" s="3" t="str">
        <f>'Tabela de Jogos'!F20</f>
        <v>Noruega</v>
      </c>
      <c r="G20" s="3" t="str">
        <f>'Tabela de Jogos'!G20</f>
        <v>Noruega</v>
      </c>
      <c r="H20" s="3"/>
      <c r="I20" s="3">
        <f t="shared" ref="I20:J20" si="26">A20</f>
        <v>18</v>
      </c>
      <c r="J20" s="3" t="str">
        <f t="shared" si="26"/>
        <v>Iraque</v>
      </c>
      <c r="K20" s="3">
        <v>0</v>
      </c>
      <c r="L20" s="3" t="str">
        <f t="shared" si="2"/>
        <v>x</v>
      </c>
      <c r="M20" s="3">
        <v>2</v>
      </c>
      <c r="N20" s="3" t="str">
        <f t="shared" si="3"/>
        <v>Noruega</v>
      </c>
      <c r="O20" s="3" t="str">
        <f t="shared" si="4"/>
        <v>Noruega</v>
      </c>
      <c r="P20" s="3"/>
      <c r="Q20" s="3" t="b">
        <f t="shared" si="5"/>
        <v>0</v>
      </c>
      <c r="R20" s="3" t="b">
        <f t="shared" si="6"/>
        <v>0</v>
      </c>
      <c r="S20" s="3" t="b">
        <f t="shared" si="7"/>
        <v>0</v>
      </c>
      <c r="T20" s="3" t="b">
        <f t="shared" si="8"/>
        <v>1</v>
      </c>
      <c r="U20" s="3" t="b">
        <f t="shared" si="9"/>
        <v>0</v>
      </c>
      <c r="V20" s="3"/>
      <c r="W20" s="3" cm="1">
        <f t="array" ref="W20">IF(OR(J20="Brasil",N20="Brasil"),2*_xlfn.IFS(Q20=TRUE,6,R20=TRUE,4,AND(S20=TRUE,T20=FALSE),3,T20=TRUE,2,U20=TRUE,0),_xlfn.IFS(Q20=TRUE,6,R20=TRUE,4,AND(S20=TRUE,T20=FALSE),3,T20=TRUE,2,U20=TRUE,0))</f>
        <v>2</v>
      </c>
      <c r="X20" s="3"/>
      <c r="Y20" s="3"/>
    </row>
    <row r="21" spans="1:25" ht="14.25" customHeight="1" x14ac:dyDescent="0.3">
      <c r="A21" s="3">
        <f>'Tabela de Jogos'!A21</f>
        <v>19</v>
      </c>
      <c r="B21" s="3" t="str">
        <f>'Tabela de Jogos'!B21</f>
        <v>Argentina</v>
      </c>
      <c r="C21" s="3">
        <f>'Tabela de Jogos'!C21</f>
        <v>3</v>
      </c>
      <c r="D21" s="3" t="str">
        <f>'Tabela de Jogos'!D21</f>
        <v>x</v>
      </c>
      <c r="E21" s="3">
        <f>'Tabela de Jogos'!E21</f>
        <v>0</v>
      </c>
      <c r="F21" s="3" t="str">
        <f>'Tabela de Jogos'!F21</f>
        <v>Argélia</v>
      </c>
      <c r="G21" s="3" t="str">
        <f>'Tabela de Jogos'!G21</f>
        <v>Argentina</v>
      </c>
      <c r="H21" s="3"/>
      <c r="I21" s="3">
        <f t="shared" ref="I21:J21" si="27">A21</f>
        <v>19</v>
      </c>
      <c r="J21" s="3" t="str">
        <f t="shared" si="27"/>
        <v>Argentina</v>
      </c>
      <c r="K21" s="3">
        <v>3</v>
      </c>
      <c r="L21" s="3" t="str">
        <f t="shared" si="2"/>
        <v>x</v>
      </c>
      <c r="M21" s="3">
        <v>0</v>
      </c>
      <c r="N21" s="3" t="str">
        <f t="shared" si="3"/>
        <v>Argélia</v>
      </c>
      <c r="O21" s="3" t="str">
        <f t="shared" si="4"/>
        <v>Argentina</v>
      </c>
      <c r="P21" s="3"/>
      <c r="Q21" s="3" t="b">
        <f t="shared" si="5"/>
        <v>1</v>
      </c>
      <c r="R21" s="3" t="b">
        <f t="shared" si="6"/>
        <v>0</v>
      </c>
      <c r="S21" s="3" t="b">
        <f t="shared" si="7"/>
        <v>0</v>
      </c>
      <c r="T21" s="3" t="b">
        <f t="shared" si="8"/>
        <v>0</v>
      </c>
      <c r="U21" s="3" t="b">
        <f t="shared" si="9"/>
        <v>0</v>
      </c>
      <c r="V21" s="3"/>
      <c r="W21" s="3" cm="1">
        <f t="array" ref="W21">IF(OR(J21="Brasil",N21="Brasil"),2*_xlfn.IFS(Q21=TRUE,6,R21=TRUE,4,AND(S21=TRUE,T21=FALSE),3,T21=TRUE,2,U21=TRUE,0),_xlfn.IFS(Q21=TRUE,6,R21=TRUE,4,AND(S21=TRUE,T21=FALSE),3,T21=TRUE,2,U21=TRUE,0))</f>
        <v>6</v>
      </c>
      <c r="X21" s="3"/>
      <c r="Y21" s="3"/>
    </row>
    <row r="22" spans="1:25" ht="14.25" customHeight="1" x14ac:dyDescent="0.3">
      <c r="A22" s="3">
        <f>'Tabela de Jogos'!A22</f>
        <v>20</v>
      </c>
      <c r="B22" s="3" t="str">
        <f>'Tabela de Jogos'!B22</f>
        <v>Áustria</v>
      </c>
      <c r="C22" s="3">
        <f>'Tabela de Jogos'!C22</f>
        <v>3</v>
      </c>
      <c r="D22" s="3" t="str">
        <f>'Tabela de Jogos'!D22</f>
        <v>x</v>
      </c>
      <c r="E22" s="3">
        <f>'Tabela de Jogos'!E22</f>
        <v>1</v>
      </c>
      <c r="F22" s="3" t="str">
        <f>'Tabela de Jogos'!F22</f>
        <v>Jordânia</v>
      </c>
      <c r="G22" s="3" t="str">
        <f>'Tabela de Jogos'!G22</f>
        <v>Áustria</v>
      </c>
      <c r="H22" s="3"/>
      <c r="I22" s="3">
        <f t="shared" ref="I22:J22" si="28">A22</f>
        <v>20</v>
      </c>
      <c r="J22" s="3" t="str">
        <f t="shared" si="28"/>
        <v>Áustria</v>
      </c>
      <c r="K22" s="3">
        <v>2</v>
      </c>
      <c r="L22" s="3" t="str">
        <f t="shared" si="2"/>
        <v>x</v>
      </c>
      <c r="M22" s="3">
        <v>0</v>
      </c>
      <c r="N22" s="3" t="str">
        <f t="shared" si="3"/>
        <v>Jordânia</v>
      </c>
      <c r="O22" s="3" t="str">
        <f t="shared" si="4"/>
        <v>Áustria</v>
      </c>
      <c r="P22" s="3"/>
      <c r="Q22" s="3" t="b">
        <f t="shared" si="5"/>
        <v>0</v>
      </c>
      <c r="R22" s="3" t="b">
        <f t="shared" si="6"/>
        <v>0</v>
      </c>
      <c r="S22" s="3" t="b">
        <f t="shared" si="7"/>
        <v>1</v>
      </c>
      <c r="T22" s="3" t="b">
        <f t="shared" si="8"/>
        <v>0</v>
      </c>
      <c r="U22" s="3" t="b">
        <f t="shared" si="9"/>
        <v>0</v>
      </c>
      <c r="V22" s="3"/>
      <c r="W22" s="3" cm="1">
        <f t="array" ref="W22">IF(OR(J22="Brasil",N22="Brasil"),2*_xlfn.IFS(Q22=TRUE,6,R22=TRUE,4,AND(S22=TRUE,T22=FALSE),3,T22=TRUE,2,U22=TRUE,0),_xlfn.IFS(Q22=TRUE,6,R22=TRUE,4,AND(S22=TRUE,T22=FALSE),3,T22=TRUE,2,U22=TRUE,0))</f>
        <v>3</v>
      </c>
      <c r="X22" s="3"/>
      <c r="Y22" s="3"/>
    </row>
    <row r="23" spans="1:25" ht="14.25" customHeight="1" x14ac:dyDescent="0.3">
      <c r="A23" s="3">
        <f>'Tabela de Jogos'!A23</f>
        <v>21</v>
      </c>
      <c r="B23" s="3" t="str">
        <f>'Tabela de Jogos'!B23</f>
        <v>Portugal</v>
      </c>
      <c r="C23" s="3">
        <f>'Tabela de Jogos'!C23</f>
        <v>1</v>
      </c>
      <c r="D23" s="3" t="str">
        <f>'Tabela de Jogos'!D23</f>
        <v>x</v>
      </c>
      <c r="E23" s="3">
        <f>'Tabela de Jogos'!E23</f>
        <v>1</v>
      </c>
      <c r="F23" s="3" t="str">
        <f>'Tabela de Jogos'!F23</f>
        <v>RD Congo</v>
      </c>
      <c r="G23" s="3" t="str">
        <f>'Tabela de Jogos'!G23</f>
        <v>Empate</v>
      </c>
      <c r="H23" s="3"/>
      <c r="I23" s="3">
        <f t="shared" ref="I23:J23" si="29">A23</f>
        <v>21</v>
      </c>
      <c r="J23" s="3" t="str">
        <f t="shared" si="29"/>
        <v>Portugal</v>
      </c>
      <c r="K23" s="3">
        <v>4</v>
      </c>
      <c r="L23" s="3" t="str">
        <f t="shared" si="2"/>
        <v>x</v>
      </c>
      <c r="M23" s="3">
        <v>0</v>
      </c>
      <c r="N23" s="3" t="str">
        <f t="shared" si="3"/>
        <v>RD Congo</v>
      </c>
      <c r="O23" s="3" t="str">
        <f t="shared" si="4"/>
        <v>Portugal</v>
      </c>
      <c r="P23" s="3"/>
      <c r="Q23" s="3" t="b">
        <f t="shared" si="5"/>
        <v>0</v>
      </c>
      <c r="R23" s="3" t="b">
        <f t="shared" si="6"/>
        <v>0</v>
      </c>
      <c r="S23" s="3" t="b">
        <f t="shared" si="7"/>
        <v>0</v>
      </c>
      <c r="T23" s="3" t="b">
        <f t="shared" si="8"/>
        <v>0</v>
      </c>
      <c r="U23" s="3" t="b">
        <f t="shared" si="9"/>
        <v>1</v>
      </c>
      <c r="V23" s="3"/>
      <c r="W23" s="3" cm="1">
        <f t="array" ref="W23">IF(OR(J23="Brasil",N23="Brasil"),2*_xlfn.IFS(Q23=TRUE,6,R23=TRUE,4,AND(S23=TRUE,T23=FALSE),3,T23=TRUE,2,U23=TRUE,0),_xlfn.IFS(Q23=TRUE,6,R23=TRUE,4,AND(S23=TRUE,T23=FALSE),3,T23=TRUE,2,U23=TRUE,0))</f>
        <v>0</v>
      </c>
      <c r="X23" s="3"/>
      <c r="Y23" s="3"/>
    </row>
    <row r="24" spans="1:25" ht="14.25" customHeight="1" x14ac:dyDescent="0.3">
      <c r="A24" s="3">
        <f>'Tabela de Jogos'!A24</f>
        <v>22</v>
      </c>
      <c r="B24" s="3" t="str">
        <f>'Tabela de Jogos'!B24</f>
        <v>Inglaterra</v>
      </c>
      <c r="C24" s="3">
        <f>'Tabela de Jogos'!C24</f>
        <v>4</v>
      </c>
      <c r="D24" s="3" t="str">
        <f>'Tabela de Jogos'!D24</f>
        <v>x</v>
      </c>
      <c r="E24" s="3">
        <f>'Tabela de Jogos'!E24</f>
        <v>2</v>
      </c>
      <c r="F24" s="3" t="str">
        <f>'Tabela de Jogos'!F24</f>
        <v>Croácia</v>
      </c>
      <c r="G24" s="3" t="str">
        <f>'Tabela de Jogos'!G24</f>
        <v>Inglaterra</v>
      </c>
      <c r="H24" s="3"/>
      <c r="I24" s="3">
        <f t="shared" ref="I24:J24" si="30">A24</f>
        <v>22</v>
      </c>
      <c r="J24" s="3" t="str">
        <f t="shared" si="30"/>
        <v>Inglaterra</v>
      </c>
      <c r="K24" s="3">
        <v>3</v>
      </c>
      <c r="L24" s="3" t="str">
        <f t="shared" si="2"/>
        <v>x</v>
      </c>
      <c r="M24" s="3">
        <v>1</v>
      </c>
      <c r="N24" s="3" t="str">
        <f t="shared" si="3"/>
        <v>Croácia</v>
      </c>
      <c r="O24" s="3" t="str">
        <f t="shared" si="4"/>
        <v>Inglaterra</v>
      </c>
      <c r="P24" s="3"/>
      <c r="Q24" s="3" t="b">
        <f t="shared" si="5"/>
        <v>0</v>
      </c>
      <c r="R24" s="3" t="b">
        <f t="shared" si="6"/>
        <v>0</v>
      </c>
      <c r="S24" s="3" t="b">
        <f t="shared" si="7"/>
        <v>1</v>
      </c>
      <c r="T24" s="3" t="b">
        <f t="shared" si="8"/>
        <v>0</v>
      </c>
      <c r="U24" s="3" t="b">
        <f t="shared" si="9"/>
        <v>0</v>
      </c>
      <c r="V24" s="3"/>
      <c r="W24" s="3" cm="1">
        <f t="array" ref="W24">IF(OR(J24="Brasil",N24="Brasil"),2*_xlfn.IFS(Q24=TRUE,6,R24=TRUE,4,AND(S24=TRUE,T24=FALSE),3,T24=TRUE,2,U24=TRUE,0),_xlfn.IFS(Q24=TRUE,6,R24=TRUE,4,AND(S24=TRUE,T24=FALSE),3,T24=TRUE,2,U24=TRUE,0))</f>
        <v>3</v>
      </c>
      <c r="X24" s="3"/>
      <c r="Y24" s="3"/>
    </row>
    <row r="25" spans="1:25" ht="14.25" customHeight="1" x14ac:dyDescent="0.3">
      <c r="A25" s="3">
        <f>'Tabela de Jogos'!A25</f>
        <v>23</v>
      </c>
      <c r="B25" s="3" t="str">
        <f>'Tabela de Jogos'!B25</f>
        <v>Gana</v>
      </c>
      <c r="C25" s="3">
        <f>'Tabela de Jogos'!C25</f>
        <v>1</v>
      </c>
      <c r="D25" s="3" t="str">
        <f>'Tabela de Jogos'!D25</f>
        <v>x</v>
      </c>
      <c r="E25" s="3">
        <f>'Tabela de Jogos'!E25</f>
        <v>0</v>
      </c>
      <c r="F25" s="3" t="str">
        <f>'Tabela de Jogos'!F25</f>
        <v>Panamá</v>
      </c>
      <c r="G25" s="3" t="str">
        <f>'Tabela de Jogos'!G25</f>
        <v>Gana</v>
      </c>
      <c r="H25" s="3"/>
      <c r="I25" s="3">
        <f t="shared" ref="I25:J25" si="31">A25</f>
        <v>23</v>
      </c>
      <c r="J25" s="3" t="str">
        <f t="shared" si="31"/>
        <v>Gana</v>
      </c>
      <c r="K25" s="3">
        <v>2</v>
      </c>
      <c r="L25" s="3" t="str">
        <f t="shared" si="2"/>
        <v>x</v>
      </c>
      <c r="M25" s="3">
        <v>0</v>
      </c>
      <c r="N25" s="3" t="str">
        <f t="shared" si="3"/>
        <v>Panamá</v>
      </c>
      <c r="O25" s="3" t="str">
        <f t="shared" si="4"/>
        <v>Gana</v>
      </c>
      <c r="P25" s="3"/>
      <c r="Q25" s="3" t="b">
        <f t="shared" si="5"/>
        <v>0</v>
      </c>
      <c r="R25" s="3" t="b">
        <f t="shared" si="6"/>
        <v>0</v>
      </c>
      <c r="S25" s="3" t="b">
        <f t="shared" si="7"/>
        <v>0</v>
      </c>
      <c r="T25" s="3" t="b">
        <f t="shared" si="8"/>
        <v>1</v>
      </c>
      <c r="U25" s="3" t="b">
        <f t="shared" si="9"/>
        <v>0</v>
      </c>
      <c r="V25" s="3"/>
      <c r="W25" s="3" cm="1">
        <f t="array" ref="W25">IF(OR(J25="Brasil",N25="Brasil"),2*_xlfn.IFS(Q25=TRUE,6,R25=TRUE,4,AND(S25=TRUE,T25=FALSE),3,T25=TRUE,2,U25=TRUE,0),_xlfn.IFS(Q25=TRUE,6,R25=TRUE,4,AND(S25=TRUE,T25=FALSE),3,T25=TRUE,2,U25=TRUE,0))</f>
        <v>2</v>
      </c>
      <c r="X25" s="3"/>
      <c r="Y25" s="3"/>
    </row>
    <row r="26" spans="1:25" ht="14.25" customHeight="1" x14ac:dyDescent="0.3">
      <c r="A26" s="3">
        <f>'Tabela de Jogos'!A26</f>
        <v>24</v>
      </c>
      <c r="B26" s="3" t="str">
        <f>'Tabela de Jogos'!B26</f>
        <v>Uzbequistão</v>
      </c>
      <c r="C26" s="3">
        <f>'Tabela de Jogos'!C26</f>
        <v>1</v>
      </c>
      <c r="D26" s="3" t="str">
        <f>'Tabela de Jogos'!D26</f>
        <v>x</v>
      </c>
      <c r="E26" s="3">
        <f>'Tabela de Jogos'!E26</f>
        <v>3</v>
      </c>
      <c r="F26" s="3" t="str">
        <f>'Tabela de Jogos'!F26</f>
        <v>Colômbia</v>
      </c>
      <c r="G26" s="3" t="str">
        <f>'Tabela de Jogos'!G26</f>
        <v>Colômbia</v>
      </c>
      <c r="H26" s="3"/>
      <c r="I26" s="3">
        <f t="shared" ref="I26:J26" si="32">A26</f>
        <v>24</v>
      </c>
      <c r="J26" s="3" t="str">
        <f t="shared" si="32"/>
        <v>Uzbequistão</v>
      </c>
      <c r="K26" s="3">
        <v>0</v>
      </c>
      <c r="L26" s="3" t="str">
        <f t="shared" si="2"/>
        <v>x</v>
      </c>
      <c r="M26" s="3">
        <v>2</v>
      </c>
      <c r="N26" s="3" t="str">
        <f t="shared" si="3"/>
        <v>Colômbia</v>
      </c>
      <c r="O26" s="3" t="str">
        <f t="shared" si="4"/>
        <v>Colômbia</v>
      </c>
      <c r="P26" s="3"/>
      <c r="Q26" s="3" t="b">
        <f t="shared" si="5"/>
        <v>0</v>
      </c>
      <c r="R26" s="3" t="b">
        <f t="shared" si="6"/>
        <v>0</v>
      </c>
      <c r="S26" s="3" t="b">
        <f t="shared" si="7"/>
        <v>1</v>
      </c>
      <c r="T26" s="3" t="b">
        <f t="shared" si="8"/>
        <v>0</v>
      </c>
      <c r="U26" s="3" t="b">
        <f t="shared" si="9"/>
        <v>0</v>
      </c>
      <c r="V26" s="3"/>
      <c r="W26" s="3" cm="1">
        <f t="array" ref="W26">IF(OR(J26="Brasil",N26="Brasil"),2*_xlfn.IFS(Q26=TRUE,6,R26=TRUE,4,AND(S26=TRUE,T26=FALSE),3,T26=TRUE,2,U26=TRUE,0),_xlfn.IFS(Q26=TRUE,6,R26=TRUE,4,AND(S26=TRUE,T26=FALSE),3,T26=TRUE,2,U26=TRUE,0))</f>
        <v>3</v>
      </c>
      <c r="X26" s="3"/>
      <c r="Y26" s="3"/>
    </row>
    <row r="27" spans="1:25" ht="14.25" customHeight="1" x14ac:dyDescent="0.3">
      <c r="A27" s="3">
        <f>'Tabela de Jogos'!A27</f>
        <v>25</v>
      </c>
      <c r="B27" s="3" t="str">
        <f>'Tabela de Jogos'!B27</f>
        <v>Tchéquia</v>
      </c>
      <c r="C27" s="3">
        <f>'Tabela de Jogos'!C27</f>
        <v>1</v>
      </c>
      <c r="D27" s="3" t="str">
        <f>'Tabela de Jogos'!D27</f>
        <v>x</v>
      </c>
      <c r="E27" s="3">
        <f>'Tabela de Jogos'!E27</f>
        <v>1</v>
      </c>
      <c r="F27" s="3" t="str">
        <f>'Tabela de Jogos'!F27</f>
        <v>África do Sul</v>
      </c>
      <c r="G27" s="3" t="str">
        <f>'Tabela de Jogos'!G27</f>
        <v>Empate</v>
      </c>
      <c r="H27" s="3"/>
      <c r="I27" s="3">
        <f t="shared" ref="I27:J27" si="33">A27</f>
        <v>25</v>
      </c>
      <c r="J27" s="3" t="str">
        <f t="shared" si="33"/>
        <v>Tchéquia</v>
      </c>
      <c r="K27" s="3">
        <v>2</v>
      </c>
      <c r="L27" s="3" t="str">
        <f t="shared" si="2"/>
        <v>x</v>
      </c>
      <c r="M27" s="3">
        <v>0</v>
      </c>
      <c r="N27" s="3" t="str">
        <f t="shared" si="3"/>
        <v>África do Sul</v>
      </c>
      <c r="O27" s="3" t="str">
        <f t="shared" si="4"/>
        <v>Tchéquia</v>
      </c>
      <c r="P27" s="3"/>
      <c r="Q27" s="3" t="b">
        <f t="shared" si="5"/>
        <v>0</v>
      </c>
      <c r="R27" s="3" t="b">
        <f t="shared" si="6"/>
        <v>0</v>
      </c>
      <c r="S27" s="3" t="b">
        <f t="shared" si="7"/>
        <v>0</v>
      </c>
      <c r="T27" s="3" t="b">
        <f t="shared" si="8"/>
        <v>0</v>
      </c>
      <c r="U27" s="3" t="b">
        <f t="shared" si="9"/>
        <v>1</v>
      </c>
      <c r="V27" s="3"/>
      <c r="W27" s="3" cm="1">
        <f t="array" ref="W27">IF(OR(J27="Brasil",N27="Brasil"),2*_xlfn.IFS(Q27=TRUE,6,R27=TRUE,4,AND(S27=TRUE,T27=FALSE),3,T27=TRUE,2,U27=TRUE,0),_xlfn.IFS(Q27=TRUE,6,R27=TRUE,4,AND(S27=TRUE,T27=FALSE),3,T27=TRUE,2,U27=TRUE,0))</f>
        <v>0</v>
      </c>
      <c r="X27" s="3"/>
      <c r="Y27" s="3"/>
    </row>
    <row r="28" spans="1:25" ht="14.25" customHeight="1" x14ac:dyDescent="0.3">
      <c r="A28" s="3">
        <f>'Tabela de Jogos'!A28</f>
        <v>26</v>
      </c>
      <c r="B28" s="3" t="str">
        <f>'Tabela de Jogos'!B28</f>
        <v>Suíça</v>
      </c>
      <c r="C28" s="3">
        <f>'Tabela de Jogos'!C28</f>
        <v>4</v>
      </c>
      <c r="D28" s="3" t="str">
        <f>'Tabela de Jogos'!D28</f>
        <v>x</v>
      </c>
      <c r="E28" s="3">
        <f>'Tabela de Jogos'!E28</f>
        <v>1</v>
      </c>
      <c r="F28" s="3" t="str">
        <f>'Tabela de Jogos'!F28</f>
        <v>Bósnia</v>
      </c>
      <c r="G28" s="3" t="str">
        <f>'Tabela de Jogos'!G28</f>
        <v>Suíça</v>
      </c>
      <c r="H28" s="3"/>
      <c r="I28" s="3">
        <f t="shared" ref="I28:J28" si="34">A28</f>
        <v>26</v>
      </c>
      <c r="J28" s="3" t="str">
        <f t="shared" si="34"/>
        <v>Suíça</v>
      </c>
      <c r="K28" s="3">
        <v>2</v>
      </c>
      <c r="L28" s="3" t="str">
        <f t="shared" si="2"/>
        <v>x</v>
      </c>
      <c r="M28" s="3">
        <v>0</v>
      </c>
      <c r="N28" s="3" t="str">
        <f t="shared" si="3"/>
        <v>Bósnia</v>
      </c>
      <c r="O28" s="3" t="str">
        <f t="shared" si="4"/>
        <v>Suíça</v>
      </c>
      <c r="P28" s="3"/>
      <c r="Q28" s="3" t="b">
        <f t="shared" si="5"/>
        <v>0</v>
      </c>
      <c r="R28" s="3" t="b">
        <f t="shared" si="6"/>
        <v>0</v>
      </c>
      <c r="S28" s="3" t="b">
        <f t="shared" si="7"/>
        <v>0</v>
      </c>
      <c r="T28" s="3" t="b">
        <f t="shared" si="8"/>
        <v>1</v>
      </c>
      <c r="U28" s="3" t="b">
        <f t="shared" si="9"/>
        <v>0</v>
      </c>
      <c r="V28" s="3"/>
      <c r="W28" s="3" cm="1">
        <f t="array" ref="W28">IF(OR(J28="Brasil",N28="Brasil"),2*_xlfn.IFS(Q28=TRUE,6,R28=TRUE,4,AND(S28=TRUE,T28=FALSE),3,T28=TRUE,2,U28=TRUE,0),_xlfn.IFS(Q28=TRUE,6,R28=TRUE,4,AND(S28=TRUE,T28=FALSE),3,T28=TRUE,2,U28=TRUE,0))</f>
        <v>2</v>
      </c>
      <c r="X28" s="3"/>
      <c r="Y28" s="3"/>
    </row>
    <row r="29" spans="1:25" ht="14.25" customHeight="1" x14ac:dyDescent="0.3">
      <c r="A29" s="3">
        <f>'Tabela de Jogos'!A29</f>
        <v>27</v>
      </c>
      <c r="B29" s="3" t="str">
        <f>'Tabela de Jogos'!B29</f>
        <v>Canadá</v>
      </c>
      <c r="C29" s="3">
        <f>'Tabela de Jogos'!C29</f>
        <v>6</v>
      </c>
      <c r="D29" s="3" t="str">
        <f>'Tabela de Jogos'!D29</f>
        <v>x</v>
      </c>
      <c r="E29" s="3">
        <f>'Tabela de Jogos'!E29</f>
        <v>0</v>
      </c>
      <c r="F29" s="3" t="str">
        <f>'Tabela de Jogos'!F29</f>
        <v>Catar</v>
      </c>
      <c r="G29" s="3" t="str">
        <f>'Tabela de Jogos'!G29</f>
        <v>Canadá</v>
      </c>
      <c r="H29" s="3"/>
      <c r="I29" s="3">
        <f t="shared" ref="I29:J29" si="35">A29</f>
        <v>27</v>
      </c>
      <c r="J29" s="3" t="str">
        <f t="shared" si="35"/>
        <v>Canadá</v>
      </c>
      <c r="K29" s="3">
        <v>2</v>
      </c>
      <c r="L29" s="3" t="str">
        <f t="shared" si="2"/>
        <v>x</v>
      </c>
      <c r="M29" s="3">
        <v>0</v>
      </c>
      <c r="N29" s="3" t="str">
        <f t="shared" si="3"/>
        <v>Catar</v>
      </c>
      <c r="O29" s="3" t="str">
        <f t="shared" si="4"/>
        <v>Canadá</v>
      </c>
      <c r="P29" s="3"/>
      <c r="Q29" s="3" t="b">
        <f t="shared" si="5"/>
        <v>0</v>
      </c>
      <c r="R29" s="3" t="b">
        <f t="shared" si="6"/>
        <v>0</v>
      </c>
      <c r="S29" s="3" t="b">
        <f t="shared" si="7"/>
        <v>0</v>
      </c>
      <c r="T29" s="3" t="b">
        <f t="shared" si="8"/>
        <v>1</v>
      </c>
      <c r="U29" s="3" t="b">
        <f t="shared" si="9"/>
        <v>0</v>
      </c>
      <c r="V29" s="3"/>
      <c r="W29" s="3" cm="1">
        <f t="array" ref="W29">IF(OR(J29="Brasil",N29="Brasil"),2*_xlfn.IFS(Q29=TRUE,6,R29=TRUE,4,AND(S29=TRUE,T29=FALSE),3,T29=TRUE,2,U29=TRUE,0),_xlfn.IFS(Q29=TRUE,6,R29=TRUE,4,AND(S29=TRUE,T29=FALSE),3,T29=TRUE,2,U29=TRUE,0))</f>
        <v>2</v>
      </c>
      <c r="X29" s="3"/>
      <c r="Y29" s="3"/>
    </row>
    <row r="30" spans="1:25" ht="14.25" customHeight="1" x14ac:dyDescent="0.3">
      <c r="A30" s="3">
        <f>'Tabela de Jogos'!A30</f>
        <v>28</v>
      </c>
      <c r="B30" s="3" t="str">
        <f>'Tabela de Jogos'!B30</f>
        <v>México</v>
      </c>
      <c r="C30" s="3">
        <f>'Tabela de Jogos'!C30</f>
        <v>1</v>
      </c>
      <c r="D30" s="3" t="str">
        <f>'Tabela de Jogos'!D30</f>
        <v>x</v>
      </c>
      <c r="E30" s="3">
        <f>'Tabela de Jogos'!E30</f>
        <v>0</v>
      </c>
      <c r="F30" s="3" t="str">
        <f>'Tabela de Jogos'!F30</f>
        <v>Coreia do Sul</v>
      </c>
      <c r="G30" s="3" t="str">
        <f>'Tabela de Jogos'!G30</f>
        <v>México</v>
      </c>
      <c r="H30" s="3"/>
      <c r="I30" s="3">
        <f t="shared" ref="I30:J30" si="36">A30</f>
        <v>28</v>
      </c>
      <c r="J30" s="3" t="str">
        <f t="shared" si="36"/>
        <v>México</v>
      </c>
      <c r="K30" s="3">
        <v>2</v>
      </c>
      <c r="L30" s="3" t="str">
        <f t="shared" si="2"/>
        <v>x</v>
      </c>
      <c r="M30" s="3">
        <v>1</v>
      </c>
      <c r="N30" s="3" t="str">
        <f t="shared" si="3"/>
        <v>Coreia do Sul</v>
      </c>
      <c r="O30" s="3" t="str">
        <f t="shared" si="4"/>
        <v>México</v>
      </c>
      <c r="P30" s="3"/>
      <c r="Q30" s="3" t="b">
        <f t="shared" si="5"/>
        <v>0</v>
      </c>
      <c r="R30" s="3" t="b">
        <f t="shared" si="6"/>
        <v>0</v>
      </c>
      <c r="S30" s="3" t="b">
        <f t="shared" si="7"/>
        <v>1</v>
      </c>
      <c r="T30" s="3" t="b">
        <f t="shared" si="8"/>
        <v>0</v>
      </c>
      <c r="U30" s="3" t="b">
        <f t="shared" si="9"/>
        <v>0</v>
      </c>
      <c r="V30" s="3"/>
      <c r="W30" s="3" cm="1">
        <f t="array" ref="W30">IF(OR(J30="Brasil",N30="Brasil"),2*_xlfn.IFS(Q30=TRUE,6,R30=TRUE,4,AND(S30=TRUE,T30=FALSE),3,T30=TRUE,2,U30=TRUE,0),_xlfn.IFS(Q30=TRUE,6,R30=TRUE,4,AND(S30=TRUE,T30=FALSE),3,T30=TRUE,2,U30=TRUE,0))</f>
        <v>3</v>
      </c>
      <c r="X30" s="3"/>
      <c r="Y30" s="3"/>
    </row>
    <row r="31" spans="1:25" ht="14.25" customHeight="1" x14ac:dyDescent="0.3">
      <c r="A31" s="3">
        <f>'Tabela de Jogos'!A31</f>
        <v>29</v>
      </c>
      <c r="B31" s="3" t="str">
        <f>'Tabela de Jogos'!B31</f>
        <v>EUA</v>
      </c>
      <c r="C31" s="3">
        <f>'Tabela de Jogos'!C31</f>
        <v>2</v>
      </c>
      <c r="D31" s="3" t="str">
        <f>'Tabela de Jogos'!D31</f>
        <v>x</v>
      </c>
      <c r="E31" s="3">
        <f>'Tabela de Jogos'!E31</f>
        <v>0</v>
      </c>
      <c r="F31" s="3" t="str">
        <f>'Tabela de Jogos'!F31</f>
        <v>Austrália</v>
      </c>
      <c r="G31" s="3" t="str">
        <f>'Tabela de Jogos'!G31</f>
        <v>EUA</v>
      </c>
      <c r="H31" s="3"/>
      <c r="I31" s="3">
        <f t="shared" ref="I31:J31" si="37">A31</f>
        <v>29</v>
      </c>
      <c r="J31" s="3" t="str">
        <f t="shared" si="37"/>
        <v>EUA</v>
      </c>
      <c r="K31" s="3">
        <v>2</v>
      </c>
      <c r="L31" s="3" t="str">
        <f t="shared" si="2"/>
        <v>x</v>
      </c>
      <c r="M31" s="3">
        <v>1</v>
      </c>
      <c r="N31" s="3" t="str">
        <f t="shared" si="3"/>
        <v>Austrália</v>
      </c>
      <c r="O31" s="3" t="str">
        <f t="shared" si="4"/>
        <v>EUA</v>
      </c>
      <c r="P31" s="3"/>
      <c r="Q31" s="3" t="b">
        <f t="shared" si="5"/>
        <v>0</v>
      </c>
      <c r="R31" s="3" t="b">
        <f t="shared" si="6"/>
        <v>1</v>
      </c>
      <c r="S31" s="3" t="b">
        <f t="shared" si="7"/>
        <v>0</v>
      </c>
      <c r="T31" s="3" t="b">
        <f t="shared" si="8"/>
        <v>0</v>
      </c>
      <c r="U31" s="3" t="b">
        <f t="shared" si="9"/>
        <v>0</v>
      </c>
      <c r="V31" s="3"/>
      <c r="W31" s="3" cm="1">
        <f t="array" ref="W31">IF(OR(J31="Brasil",N31="Brasil"),2*_xlfn.IFS(Q31=TRUE,6,R31=TRUE,4,AND(S31=TRUE,T31=FALSE),3,T31=TRUE,2,U31=TRUE,0),_xlfn.IFS(Q31=TRUE,6,R31=TRUE,4,AND(S31=TRUE,T31=FALSE),3,T31=TRUE,2,U31=TRUE,0))</f>
        <v>4</v>
      </c>
      <c r="X31" s="3"/>
      <c r="Y31" s="3"/>
    </row>
    <row r="32" spans="1:25" ht="14.25" customHeight="1" x14ac:dyDescent="0.3">
      <c r="A32" s="3">
        <f>'Tabela de Jogos'!A32</f>
        <v>30</v>
      </c>
      <c r="B32" s="3" t="str">
        <f>'Tabela de Jogos'!B32</f>
        <v>Escócia</v>
      </c>
      <c r="C32" s="3">
        <f>'Tabela de Jogos'!C32</f>
        <v>0</v>
      </c>
      <c r="D32" s="3" t="str">
        <f>'Tabela de Jogos'!D32</f>
        <v>x</v>
      </c>
      <c r="E32" s="3">
        <f>'Tabela de Jogos'!E32</f>
        <v>1</v>
      </c>
      <c r="F32" s="3" t="str">
        <f>'Tabela de Jogos'!F32</f>
        <v>Marrocos</v>
      </c>
      <c r="G32" s="3" t="str">
        <f>'Tabela de Jogos'!G32</f>
        <v>Marrocos</v>
      </c>
      <c r="H32" s="3"/>
      <c r="I32" s="3">
        <f t="shared" ref="I32:J32" si="38">A32</f>
        <v>30</v>
      </c>
      <c r="J32" s="3" t="str">
        <f t="shared" si="38"/>
        <v>Escócia</v>
      </c>
      <c r="K32" s="3">
        <v>0</v>
      </c>
      <c r="L32" s="3" t="str">
        <f t="shared" si="2"/>
        <v>x</v>
      </c>
      <c r="M32" s="3">
        <v>3</v>
      </c>
      <c r="N32" s="3" t="str">
        <f t="shared" si="3"/>
        <v>Marrocos</v>
      </c>
      <c r="O32" s="3" t="str">
        <f t="shared" si="4"/>
        <v>Marrocos</v>
      </c>
      <c r="P32" s="3"/>
      <c r="Q32" s="3" t="b">
        <f t="shared" si="5"/>
        <v>0</v>
      </c>
      <c r="R32" s="3" t="b">
        <f t="shared" si="6"/>
        <v>0</v>
      </c>
      <c r="S32" s="3" t="b">
        <f t="shared" si="7"/>
        <v>0</v>
      </c>
      <c r="T32" s="3" t="b">
        <f t="shared" si="8"/>
        <v>1</v>
      </c>
      <c r="U32" s="3" t="b">
        <f t="shared" si="9"/>
        <v>0</v>
      </c>
      <c r="V32" s="3"/>
      <c r="W32" s="3" cm="1">
        <f t="array" ref="W32">IF(OR(J32="Brasil",N32="Brasil"),2*_xlfn.IFS(Q32=TRUE,6,R32=TRUE,4,AND(S32=TRUE,T32=FALSE),3,T32=TRUE,2,U32=TRUE,0),_xlfn.IFS(Q32=TRUE,6,R32=TRUE,4,AND(S32=TRUE,T32=FALSE),3,T32=TRUE,2,U32=TRUE,0))</f>
        <v>2</v>
      </c>
      <c r="X32" s="3"/>
      <c r="Y32" s="3"/>
    </row>
    <row r="33" spans="1:25" ht="14.25" customHeight="1" x14ac:dyDescent="0.3">
      <c r="A33" s="3">
        <f>'Tabela de Jogos'!A33</f>
        <v>31</v>
      </c>
      <c r="B33" s="3" t="str">
        <f>'Tabela de Jogos'!B33</f>
        <v>Brasil</v>
      </c>
      <c r="C33" s="3">
        <f>'Tabela de Jogos'!C33</f>
        <v>3</v>
      </c>
      <c r="D33" s="3" t="str">
        <f>'Tabela de Jogos'!D33</f>
        <v>x</v>
      </c>
      <c r="E33" s="3">
        <f>'Tabela de Jogos'!E33</f>
        <v>0</v>
      </c>
      <c r="F33" s="3" t="str">
        <f>'Tabela de Jogos'!F33</f>
        <v>Haiti</v>
      </c>
      <c r="G33" s="3" t="str">
        <f>'Tabela de Jogos'!G33</f>
        <v>Brasil</v>
      </c>
      <c r="H33" s="3"/>
      <c r="I33" s="3">
        <f t="shared" ref="I33:J33" si="39">A33</f>
        <v>31</v>
      </c>
      <c r="J33" s="3" t="str">
        <f t="shared" si="39"/>
        <v>Brasil</v>
      </c>
      <c r="K33" s="3">
        <v>4</v>
      </c>
      <c r="L33" s="3" t="str">
        <f t="shared" si="2"/>
        <v>x</v>
      </c>
      <c r="M33" s="3">
        <v>0</v>
      </c>
      <c r="N33" s="3" t="str">
        <f t="shared" si="3"/>
        <v>Haiti</v>
      </c>
      <c r="O33" s="3" t="str">
        <f t="shared" si="4"/>
        <v>Brasil</v>
      </c>
      <c r="P33" s="3"/>
      <c r="Q33" s="3" t="b">
        <f t="shared" si="5"/>
        <v>0</v>
      </c>
      <c r="R33" s="3" t="b">
        <f t="shared" si="6"/>
        <v>0</v>
      </c>
      <c r="S33" s="3" t="b">
        <f t="shared" si="7"/>
        <v>0</v>
      </c>
      <c r="T33" s="3" t="b">
        <f t="shared" si="8"/>
        <v>1</v>
      </c>
      <c r="U33" s="3" t="b">
        <f t="shared" si="9"/>
        <v>0</v>
      </c>
      <c r="V33" s="3"/>
      <c r="W33" s="3" cm="1">
        <f t="array" ref="W33">IF(OR(J33="Brasil",N33="Brasil"),2*_xlfn.IFS(Q33=TRUE,6,R33=TRUE,4,AND(S33=TRUE,T33=FALSE),3,T33=TRUE,2,U33=TRUE,0),_xlfn.IFS(Q33=TRUE,6,R33=TRUE,4,AND(S33=TRUE,T33=FALSE),3,T33=TRUE,2,U33=TRUE,0))</f>
        <v>4</v>
      </c>
      <c r="X33" s="3"/>
      <c r="Y33" s="3"/>
    </row>
    <row r="34" spans="1:25" ht="14.25" customHeight="1" x14ac:dyDescent="0.3">
      <c r="A34" s="3">
        <f>'Tabela de Jogos'!A34</f>
        <v>32</v>
      </c>
      <c r="B34" s="3" t="str">
        <f>'Tabela de Jogos'!B34</f>
        <v>Turquia</v>
      </c>
      <c r="C34" s="3">
        <f>'Tabela de Jogos'!C34</f>
        <v>0</v>
      </c>
      <c r="D34" s="3" t="str">
        <f>'Tabela de Jogos'!D34</f>
        <v>x</v>
      </c>
      <c r="E34" s="3">
        <f>'Tabela de Jogos'!E34</f>
        <v>1</v>
      </c>
      <c r="F34" s="3" t="str">
        <f>'Tabela de Jogos'!F34</f>
        <v>Paraguai</v>
      </c>
      <c r="G34" s="3" t="str">
        <f>'Tabela de Jogos'!G34</f>
        <v>Paraguai</v>
      </c>
      <c r="H34" s="3"/>
      <c r="I34" s="3">
        <f t="shared" ref="I34:J34" si="40">A34</f>
        <v>32</v>
      </c>
      <c r="J34" s="3" t="str">
        <f t="shared" si="40"/>
        <v>Turquia</v>
      </c>
      <c r="K34" s="3">
        <v>2</v>
      </c>
      <c r="L34" s="3" t="str">
        <f t="shared" si="2"/>
        <v>x</v>
      </c>
      <c r="M34" s="3">
        <v>1</v>
      </c>
      <c r="N34" s="3" t="str">
        <f t="shared" si="3"/>
        <v>Paraguai</v>
      </c>
      <c r="O34" s="3" t="str">
        <f t="shared" si="4"/>
        <v>Turquia</v>
      </c>
      <c r="P34" s="3"/>
      <c r="Q34" s="3" t="b">
        <f t="shared" si="5"/>
        <v>0</v>
      </c>
      <c r="R34" s="3" t="b">
        <f t="shared" si="6"/>
        <v>0</v>
      </c>
      <c r="S34" s="3" t="b">
        <f t="shared" si="7"/>
        <v>0</v>
      </c>
      <c r="T34" s="3" t="b">
        <f t="shared" si="8"/>
        <v>0</v>
      </c>
      <c r="U34" s="3" t="b">
        <f t="shared" si="9"/>
        <v>1</v>
      </c>
      <c r="V34" s="3"/>
      <c r="W34" s="3" cm="1">
        <f t="array" ref="W34">IF(OR(J34="Brasil",N34="Brasil"),2*_xlfn.IFS(Q34=TRUE,6,R34=TRUE,4,AND(S34=TRUE,T34=FALSE),3,T34=TRUE,2,U34=TRUE,0),_xlfn.IFS(Q34=TRUE,6,R34=TRUE,4,AND(S34=TRUE,T34=FALSE),3,T34=TRUE,2,U34=TRUE,0))</f>
        <v>0</v>
      </c>
      <c r="X34" s="3"/>
      <c r="Y34" s="3"/>
    </row>
    <row r="35" spans="1:25" ht="14.25" customHeight="1" x14ac:dyDescent="0.3">
      <c r="A35" s="3">
        <f>'Tabela de Jogos'!A35</f>
        <v>33</v>
      </c>
      <c r="B35" s="3" t="str">
        <f>'Tabela de Jogos'!B35</f>
        <v>Holanda</v>
      </c>
      <c r="C35" s="3">
        <f>'Tabela de Jogos'!C35</f>
        <v>5</v>
      </c>
      <c r="D35" s="3" t="str">
        <f>'Tabela de Jogos'!D35</f>
        <v>x</v>
      </c>
      <c r="E35" s="3">
        <f>'Tabela de Jogos'!E35</f>
        <v>1</v>
      </c>
      <c r="F35" s="3" t="str">
        <f>'Tabela de Jogos'!F35</f>
        <v>Suécia</v>
      </c>
      <c r="G35" s="3" t="str">
        <f>'Tabela de Jogos'!G35</f>
        <v>Holanda</v>
      </c>
      <c r="H35" s="3"/>
      <c r="I35" s="3">
        <f t="shared" ref="I35:J35" si="41">A35</f>
        <v>33</v>
      </c>
      <c r="J35" s="3" t="str">
        <f t="shared" si="41"/>
        <v>Holanda</v>
      </c>
      <c r="K35" s="3">
        <v>2</v>
      </c>
      <c r="L35" s="3" t="str">
        <f t="shared" si="2"/>
        <v>x</v>
      </c>
      <c r="M35" s="3">
        <v>1</v>
      </c>
      <c r="N35" s="3" t="str">
        <f t="shared" si="3"/>
        <v>Suécia</v>
      </c>
      <c r="O35" s="3" t="str">
        <f t="shared" si="4"/>
        <v>Holanda</v>
      </c>
      <c r="P35" s="3"/>
      <c r="Q35" s="3" t="b">
        <f t="shared" si="5"/>
        <v>0</v>
      </c>
      <c r="R35" s="3" t="b">
        <f t="shared" si="6"/>
        <v>0</v>
      </c>
      <c r="S35" s="3" t="b">
        <f t="shared" si="7"/>
        <v>0</v>
      </c>
      <c r="T35" s="3" t="b">
        <f t="shared" si="8"/>
        <v>1</v>
      </c>
      <c r="U35" s="3" t="b">
        <f t="shared" si="9"/>
        <v>0</v>
      </c>
      <c r="V35" s="3"/>
      <c r="W35" s="3" cm="1">
        <f t="array" ref="W35">IF(OR(J35="Brasil",N35="Brasil"),2*_xlfn.IFS(Q35=TRUE,6,R35=TRUE,4,AND(S35=TRUE,T35=FALSE),3,T35=TRUE,2,U35=TRUE,0),_xlfn.IFS(Q35=TRUE,6,R35=TRUE,4,AND(S35=TRUE,T35=FALSE),3,T35=TRUE,2,U35=TRUE,0))</f>
        <v>2</v>
      </c>
      <c r="X35" s="3"/>
      <c r="Y35" s="3"/>
    </row>
    <row r="36" spans="1:25" ht="14.25" customHeight="1" x14ac:dyDescent="0.3">
      <c r="A36" s="3">
        <f>'Tabela de Jogos'!A36</f>
        <v>34</v>
      </c>
      <c r="B36" s="3" t="str">
        <f>'Tabela de Jogos'!B36</f>
        <v>Alemanha</v>
      </c>
      <c r="C36" s="3">
        <f>'Tabela de Jogos'!C36</f>
        <v>2</v>
      </c>
      <c r="D36" s="3" t="str">
        <f>'Tabela de Jogos'!D36</f>
        <v>x</v>
      </c>
      <c r="E36" s="3">
        <f>'Tabela de Jogos'!E36</f>
        <v>1</v>
      </c>
      <c r="F36" s="3" t="str">
        <f>'Tabela de Jogos'!F36</f>
        <v>Costa do Marfim</v>
      </c>
      <c r="G36" s="3" t="str">
        <f>'Tabela de Jogos'!G36</f>
        <v>Alemanha</v>
      </c>
      <c r="H36" s="3"/>
      <c r="I36" s="3">
        <f t="shared" ref="I36:J36" si="42">A36</f>
        <v>34</v>
      </c>
      <c r="J36" s="3" t="str">
        <f t="shared" si="42"/>
        <v>Alemanha</v>
      </c>
      <c r="K36" s="3">
        <v>3</v>
      </c>
      <c r="L36" s="3" t="str">
        <f t="shared" si="2"/>
        <v>x</v>
      </c>
      <c r="M36" s="3">
        <v>1</v>
      </c>
      <c r="N36" s="3" t="str">
        <f t="shared" si="3"/>
        <v>Costa do Marfim</v>
      </c>
      <c r="O36" s="3" t="str">
        <f t="shared" si="4"/>
        <v>Alemanha</v>
      </c>
      <c r="P36" s="3"/>
      <c r="Q36" s="3" t="b">
        <f t="shared" si="5"/>
        <v>0</v>
      </c>
      <c r="R36" s="3" t="b">
        <f t="shared" si="6"/>
        <v>0</v>
      </c>
      <c r="S36" s="3" t="b">
        <f t="shared" si="7"/>
        <v>0</v>
      </c>
      <c r="T36" s="3" t="b">
        <f t="shared" si="8"/>
        <v>1</v>
      </c>
      <c r="U36" s="3" t="b">
        <f t="shared" si="9"/>
        <v>0</v>
      </c>
      <c r="V36" s="3"/>
      <c r="W36" s="3" cm="1">
        <f t="array" ref="W36">IF(OR(J36="Brasil",N36="Brasil"),2*_xlfn.IFS(Q36=TRUE,6,R36=TRUE,4,AND(S36=TRUE,T36=FALSE),3,T36=TRUE,2,U36=TRUE,0),_xlfn.IFS(Q36=TRUE,6,R36=TRUE,4,AND(S36=TRUE,T36=FALSE),3,T36=TRUE,2,U36=TRUE,0))</f>
        <v>2</v>
      </c>
      <c r="X36" s="3"/>
      <c r="Y36" s="3"/>
    </row>
    <row r="37" spans="1:25" ht="14.25" customHeight="1" x14ac:dyDescent="0.3">
      <c r="A37" s="3">
        <f>'Tabela de Jogos'!A37</f>
        <v>35</v>
      </c>
      <c r="B37" s="3" t="str">
        <f>'Tabela de Jogos'!B37</f>
        <v>Equador</v>
      </c>
      <c r="C37" s="3">
        <f>'Tabela de Jogos'!C37</f>
        <v>0</v>
      </c>
      <c r="D37" s="3" t="str">
        <f>'Tabela de Jogos'!D37</f>
        <v>x</v>
      </c>
      <c r="E37" s="3">
        <f>'Tabela de Jogos'!E37</f>
        <v>0</v>
      </c>
      <c r="F37" s="3" t="str">
        <f>'Tabela de Jogos'!F37</f>
        <v>Curaçao</v>
      </c>
      <c r="G37" s="3" t="str">
        <f>'Tabela de Jogos'!G37</f>
        <v>Empate</v>
      </c>
      <c r="H37" s="3"/>
      <c r="I37" s="3">
        <f t="shared" ref="I37:J37" si="43">A37</f>
        <v>35</v>
      </c>
      <c r="J37" s="3" t="str">
        <f t="shared" si="43"/>
        <v>Equador</v>
      </c>
      <c r="K37" s="3">
        <v>3</v>
      </c>
      <c r="L37" s="3" t="str">
        <f t="shared" si="2"/>
        <v>x</v>
      </c>
      <c r="M37" s="3">
        <v>1</v>
      </c>
      <c r="N37" s="3" t="str">
        <f t="shared" si="3"/>
        <v>Curaçao</v>
      </c>
      <c r="O37" s="3" t="str">
        <f t="shared" si="4"/>
        <v>Equador</v>
      </c>
      <c r="P37" s="3"/>
      <c r="Q37" s="3" t="b">
        <f t="shared" si="5"/>
        <v>0</v>
      </c>
      <c r="R37" s="3" t="b">
        <f t="shared" si="6"/>
        <v>0</v>
      </c>
      <c r="S37" s="3" t="b">
        <f t="shared" si="7"/>
        <v>0</v>
      </c>
      <c r="T37" s="3" t="b">
        <f t="shared" si="8"/>
        <v>0</v>
      </c>
      <c r="U37" s="3" t="b">
        <f t="shared" si="9"/>
        <v>1</v>
      </c>
      <c r="V37" s="3"/>
      <c r="W37" s="3" cm="1">
        <f t="array" ref="W37">IF(OR(J37="Brasil",N37="Brasil"),2*_xlfn.IFS(Q37=TRUE,6,R37=TRUE,4,AND(S37=TRUE,T37=FALSE),3,T37=TRUE,2,U37=TRUE,0),_xlfn.IFS(Q37=TRUE,6,R37=TRUE,4,AND(S37=TRUE,T37=FALSE),3,T37=TRUE,2,U37=TRUE,0))</f>
        <v>0</v>
      </c>
      <c r="X37" s="3"/>
      <c r="Y37" s="3"/>
    </row>
    <row r="38" spans="1:25" ht="14.25" customHeight="1" x14ac:dyDescent="0.3">
      <c r="A38" s="3">
        <f>'Tabela de Jogos'!A38</f>
        <v>36</v>
      </c>
      <c r="B38" s="3" t="str">
        <f>'Tabela de Jogos'!B38</f>
        <v>Tunísia</v>
      </c>
      <c r="C38" s="3">
        <f>'Tabela de Jogos'!C38</f>
        <v>0</v>
      </c>
      <c r="D38" s="3" t="str">
        <f>'Tabela de Jogos'!D38</f>
        <v>x</v>
      </c>
      <c r="E38" s="3">
        <f>'Tabela de Jogos'!E38</f>
        <v>4</v>
      </c>
      <c r="F38" s="3" t="str">
        <f>'Tabela de Jogos'!F38</f>
        <v>Japão</v>
      </c>
      <c r="G38" s="3" t="str">
        <f>'Tabela de Jogos'!G38</f>
        <v>Japão</v>
      </c>
      <c r="H38" s="3"/>
      <c r="I38" s="3">
        <f t="shared" ref="I38:J38" si="44">A38</f>
        <v>36</v>
      </c>
      <c r="J38" s="3" t="str">
        <f t="shared" si="44"/>
        <v>Tunísia</v>
      </c>
      <c r="K38" s="3">
        <v>0</v>
      </c>
      <c r="L38" s="3" t="str">
        <f t="shared" si="2"/>
        <v>x</v>
      </c>
      <c r="M38" s="3">
        <v>4</v>
      </c>
      <c r="N38" s="3" t="str">
        <f t="shared" si="3"/>
        <v>Japão</v>
      </c>
      <c r="O38" s="3" t="str">
        <f t="shared" si="4"/>
        <v>Japão</v>
      </c>
      <c r="P38" s="3"/>
      <c r="Q38" s="3" t="b">
        <f t="shared" si="5"/>
        <v>1</v>
      </c>
      <c r="R38" s="3" t="b">
        <f t="shared" si="6"/>
        <v>0</v>
      </c>
      <c r="S38" s="3" t="b">
        <f t="shared" si="7"/>
        <v>0</v>
      </c>
      <c r="T38" s="3" t="b">
        <f t="shared" si="8"/>
        <v>0</v>
      </c>
      <c r="U38" s="3" t="b">
        <f t="shared" si="9"/>
        <v>0</v>
      </c>
      <c r="V38" s="3"/>
      <c r="W38" s="3" cm="1">
        <f t="array" ref="W38">IF(OR(J38="Brasil",N38="Brasil"),2*_xlfn.IFS(Q38=TRUE,6,R38=TRUE,4,AND(S38=TRUE,T38=FALSE),3,T38=TRUE,2,U38=TRUE,0),_xlfn.IFS(Q38=TRUE,6,R38=TRUE,4,AND(S38=TRUE,T38=FALSE),3,T38=TRUE,2,U38=TRUE,0))</f>
        <v>6</v>
      </c>
      <c r="X38" s="3"/>
      <c r="Y38" s="3"/>
    </row>
    <row r="39" spans="1:25" ht="14.25" customHeight="1" x14ac:dyDescent="0.3">
      <c r="A39" s="3">
        <f>'Tabela de Jogos'!A39</f>
        <v>37</v>
      </c>
      <c r="B39" s="3" t="str">
        <f>'Tabela de Jogos'!B39</f>
        <v>Espanha</v>
      </c>
      <c r="C39" s="3">
        <f>'Tabela de Jogos'!C39</f>
        <v>4</v>
      </c>
      <c r="D39" s="3" t="str">
        <f>'Tabela de Jogos'!D39</f>
        <v>x</v>
      </c>
      <c r="E39" s="3">
        <f>'Tabela de Jogos'!E39</f>
        <v>0</v>
      </c>
      <c r="F39" s="3" t="str">
        <f>'Tabela de Jogos'!F39</f>
        <v>Arábia Saudita</v>
      </c>
      <c r="G39" s="3" t="str">
        <f>'Tabela de Jogos'!G39</f>
        <v>Espanha</v>
      </c>
      <c r="H39" s="3"/>
      <c r="I39" s="3">
        <f t="shared" ref="I39:J39" si="45">A39</f>
        <v>37</v>
      </c>
      <c r="J39" s="3" t="str">
        <f t="shared" si="45"/>
        <v>Espanha</v>
      </c>
      <c r="K39" s="3">
        <v>3</v>
      </c>
      <c r="L39" s="3" t="str">
        <f t="shared" si="2"/>
        <v>x</v>
      </c>
      <c r="M39" s="3">
        <v>0</v>
      </c>
      <c r="N39" s="3" t="str">
        <f t="shared" si="3"/>
        <v>Arábia Saudita</v>
      </c>
      <c r="O39" s="3" t="str">
        <f t="shared" si="4"/>
        <v>Espanha</v>
      </c>
      <c r="P39" s="3"/>
      <c r="Q39" s="3" t="b">
        <f t="shared" si="5"/>
        <v>0</v>
      </c>
      <c r="R39" s="3" t="b">
        <f t="shared" si="6"/>
        <v>0</v>
      </c>
      <c r="S39" s="3" t="b">
        <f t="shared" si="7"/>
        <v>0</v>
      </c>
      <c r="T39" s="3" t="b">
        <f t="shared" si="8"/>
        <v>1</v>
      </c>
      <c r="U39" s="3" t="b">
        <f t="shared" si="9"/>
        <v>0</v>
      </c>
      <c r="V39" s="3"/>
      <c r="W39" s="3" cm="1">
        <f t="array" ref="W39">IF(OR(J39="Brasil",N39="Brasil"),2*_xlfn.IFS(Q39=TRUE,6,R39=TRUE,4,AND(S39=TRUE,T39=FALSE),3,T39=TRUE,2,U39=TRUE,0),_xlfn.IFS(Q39=TRUE,6,R39=TRUE,4,AND(S39=TRUE,T39=FALSE),3,T39=TRUE,2,U39=TRUE,0))</f>
        <v>2</v>
      </c>
      <c r="X39" s="3"/>
      <c r="Y39" s="3"/>
    </row>
    <row r="40" spans="1:25" ht="14.25" customHeight="1" x14ac:dyDescent="0.3">
      <c r="A40" s="3">
        <f>'Tabela de Jogos'!A40</f>
        <v>38</v>
      </c>
      <c r="B40" s="3" t="str">
        <f>'Tabela de Jogos'!B40</f>
        <v>Bélgica</v>
      </c>
      <c r="C40" s="3">
        <f>'Tabela de Jogos'!C40</f>
        <v>0</v>
      </c>
      <c r="D40" s="3" t="str">
        <f>'Tabela de Jogos'!D40</f>
        <v>x</v>
      </c>
      <c r="E40" s="3">
        <f>'Tabela de Jogos'!E40</f>
        <v>0</v>
      </c>
      <c r="F40" s="3" t="str">
        <f>'Tabela de Jogos'!F40</f>
        <v>Irã</v>
      </c>
      <c r="G40" s="3" t="str">
        <f>'Tabela de Jogos'!G40</f>
        <v>Empate</v>
      </c>
      <c r="H40" s="3"/>
      <c r="I40" s="3">
        <f t="shared" ref="I40:J40" si="46">A40</f>
        <v>38</v>
      </c>
      <c r="J40" s="3" t="str">
        <f t="shared" si="46"/>
        <v>Bélgica</v>
      </c>
      <c r="K40" s="3">
        <v>2</v>
      </c>
      <c r="L40" s="3" t="str">
        <f t="shared" si="2"/>
        <v>x</v>
      </c>
      <c r="M40" s="3">
        <v>1</v>
      </c>
      <c r="N40" s="3" t="str">
        <f t="shared" si="3"/>
        <v>Irã</v>
      </c>
      <c r="O40" s="3" t="str">
        <f t="shared" si="4"/>
        <v>Bélgica</v>
      </c>
      <c r="P40" s="3"/>
      <c r="Q40" s="3" t="b">
        <f t="shared" si="5"/>
        <v>0</v>
      </c>
      <c r="R40" s="3" t="b">
        <f t="shared" si="6"/>
        <v>0</v>
      </c>
      <c r="S40" s="3" t="b">
        <f t="shared" si="7"/>
        <v>0</v>
      </c>
      <c r="T40" s="3" t="b">
        <f t="shared" si="8"/>
        <v>0</v>
      </c>
      <c r="U40" s="3" t="b">
        <f t="shared" si="9"/>
        <v>1</v>
      </c>
      <c r="V40" s="3"/>
      <c r="W40" s="3" cm="1">
        <f t="array" ref="W40">IF(OR(J40="Brasil",N40="Brasil"),2*_xlfn.IFS(Q40=TRUE,6,R40=TRUE,4,AND(S40=TRUE,T40=FALSE),3,T40=TRUE,2,U40=TRUE,0),_xlfn.IFS(Q40=TRUE,6,R40=TRUE,4,AND(S40=TRUE,T40=FALSE),3,T40=TRUE,2,U40=TRUE,0))</f>
        <v>0</v>
      </c>
      <c r="X40" s="3"/>
      <c r="Y40" s="3"/>
    </row>
    <row r="41" spans="1:25" ht="14.25" customHeight="1" x14ac:dyDescent="0.3">
      <c r="A41" s="3">
        <f>'Tabela de Jogos'!A41</f>
        <v>39</v>
      </c>
      <c r="B41" s="3" t="str">
        <f>'Tabela de Jogos'!B41</f>
        <v>Uruguai</v>
      </c>
      <c r="C41" s="3">
        <f>'Tabela de Jogos'!C41</f>
        <v>2</v>
      </c>
      <c r="D41" s="3" t="str">
        <f>'Tabela de Jogos'!D41</f>
        <v>x</v>
      </c>
      <c r="E41" s="3">
        <f>'Tabela de Jogos'!E41</f>
        <v>2</v>
      </c>
      <c r="F41" s="3" t="str">
        <f>'Tabela de Jogos'!F41</f>
        <v>Cabo Verde</v>
      </c>
      <c r="G41" s="3" t="str">
        <f>'Tabela de Jogos'!G41</f>
        <v>Empate</v>
      </c>
      <c r="H41" s="3"/>
      <c r="I41" s="3">
        <f t="shared" ref="I41:J41" si="47">A41</f>
        <v>39</v>
      </c>
      <c r="J41" s="3" t="str">
        <f t="shared" si="47"/>
        <v>Uruguai</v>
      </c>
      <c r="K41" s="3">
        <v>2</v>
      </c>
      <c r="L41" s="3" t="str">
        <f t="shared" si="2"/>
        <v>x</v>
      </c>
      <c r="M41" s="3">
        <v>0</v>
      </c>
      <c r="N41" s="3" t="str">
        <f t="shared" si="3"/>
        <v>Cabo Verde</v>
      </c>
      <c r="O41" s="3" t="str">
        <f t="shared" si="4"/>
        <v>Uruguai</v>
      </c>
      <c r="P41" s="3"/>
      <c r="Q41" s="3" t="b">
        <f t="shared" si="5"/>
        <v>0</v>
      </c>
      <c r="R41" s="3" t="b">
        <f t="shared" si="6"/>
        <v>0</v>
      </c>
      <c r="S41" s="3" t="b">
        <f t="shared" si="7"/>
        <v>0</v>
      </c>
      <c r="T41" s="3" t="b">
        <f t="shared" si="8"/>
        <v>0</v>
      </c>
      <c r="U41" s="3" t="b">
        <f t="shared" si="9"/>
        <v>1</v>
      </c>
      <c r="V41" s="3"/>
      <c r="W41" s="3" cm="1">
        <f t="array" ref="W41">IF(OR(J41="Brasil",N41="Brasil"),2*_xlfn.IFS(Q41=TRUE,6,R41=TRUE,4,AND(S41=TRUE,T41=FALSE),3,T41=TRUE,2,U41=TRUE,0),_xlfn.IFS(Q41=TRUE,6,R41=TRUE,4,AND(S41=TRUE,T41=FALSE),3,T41=TRUE,2,U41=TRUE,0))</f>
        <v>0</v>
      </c>
      <c r="X41" s="3"/>
      <c r="Y41" s="3"/>
    </row>
    <row r="42" spans="1:25" ht="14.25" customHeight="1" x14ac:dyDescent="0.3">
      <c r="A42" s="3">
        <f>'Tabela de Jogos'!A42</f>
        <v>40</v>
      </c>
      <c r="B42" s="3" t="str">
        <f>'Tabela de Jogos'!B42</f>
        <v>Nova Zelândia</v>
      </c>
      <c r="C42" s="3">
        <f>'Tabela de Jogos'!C42</f>
        <v>1</v>
      </c>
      <c r="D42" s="3" t="str">
        <f>'Tabela de Jogos'!D42</f>
        <v>x</v>
      </c>
      <c r="E42" s="3">
        <f>'Tabela de Jogos'!E42</f>
        <v>3</v>
      </c>
      <c r="F42" s="3" t="str">
        <f>'Tabela de Jogos'!F42</f>
        <v>Egito</v>
      </c>
      <c r="G42" s="3" t="str">
        <f>'Tabela de Jogos'!G42</f>
        <v>Egito</v>
      </c>
      <c r="H42" s="3"/>
      <c r="I42" s="3">
        <f t="shared" ref="I42:J42" si="48">A42</f>
        <v>40</v>
      </c>
      <c r="J42" s="3" t="str">
        <f t="shared" si="48"/>
        <v>Nova Zelândia</v>
      </c>
      <c r="K42" s="3">
        <v>1</v>
      </c>
      <c r="L42" s="3" t="str">
        <f t="shared" si="2"/>
        <v>x</v>
      </c>
      <c r="M42" s="3">
        <v>2</v>
      </c>
      <c r="N42" s="3" t="str">
        <f t="shared" si="3"/>
        <v>Egito</v>
      </c>
      <c r="O42" s="3" t="str">
        <f t="shared" si="4"/>
        <v>Egito</v>
      </c>
      <c r="P42" s="3"/>
      <c r="Q42" s="3" t="b">
        <f t="shared" si="5"/>
        <v>0</v>
      </c>
      <c r="R42" s="3" t="b">
        <f t="shared" si="6"/>
        <v>0</v>
      </c>
      <c r="S42" s="3" t="b">
        <f t="shared" si="7"/>
        <v>0</v>
      </c>
      <c r="T42" s="3" t="b">
        <f t="shared" si="8"/>
        <v>1</v>
      </c>
      <c r="U42" s="3" t="b">
        <f t="shared" si="9"/>
        <v>0</v>
      </c>
      <c r="V42" s="3"/>
      <c r="W42" s="3" cm="1">
        <f t="array" ref="W42">IF(OR(J42="Brasil",N42="Brasil"),2*_xlfn.IFS(Q42=TRUE,6,R42=TRUE,4,AND(S42=TRUE,T42=FALSE),3,T42=TRUE,2,U42=TRUE,0),_xlfn.IFS(Q42=TRUE,6,R42=TRUE,4,AND(S42=TRUE,T42=FALSE),3,T42=TRUE,2,U42=TRUE,0))</f>
        <v>2</v>
      </c>
      <c r="X42" s="3"/>
      <c r="Y42" s="3"/>
    </row>
    <row r="43" spans="1:25" ht="14.25" customHeight="1" x14ac:dyDescent="0.3">
      <c r="A43" s="3">
        <f>'Tabela de Jogos'!A43</f>
        <v>41</v>
      </c>
      <c r="B43" s="3" t="str">
        <f>'Tabela de Jogos'!B43</f>
        <v>Argentina</v>
      </c>
      <c r="C43" s="3">
        <f>'Tabela de Jogos'!C43</f>
        <v>2</v>
      </c>
      <c r="D43" s="3" t="str">
        <f>'Tabela de Jogos'!D43</f>
        <v>x</v>
      </c>
      <c r="E43" s="3">
        <f>'Tabela de Jogos'!E43</f>
        <v>0</v>
      </c>
      <c r="F43" s="3" t="str">
        <f>'Tabela de Jogos'!F43</f>
        <v>Áustria</v>
      </c>
      <c r="G43" s="3" t="str">
        <f>'Tabela de Jogos'!G43</f>
        <v>Argentina</v>
      </c>
      <c r="H43" s="3"/>
      <c r="I43" s="3">
        <f t="shared" ref="I43:J43" si="49">A43</f>
        <v>41</v>
      </c>
      <c r="J43" s="3" t="str">
        <f t="shared" si="49"/>
        <v>Argentina</v>
      </c>
      <c r="K43" s="3">
        <v>3</v>
      </c>
      <c r="L43" s="3" t="str">
        <f t="shared" si="2"/>
        <v>x</v>
      </c>
      <c r="M43" s="3">
        <v>0</v>
      </c>
      <c r="N43" s="3" t="str">
        <f t="shared" si="3"/>
        <v>Áustria</v>
      </c>
      <c r="O43" s="3" t="str">
        <f t="shared" si="4"/>
        <v>Argentina</v>
      </c>
      <c r="P43" s="3"/>
      <c r="Q43" s="3" t="b">
        <f t="shared" si="5"/>
        <v>0</v>
      </c>
      <c r="R43" s="3" t="b">
        <f t="shared" si="6"/>
        <v>0</v>
      </c>
      <c r="S43" s="3" t="b">
        <f t="shared" si="7"/>
        <v>0</v>
      </c>
      <c r="T43" s="3" t="b">
        <f t="shared" si="8"/>
        <v>1</v>
      </c>
      <c r="U43" s="3" t="b">
        <f t="shared" si="9"/>
        <v>0</v>
      </c>
      <c r="V43" s="3"/>
      <c r="W43" s="3" cm="1">
        <f t="array" ref="W43">IF(OR(J43="Brasil",N43="Brasil"),2*_xlfn.IFS(Q43=TRUE,6,R43=TRUE,4,AND(S43=TRUE,T43=FALSE),3,T43=TRUE,2,U43=TRUE,0),_xlfn.IFS(Q43=TRUE,6,R43=TRUE,4,AND(S43=TRUE,T43=FALSE),3,T43=TRUE,2,U43=TRUE,0))</f>
        <v>2</v>
      </c>
      <c r="X43" s="3"/>
      <c r="Y43" s="3"/>
    </row>
    <row r="44" spans="1:25" ht="14.25" customHeight="1" x14ac:dyDescent="0.3">
      <c r="A44" s="3">
        <f>'Tabela de Jogos'!A44</f>
        <v>42</v>
      </c>
      <c r="B44" s="3" t="str">
        <f>'Tabela de Jogos'!B44</f>
        <v>França</v>
      </c>
      <c r="C44" s="3">
        <f>'Tabela de Jogos'!C44</f>
        <v>3</v>
      </c>
      <c r="D44" s="3" t="str">
        <f>'Tabela de Jogos'!D44</f>
        <v>x</v>
      </c>
      <c r="E44" s="3">
        <f>'Tabela de Jogos'!E44</f>
        <v>0</v>
      </c>
      <c r="F44" s="3" t="str">
        <f>'Tabela de Jogos'!F44</f>
        <v>Iraque</v>
      </c>
      <c r="G44" s="3" t="str">
        <f>'Tabela de Jogos'!G44</f>
        <v>França</v>
      </c>
      <c r="H44" s="3"/>
      <c r="I44" s="3">
        <f t="shared" ref="I44:J44" si="50">A44</f>
        <v>42</v>
      </c>
      <c r="J44" s="3" t="str">
        <f t="shared" si="50"/>
        <v>França</v>
      </c>
      <c r="K44" s="3">
        <v>5</v>
      </c>
      <c r="L44" s="3" t="str">
        <f t="shared" si="2"/>
        <v>x</v>
      </c>
      <c r="M44" s="3">
        <v>0</v>
      </c>
      <c r="N44" s="3" t="str">
        <f t="shared" si="3"/>
        <v>Iraque</v>
      </c>
      <c r="O44" s="3" t="str">
        <f t="shared" si="4"/>
        <v>França</v>
      </c>
      <c r="P44" s="3"/>
      <c r="Q44" s="3" t="b">
        <f t="shared" si="5"/>
        <v>0</v>
      </c>
      <c r="R44" s="3" t="b">
        <f t="shared" si="6"/>
        <v>0</v>
      </c>
      <c r="S44" s="3" t="b">
        <f t="shared" si="7"/>
        <v>0</v>
      </c>
      <c r="T44" s="3" t="b">
        <f t="shared" si="8"/>
        <v>1</v>
      </c>
      <c r="U44" s="3" t="b">
        <f t="shared" si="9"/>
        <v>0</v>
      </c>
      <c r="V44" s="3"/>
      <c r="W44" s="3" cm="1">
        <f t="array" ref="W44">IF(OR(J44="Brasil",N44="Brasil"),2*_xlfn.IFS(Q44=TRUE,6,R44=TRUE,4,AND(S44=TRUE,T44=FALSE),3,T44=TRUE,2,U44=TRUE,0),_xlfn.IFS(Q44=TRUE,6,R44=TRUE,4,AND(S44=TRUE,T44=FALSE),3,T44=TRUE,2,U44=TRUE,0))</f>
        <v>2</v>
      </c>
      <c r="X44" s="3"/>
      <c r="Y44" s="3"/>
    </row>
    <row r="45" spans="1:25" ht="14.25" customHeight="1" x14ac:dyDescent="0.3">
      <c r="A45" s="3">
        <f>'Tabela de Jogos'!A45</f>
        <v>43</v>
      </c>
      <c r="B45" s="3" t="str">
        <f>'Tabela de Jogos'!B45</f>
        <v>Noruega</v>
      </c>
      <c r="C45" s="3">
        <f>'Tabela de Jogos'!C45</f>
        <v>3</v>
      </c>
      <c r="D45" s="3" t="str">
        <f>'Tabela de Jogos'!D45</f>
        <v>x</v>
      </c>
      <c r="E45" s="3">
        <f>'Tabela de Jogos'!E45</f>
        <v>2</v>
      </c>
      <c r="F45" s="3" t="str">
        <f>'Tabela de Jogos'!F45</f>
        <v>Senegal</v>
      </c>
      <c r="G45" s="3" t="str">
        <f>'Tabela de Jogos'!G45</f>
        <v>Noruega</v>
      </c>
      <c r="H45" s="3"/>
      <c r="I45" s="3">
        <f t="shared" ref="I45:J45" si="51">A45</f>
        <v>43</v>
      </c>
      <c r="J45" s="3" t="str">
        <f t="shared" si="51"/>
        <v>Noruega</v>
      </c>
      <c r="K45" s="3">
        <v>2</v>
      </c>
      <c r="L45" s="3" t="str">
        <f t="shared" si="2"/>
        <v>x</v>
      </c>
      <c r="M45" s="3">
        <v>1</v>
      </c>
      <c r="N45" s="3" t="str">
        <f t="shared" si="3"/>
        <v>Senegal</v>
      </c>
      <c r="O45" s="3" t="str">
        <f t="shared" si="4"/>
        <v>Noruega</v>
      </c>
      <c r="P45" s="3"/>
      <c r="Q45" s="3" t="b">
        <f t="shared" si="5"/>
        <v>0</v>
      </c>
      <c r="R45" s="3" t="b">
        <f t="shared" si="6"/>
        <v>0</v>
      </c>
      <c r="S45" s="3" t="b">
        <f t="shared" si="7"/>
        <v>1</v>
      </c>
      <c r="T45" s="3" t="b">
        <f t="shared" si="8"/>
        <v>0</v>
      </c>
      <c r="U45" s="3" t="b">
        <f t="shared" si="9"/>
        <v>0</v>
      </c>
      <c r="V45" s="3"/>
      <c r="W45" s="3" cm="1">
        <f t="array" ref="W45">IF(OR(J45="Brasil",N45="Brasil"),2*_xlfn.IFS(Q45=TRUE,6,R45=TRUE,4,AND(S45=TRUE,T45=FALSE),3,T45=TRUE,2,U45=TRUE,0),_xlfn.IFS(Q45=TRUE,6,R45=TRUE,4,AND(S45=TRUE,T45=FALSE),3,T45=TRUE,2,U45=TRUE,0))</f>
        <v>3</v>
      </c>
      <c r="X45" s="3"/>
      <c r="Y45" s="3"/>
    </row>
    <row r="46" spans="1:25" ht="14.25" customHeight="1" x14ac:dyDescent="0.3">
      <c r="A46" s="3">
        <f>'Tabela de Jogos'!A46</f>
        <v>44</v>
      </c>
      <c r="B46" s="3" t="str">
        <f>'Tabela de Jogos'!B46</f>
        <v>Jordânia</v>
      </c>
      <c r="C46" s="3">
        <f>'Tabela de Jogos'!C46</f>
        <v>1</v>
      </c>
      <c r="D46" s="3" t="str">
        <f>'Tabela de Jogos'!D46</f>
        <v>x</v>
      </c>
      <c r="E46" s="3">
        <f>'Tabela de Jogos'!E46</f>
        <v>2</v>
      </c>
      <c r="F46" s="3" t="str">
        <f>'Tabela de Jogos'!F46</f>
        <v>Argélia</v>
      </c>
      <c r="G46" s="3" t="str">
        <f>'Tabela de Jogos'!G46</f>
        <v>Argélia</v>
      </c>
      <c r="H46" s="3"/>
      <c r="I46" s="3">
        <f t="shared" ref="I46:J46" si="52">A46</f>
        <v>44</v>
      </c>
      <c r="J46" s="3" t="str">
        <f t="shared" si="52"/>
        <v>Jordânia</v>
      </c>
      <c r="K46" s="3">
        <v>1</v>
      </c>
      <c r="L46" s="3" t="str">
        <f t="shared" si="2"/>
        <v>x</v>
      </c>
      <c r="M46" s="3">
        <v>2</v>
      </c>
      <c r="N46" s="3" t="str">
        <f t="shared" si="3"/>
        <v>Argélia</v>
      </c>
      <c r="O46" s="3" t="str">
        <f t="shared" si="4"/>
        <v>Argélia</v>
      </c>
      <c r="P46" s="3"/>
      <c r="Q46" s="3" t="b">
        <f t="shared" si="5"/>
        <v>1</v>
      </c>
      <c r="R46" s="3" t="b">
        <f t="shared" si="6"/>
        <v>0</v>
      </c>
      <c r="S46" s="3" t="b">
        <f t="shared" si="7"/>
        <v>0</v>
      </c>
      <c r="T46" s="3" t="b">
        <f t="shared" si="8"/>
        <v>0</v>
      </c>
      <c r="U46" s="3" t="b">
        <f t="shared" si="9"/>
        <v>0</v>
      </c>
      <c r="V46" s="3"/>
      <c r="W46" s="3" cm="1">
        <f t="array" ref="W46">IF(OR(J46="Brasil",N46="Brasil"),2*_xlfn.IFS(Q46=TRUE,6,R46=TRUE,4,AND(S46=TRUE,T46=FALSE),3,T46=TRUE,2,U46=TRUE,0),_xlfn.IFS(Q46=TRUE,6,R46=TRUE,4,AND(S46=TRUE,T46=FALSE),3,T46=TRUE,2,U46=TRUE,0))</f>
        <v>6</v>
      </c>
      <c r="X46" s="3"/>
      <c r="Y46" s="3"/>
    </row>
    <row r="47" spans="1:25" ht="14.25" customHeight="1" x14ac:dyDescent="0.3">
      <c r="A47" s="3">
        <f>'Tabela de Jogos'!A47</f>
        <v>45</v>
      </c>
      <c r="B47" s="3" t="str">
        <f>'Tabela de Jogos'!B47</f>
        <v>Portugal</v>
      </c>
      <c r="C47" s="3">
        <f>'Tabela de Jogos'!C47</f>
        <v>5</v>
      </c>
      <c r="D47" s="3" t="str">
        <f>'Tabela de Jogos'!D47</f>
        <v>x</v>
      </c>
      <c r="E47" s="3">
        <f>'Tabela de Jogos'!E47</f>
        <v>0</v>
      </c>
      <c r="F47" s="3" t="str">
        <f>'Tabela de Jogos'!F47</f>
        <v>Uzbequistão</v>
      </c>
      <c r="G47" s="3" t="str">
        <f>'Tabela de Jogos'!G47</f>
        <v>Portugal</v>
      </c>
      <c r="H47" s="3"/>
      <c r="I47" s="3">
        <f t="shared" ref="I47:J47" si="53">A47</f>
        <v>45</v>
      </c>
      <c r="J47" s="3" t="str">
        <f t="shared" si="53"/>
        <v>Portugal</v>
      </c>
      <c r="K47" s="3">
        <v>3</v>
      </c>
      <c r="L47" s="3" t="str">
        <f t="shared" si="2"/>
        <v>x</v>
      </c>
      <c r="M47" s="3">
        <v>0</v>
      </c>
      <c r="N47" s="3" t="str">
        <f t="shared" si="3"/>
        <v>Uzbequistão</v>
      </c>
      <c r="O47" s="3" t="str">
        <f t="shared" si="4"/>
        <v>Portugal</v>
      </c>
      <c r="P47" s="3"/>
      <c r="Q47" s="3" t="b">
        <f t="shared" si="5"/>
        <v>0</v>
      </c>
      <c r="R47" s="3" t="b">
        <f t="shared" si="6"/>
        <v>0</v>
      </c>
      <c r="S47" s="3" t="b">
        <f t="shared" si="7"/>
        <v>0</v>
      </c>
      <c r="T47" s="3" t="b">
        <f t="shared" si="8"/>
        <v>1</v>
      </c>
      <c r="U47" s="3" t="b">
        <f t="shared" si="9"/>
        <v>0</v>
      </c>
      <c r="V47" s="3"/>
      <c r="W47" s="3" cm="1">
        <f t="array" ref="W47">IF(OR(J47="Brasil",N47="Brasil"),2*_xlfn.IFS(Q47=TRUE,6,R47=TRUE,4,AND(S47=TRUE,T47=FALSE),3,T47=TRUE,2,U47=TRUE,0),_xlfn.IFS(Q47=TRUE,6,R47=TRUE,4,AND(S47=TRUE,T47=FALSE),3,T47=TRUE,2,U47=TRUE,0))</f>
        <v>2</v>
      </c>
      <c r="X47" s="3"/>
      <c r="Y47" s="3"/>
    </row>
    <row r="48" spans="1:25" ht="14.25" customHeight="1" x14ac:dyDescent="0.3">
      <c r="A48" s="3">
        <f>'Tabela de Jogos'!A48</f>
        <v>46</v>
      </c>
      <c r="B48" s="3" t="str">
        <f>'Tabela de Jogos'!B48</f>
        <v>Inglaterra</v>
      </c>
      <c r="C48" s="3">
        <f>'Tabela de Jogos'!C48</f>
        <v>0</v>
      </c>
      <c r="D48" s="3" t="str">
        <f>'Tabela de Jogos'!D48</f>
        <v>x</v>
      </c>
      <c r="E48" s="3">
        <f>'Tabela de Jogos'!E48</f>
        <v>0</v>
      </c>
      <c r="F48" s="3" t="str">
        <f>'Tabela de Jogos'!F48</f>
        <v>Gana</v>
      </c>
      <c r="G48" s="3" t="str">
        <f>'Tabela de Jogos'!G48</f>
        <v>Empate</v>
      </c>
      <c r="H48" s="3"/>
      <c r="I48" s="3">
        <f t="shared" ref="I48:J48" si="54">A48</f>
        <v>46</v>
      </c>
      <c r="J48" s="3" t="str">
        <f t="shared" si="54"/>
        <v>Inglaterra</v>
      </c>
      <c r="K48" s="3">
        <v>4</v>
      </c>
      <c r="L48" s="3" t="str">
        <f t="shared" si="2"/>
        <v>x</v>
      </c>
      <c r="M48" s="3">
        <v>1</v>
      </c>
      <c r="N48" s="3" t="str">
        <f t="shared" si="3"/>
        <v>Gana</v>
      </c>
      <c r="O48" s="3" t="str">
        <f t="shared" si="4"/>
        <v>Inglaterra</v>
      </c>
      <c r="P48" s="3"/>
      <c r="Q48" s="3" t="b">
        <f t="shared" si="5"/>
        <v>0</v>
      </c>
      <c r="R48" s="3" t="b">
        <f t="shared" si="6"/>
        <v>0</v>
      </c>
      <c r="S48" s="3" t="b">
        <f t="shared" si="7"/>
        <v>0</v>
      </c>
      <c r="T48" s="3" t="b">
        <f t="shared" si="8"/>
        <v>0</v>
      </c>
      <c r="U48" s="3" t="b">
        <f t="shared" si="9"/>
        <v>1</v>
      </c>
      <c r="V48" s="3"/>
      <c r="W48" s="3" cm="1">
        <f t="array" ref="W48">IF(OR(J48="Brasil",N48="Brasil"),2*_xlfn.IFS(Q48=TRUE,6,R48=TRUE,4,AND(S48=TRUE,T48=FALSE),3,T48=TRUE,2,U48=TRUE,0),_xlfn.IFS(Q48=TRUE,6,R48=TRUE,4,AND(S48=TRUE,T48=FALSE),3,T48=TRUE,2,U48=TRUE,0))</f>
        <v>0</v>
      </c>
      <c r="X48" s="3"/>
      <c r="Y48" s="3"/>
    </row>
    <row r="49" spans="1:25" ht="14.25" customHeight="1" x14ac:dyDescent="0.3">
      <c r="A49" s="3">
        <f>'Tabela de Jogos'!A49</f>
        <v>47</v>
      </c>
      <c r="B49" s="3" t="str">
        <f>'Tabela de Jogos'!B49</f>
        <v>Panamá</v>
      </c>
      <c r="C49" s="3">
        <f>'Tabela de Jogos'!C49</f>
        <v>0</v>
      </c>
      <c r="D49" s="3" t="str">
        <f>'Tabela de Jogos'!D49</f>
        <v>x</v>
      </c>
      <c r="E49" s="3">
        <f>'Tabela de Jogos'!E49</f>
        <v>1</v>
      </c>
      <c r="F49" s="3" t="str">
        <f>'Tabela de Jogos'!F49</f>
        <v>Croácia</v>
      </c>
      <c r="G49" s="3" t="str">
        <f>'Tabela de Jogos'!G49</f>
        <v>Croácia</v>
      </c>
      <c r="H49" s="3"/>
      <c r="I49" s="3">
        <f t="shared" ref="I49:J49" si="55">A49</f>
        <v>47</v>
      </c>
      <c r="J49" s="3" t="str">
        <f t="shared" si="55"/>
        <v>Panamá</v>
      </c>
      <c r="K49" s="3">
        <v>1</v>
      </c>
      <c r="L49" s="3" t="str">
        <f t="shared" si="2"/>
        <v>x</v>
      </c>
      <c r="M49" s="3">
        <v>3</v>
      </c>
      <c r="N49" s="3" t="str">
        <f t="shared" si="3"/>
        <v>Croácia</v>
      </c>
      <c r="O49" s="3" t="str">
        <f t="shared" si="4"/>
        <v>Croácia</v>
      </c>
      <c r="P49" s="3"/>
      <c r="Q49" s="3" t="b">
        <f t="shared" si="5"/>
        <v>0</v>
      </c>
      <c r="R49" s="3" t="b">
        <f t="shared" si="6"/>
        <v>0</v>
      </c>
      <c r="S49" s="3" t="b">
        <f t="shared" si="7"/>
        <v>0</v>
      </c>
      <c r="T49" s="3" t="b">
        <f t="shared" si="8"/>
        <v>1</v>
      </c>
      <c r="U49" s="3" t="b">
        <f t="shared" si="9"/>
        <v>0</v>
      </c>
      <c r="V49" s="3"/>
      <c r="W49" s="3" cm="1">
        <f t="array" ref="W49">IF(OR(J49="Brasil",N49="Brasil"),2*_xlfn.IFS(Q49=TRUE,6,R49=TRUE,4,AND(S49=TRUE,T49=FALSE),3,T49=TRUE,2,U49=TRUE,0),_xlfn.IFS(Q49=TRUE,6,R49=TRUE,4,AND(S49=TRUE,T49=FALSE),3,T49=TRUE,2,U49=TRUE,0))</f>
        <v>2</v>
      </c>
      <c r="X49" s="3"/>
      <c r="Y49" s="3"/>
    </row>
    <row r="50" spans="1:25" ht="14.25" customHeight="1" x14ac:dyDescent="0.3">
      <c r="A50" s="3">
        <f>'Tabela de Jogos'!A50</f>
        <v>48</v>
      </c>
      <c r="B50" s="3" t="str">
        <f>'Tabela de Jogos'!B50</f>
        <v>Colômbia</v>
      </c>
      <c r="C50" s="3">
        <f>'Tabela de Jogos'!C50</f>
        <v>1</v>
      </c>
      <c r="D50" s="3" t="str">
        <f>'Tabela de Jogos'!D50</f>
        <v>x</v>
      </c>
      <c r="E50" s="3">
        <f>'Tabela de Jogos'!E50</f>
        <v>0</v>
      </c>
      <c r="F50" s="3" t="str">
        <f>'Tabela de Jogos'!F50</f>
        <v>RD Congo</v>
      </c>
      <c r="G50" s="3" t="str">
        <f>'Tabela de Jogos'!G50</f>
        <v>Colômbia</v>
      </c>
      <c r="H50" s="3"/>
      <c r="I50" s="3">
        <f t="shared" ref="I50:J50" si="56">A50</f>
        <v>48</v>
      </c>
      <c r="J50" s="3" t="str">
        <f t="shared" si="56"/>
        <v>Colômbia</v>
      </c>
      <c r="K50" s="3">
        <v>2</v>
      </c>
      <c r="L50" s="3" t="str">
        <f t="shared" si="2"/>
        <v>x</v>
      </c>
      <c r="M50" s="3">
        <v>1</v>
      </c>
      <c r="N50" s="3" t="str">
        <f t="shared" si="3"/>
        <v>RD Congo</v>
      </c>
      <c r="O50" s="3" t="str">
        <f t="shared" si="4"/>
        <v>Colômbia</v>
      </c>
      <c r="P50" s="3"/>
      <c r="Q50" s="3" t="b">
        <f t="shared" si="5"/>
        <v>0</v>
      </c>
      <c r="R50" s="3" t="b">
        <f t="shared" si="6"/>
        <v>0</v>
      </c>
      <c r="S50" s="3" t="b">
        <f t="shared" si="7"/>
        <v>1</v>
      </c>
      <c r="T50" s="3" t="b">
        <f t="shared" si="8"/>
        <v>0</v>
      </c>
      <c r="U50" s="3" t="b">
        <f t="shared" si="9"/>
        <v>0</v>
      </c>
      <c r="V50" s="3"/>
      <c r="W50" s="3" cm="1">
        <f t="array" ref="W50">IF(OR(J50="Brasil",N50="Brasil"),2*_xlfn.IFS(Q50=TRUE,6,R50=TRUE,4,AND(S50=TRUE,T50=FALSE),3,T50=TRUE,2,U50=TRUE,0),_xlfn.IFS(Q50=TRUE,6,R50=TRUE,4,AND(S50=TRUE,T50=FALSE),3,T50=TRUE,2,U50=TRUE,0))</f>
        <v>3</v>
      </c>
      <c r="X50" s="3"/>
      <c r="Y50" s="3"/>
    </row>
    <row r="51" spans="1:25" ht="14.25" customHeight="1" x14ac:dyDescent="0.3">
      <c r="A51" s="3">
        <f>'Tabela de Jogos'!A51</f>
        <v>49</v>
      </c>
      <c r="B51" s="3" t="str">
        <f>'Tabela de Jogos'!B51</f>
        <v>Suíça</v>
      </c>
      <c r="C51" s="3">
        <f>'Tabela de Jogos'!C51</f>
        <v>2</v>
      </c>
      <c r="D51" s="3" t="str">
        <f>'Tabela de Jogos'!D51</f>
        <v>x</v>
      </c>
      <c r="E51" s="3">
        <f>'Tabela de Jogos'!E51</f>
        <v>1</v>
      </c>
      <c r="F51" s="3" t="str">
        <f>'Tabela de Jogos'!F51</f>
        <v>Canadá</v>
      </c>
      <c r="G51" s="3" t="str">
        <f>'Tabela de Jogos'!G51</f>
        <v>Suíça</v>
      </c>
      <c r="H51" s="3"/>
      <c r="I51" s="3">
        <f t="shared" ref="I51:J51" si="57">A51</f>
        <v>49</v>
      </c>
      <c r="J51" s="3" t="str">
        <f t="shared" si="57"/>
        <v>Suíça</v>
      </c>
      <c r="K51" s="6">
        <v>1</v>
      </c>
      <c r="L51" s="5" t="str">
        <f t="shared" si="2"/>
        <v>x</v>
      </c>
      <c r="M51" s="6">
        <v>2</v>
      </c>
      <c r="N51" s="3" t="str">
        <f t="shared" si="3"/>
        <v>Canadá</v>
      </c>
      <c r="O51" s="3" t="str">
        <f t="shared" si="4"/>
        <v>Canadá</v>
      </c>
      <c r="P51" s="3"/>
      <c r="Q51" s="3" t="b">
        <f t="shared" si="5"/>
        <v>0</v>
      </c>
      <c r="R51" s="3" t="b">
        <f t="shared" si="6"/>
        <v>0</v>
      </c>
      <c r="S51" s="3" t="b">
        <f t="shared" si="7"/>
        <v>0</v>
      </c>
      <c r="T51" s="3" t="b">
        <f t="shared" si="8"/>
        <v>0</v>
      </c>
      <c r="U51" s="3" t="b">
        <f t="shared" si="9"/>
        <v>1</v>
      </c>
      <c r="V51" s="3"/>
      <c r="W51" s="3" cm="1">
        <f t="array" ref="W51">IF(OR(J51="Brasil",N51="Brasil"),2*_xlfn.IFS(Q51=TRUE,6,R51=TRUE,4,AND(S51=TRUE,T51=FALSE),3,T51=TRUE,2,U51=TRUE,0),_xlfn.IFS(Q51=TRUE,6,R51=TRUE,4,AND(S51=TRUE,T51=FALSE),3,T51=TRUE,2,U51=TRUE,0))</f>
        <v>0</v>
      </c>
      <c r="X51" s="3"/>
      <c r="Y51" s="3"/>
    </row>
    <row r="52" spans="1:25" ht="14.25" customHeight="1" x14ac:dyDescent="0.3">
      <c r="A52" s="3">
        <f>'Tabela de Jogos'!A52</f>
        <v>50</v>
      </c>
      <c r="B52" s="3" t="str">
        <f>'Tabela de Jogos'!B52</f>
        <v>Bósnia</v>
      </c>
      <c r="C52" s="3">
        <f>'Tabela de Jogos'!C52</f>
        <v>3</v>
      </c>
      <c r="D52" s="3" t="str">
        <f>'Tabela de Jogos'!D52</f>
        <v>x</v>
      </c>
      <c r="E52" s="3">
        <f>'Tabela de Jogos'!E52</f>
        <v>1</v>
      </c>
      <c r="F52" s="3" t="str">
        <f>'Tabela de Jogos'!F52</f>
        <v>Catar</v>
      </c>
      <c r="G52" s="3" t="str">
        <f>'Tabela de Jogos'!G52</f>
        <v>Bósnia</v>
      </c>
      <c r="H52" s="3"/>
      <c r="I52" s="3">
        <f t="shared" ref="I52:J52" si="58">A52</f>
        <v>50</v>
      </c>
      <c r="J52" s="3" t="str">
        <f t="shared" si="58"/>
        <v>Bósnia</v>
      </c>
      <c r="K52" s="6">
        <v>2</v>
      </c>
      <c r="L52" s="5" t="str">
        <f t="shared" si="2"/>
        <v>x</v>
      </c>
      <c r="M52" s="6">
        <v>0</v>
      </c>
      <c r="N52" s="3" t="str">
        <f t="shared" si="3"/>
        <v>Catar</v>
      </c>
      <c r="O52" s="3" t="str">
        <f t="shared" si="4"/>
        <v>Bósnia</v>
      </c>
      <c r="P52" s="3"/>
      <c r="Q52" s="3" t="b">
        <f t="shared" si="5"/>
        <v>0</v>
      </c>
      <c r="R52" s="3" t="b">
        <f t="shared" si="6"/>
        <v>0</v>
      </c>
      <c r="S52" s="3" t="b">
        <f t="shared" si="7"/>
        <v>1</v>
      </c>
      <c r="T52" s="3" t="b">
        <f t="shared" si="8"/>
        <v>0</v>
      </c>
      <c r="U52" s="3" t="b">
        <f t="shared" si="9"/>
        <v>0</v>
      </c>
      <c r="V52" s="3"/>
      <c r="W52" s="3" cm="1">
        <f t="array" ref="W52">IF(OR(J52="Brasil",N52="Brasil"),2*_xlfn.IFS(Q52=TRUE,6,R52=TRUE,4,AND(S52=TRUE,T52=FALSE),3,T52=TRUE,2,U52=TRUE,0),_xlfn.IFS(Q52=TRUE,6,R52=TRUE,4,AND(S52=TRUE,T52=FALSE),3,T52=TRUE,2,U52=TRUE,0))</f>
        <v>3</v>
      </c>
      <c r="X52" s="3"/>
      <c r="Y52" s="3"/>
    </row>
    <row r="53" spans="1:25" ht="14.25" customHeight="1" x14ac:dyDescent="0.3">
      <c r="A53" s="3">
        <f>'Tabela de Jogos'!A53</f>
        <v>51</v>
      </c>
      <c r="B53" s="3" t="str">
        <f>'Tabela de Jogos'!B53</f>
        <v>Marrocos</v>
      </c>
      <c r="C53" s="3">
        <f>'Tabela de Jogos'!C53</f>
        <v>4</v>
      </c>
      <c r="D53" s="3" t="str">
        <f>'Tabela de Jogos'!D53</f>
        <v>x</v>
      </c>
      <c r="E53" s="3">
        <f>'Tabela de Jogos'!E53</f>
        <v>2</v>
      </c>
      <c r="F53" s="3" t="str">
        <f>'Tabela de Jogos'!F53</f>
        <v>Haiti</v>
      </c>
      <c r="G53" s="3" t="str">
        <f>'Tabela de Jogos'!G53</f>
        <v>Marrocos</v>
      </c>
      <c r="H53" s="3"/>
      <c r="I53" s="3">
        <f t="shared" ref="I53:J53" si="59">A53</f>
        <v>51</v>
      </c>
      <c r="J53" s="3" t="str">
        <f t="shared" si="59"/>
        <v>Marrocos</v>
      </c>
      <c r="K53" s="6">
        <v>4</v>
      </c>
      <c r="L53" s="5" t="str">
        <f t="shared" si="2"/>
        <v>x</v>
      </c>
      <c r="M53" s="6">
        <v>0</v>
      </c>
      <c r="N53" s="3" t="str">
        <f t="shared" si="3"/>
        <v>Haiti</v>
      </c>
      <c r="O53" s="3" t="str">
        <f t="shared" si="4"/>
        <v>Marrocos</v>
      </c>
      <c r="P53" s="3"/>
      <c r="Q53" s="3" t="b">
        <f t="shared" si="5"/>
        <v>0</v>
      </c>
      <c r="R53" s="3" t="b">
        <f t="shared" si="6"/>
        <v>1</v>
      </c>
      <c r="S53" s="3" t="b">
        <f t="shared" si="7"/>
        <v>0</v>
      </c>
      <c r="T53" s="3" t="b">
        <f t="shared" si="8"/>
        <v>0</v>
      </c>
      <c r="U53" s="3" t="b">
        <f t="shared" si="9"/>
        <v>0</v>
      </c>
      <c r="V53" s="3"/>
      <c r="W53" s="3" cm="1">
        <f t="array" ref="W53">IF(OR(J53="Brasil",N53="Brasil"),2*_xlfn.IFS(Q53=TRUE,6,R53=TRUE,4,AND(S53=TRUE,T53=FALSE),3,T53=TRUE,2,U53=TRUE,0),_xlfn.IFS(Q53=TRUE,6,R53=TRUE,4,AND(S53=TRUE,T53=FALSE),3,T53=TRUE,2,U53=TRUE,0))</f>
        <v>4</v>
      </c>
      <c r="X53" s="3"/>
      <c r="Y53" s="3"/>
    </row>
    <row r="54" spans="1:25" ht="14.25" customHeight="1" x14ac:dyDescent="0.3">
      <c r="A54" s="3">
        <f>'Tabela de Jogos'!A54</f>
        <v>52</v>
      </c>
      <c r="B54" s="3" t="str">
        <f>'Tabela de Jogos'!B54</f>
        <v>Escócia</v>
      </c>
      <c r="C54" s="3">
        <f>'Tabela de Jogos'!C54</f>
        <v>0</v>
      </c>
      <c r="D54" s="3" t="str">
        <f>'Tabela de Jogos'!D54</f>
        <v>x</v>
      </c>
      <c r="E54" s="3">
        <f>'Tabela de Jogos'!E54</f>
        <v>3</v>
      </c>
      <c r="F54" s="3" t="str">
        <f>'Tabela de Jogos'!F54</f>
        <v>Brasil</v>
      </c>
      <c r="G54" s="3" t="str">
        <f>'Tabela de Jogos'!G54</f>
        <v>Brasil</v>
      </c>
      <c r="H54" s="3"/>
      <c r="I54" s="3">
        <f t="shared" ref="I54:J54" si="60">A54</f>
        <v>52</v>
      </c>
      <c r="J54" s="3" t="str">
        <f t="shared" si="60"/>
        <v>Escócia</v>
      </c>
      <c r="K54" s="6">
        <v>0</v>
      </c>
      <c r="L54" s="5" t="str">
        <f t="shared" si="2"/>
        <v>x</v>
      </c>
      <c r="M54" s="6">
        <v>4</v>
      </c>
      <c r="N54" s="3" t="str">
        <f t="shared" si="3"/>
        <v>Brasil</v>
      </c>
      <c r="O54" s="3" t="str">
        <f t="shared" si="4"/>
        <v>Brasil</v>
      </c>
      <c r="P54" s="3"/>
      <c r="Q54" s="3" t="b">
        <f t="shared" si="5"/>
        <v>0</v>
      </c>
      <c r="R54" s="3" t="b">
        <f t="shared" si="6"/>
        <v>0</v>
      </c>
      <c r="S54" s="3" t="b">
        <f t="shared" si="7"/>
        <v>0</v>
      </c>
      <c r="T54" s="3" t="b">
        <f t="shared" si="8"/>
        <v>1</v>
      </c>
      <c r="U54" s="3" t="b">
        <f t="shared" si="9"/>
        <v>0</v>
      </c>
      <c r="V54" s="3"/>
      <c r="W54" s="3" cm="1">
        <f t="array" ref="W54">IF(OR(J54="Brasil",N54="Brasil"),2*_xlfn.IFS(Q54=TRUE,6,R54=TRUE,4,AND(S54=TRUE,T54=FALSE),3,T54=TRUE,2,U54=TRUE,0),_xlfn.IFS(Q54=TRUE,6,R54=TRUE,4,AND(S54=TRUE,T54=FALSE),3,T54=TRUE,2,U54=TRUE,0))</f>
        <v>4</v>
      </c>
      <c r="X54" s="3"/>
      <c r="Y54" s="3"/>
    </row>
    <row r="55" spans="1:25" ht="14.25" customHeight="1" x14ac:dyDescent="0.3">
      <c r="A55" s="3">
        <f>'Tabela de Jogos'!A55</f>
        <v>53</v>
      </c>
      <c r="B55" s="3" t="str">
        <f>'Tabela de Jogos'!B55</f>
        <v>África do Sul</v>
      </c>
      <c r="C55" s="3">
        <f>'Tabela de Jogos'!C55</f>
        <v>1</v>
      </c>
      <c r="D55" s="3" t="str">
        <f>'Tabela de Jogos'!D55</f>
        <v>x</v>
      </c>
      <c r="E55" s="3">
        <f>'Tabela de Jogos'!E55</f>
        <v>0</v>
      </c>
      <c r="F55" s="3" t="str">
        <f>'Tabela de Jogos'!F55</f>
        <v>Coreia do Sul</v>
      </c>
      <c r="G55" s="3" t="str">
        <f>'Tabela de Jogos'!G55</f>
        <v>África do Sul</v>
      </c>
      <c r="H55" s="3"/>
      <c r="I55" s="3">
        <f t="shared" ref="I55:J55" si="61">A55</f>
        <v>53</v>
      </c>
      <c r="J55" s="3" t="str">
        <f t="shared" si="61"/>
        <v>África do Sul</v>
      </c>
      <c r="K55" s="6">
        <v>0</v>
      </c>
      <c r="L55" s="5" t="str">
        <f t="shared" si="2"/>
        <v>x</v>
      </c>
      <c r="M55" s="6">
        <v>3</v>
      </c>
      <c r="N55" s="3" t="str">
        <f t="shared" si="3"/>
        <v>Coreia do Sul</v>
      </c>
      <c r="O55" s="3" t="str">
        <f t="shared" si="4"/>
        <v>Coreia do Sul</v>
      </c>
      <c r="P55" s="3"/>
      <c r="Q55" s="3" t="b">
        <f t="shared" si="5"/>
        <v>0</v>
      </c>
      <c r="R55" s="3" t="b">
        <f t="shared" si="6"/>
        <v>0</v>
      </c>
      <c r="S55" s="3" t="b">
        <f t="shared" si="7"/>
        <v>0</v>
      </c>
      <c r="T55" s="3" t="b">
        <f t="shared" si="8"/>
        <v>0</v>
      </c>
      <c r="U55" s="3" t="b">
        <f t="shared" si="9"/>
        <v>1</v>
      </c>
      <c r="V55" s="3"/>
      <c r="W55" s="3" cm="1">
        <f t="array" ref="W55">IF(OR(J55="Brasil",N55="Brasil"),2*_xlfn.IFS(Q55=TRUE,6,R55=TRUE,4,AND(S55=TRUE,T55=FALSE),3,T55=TRUE,2,U55=TRUE,0),_xlfn.IFS(Q55=TRUE,6,R55=TRUE,4,AND(S55=TRUE,T55=FALSE),3,T55=TRUE,2,U55=TRUE,0))</f>
        <v>0</v>
      </c>
      <c r="X55" s="3"/>
      <c r="Y55" s="3"/>
    </row>
    <row r="56" spans="1:25" ht="14.25" customHeight="1" x14ac:dyDescent="0.3">
      <c r="A56" s="3">
        <f>'Tabela de Jogos'!A56</f>
        <v>54</v>
      </c>
      <c r="B56" s="3" t="str">
        <f>'Tabela de Jogos'!B56</f>
        <v>Tchéquia</v>
      </c>
      <c r="C56" s="3">
        <f>'Tabela de Jogos'!C56</f>
        <v>0</v>
      </c>
      <c r="D56" s="3" t="str">
        <f>'Tabela de Jogos'!D56</f>
        <v>x</v>
      </c>
      <c r="E56" s="3">
        <f>'Tabela de Jogos'!E56</f>
        <v>3</v>
      </c>
      <c r="F56" s="3" t="str">
        <f>'Tabela de Jogos'!F56</f>
        <v>México</v>
      </c>
      <c r="G56" s="3" t="str">
        <f>'Tabela de Jogos'!G56</f>
        <v>México</v>
      </c>
      <c r="H56" s="3"/>
      <c r="I56" s="3">
        <f t="shared" ref="I56:J56" si="62">A56</f>
        <v>54</v>
      </c>
      <c r="J56" s="3" t="str">
        <f t="shared" si="62"/>
        <v>Tchéquia</v>
      </c>
      <c r="K56" s="6">
        <v>0</v>
      </c>
      <c r="L56" s="5" t="str">
        <f t="shared" si="2"/>
        <v>x</v>
      </c>
      <c r="M56" s="6">
        <v>1</v>
      </c>
      <c r="N56" s="3" t="str">
        <f t="shared" si="3"/>
        <v>México</v>
      </c>
      <c r="O56" s="3" t="str">
        <f t="shared" si="4"/>
        <v>México</v>
      </c>
      <c r="P56" s="3"/>
      <c r="Q56" s="3" t="b">
        <f t="shared" si="5"/>
        <v>0</v>
      </c>
      <c r="R56" s="3" t="b">
        <f t="shared" si="6"/>
        <v>0</v>
      </c>
      <c r="S56" s="3" t="b">
        <f t="shared" si="7"/>
        <v>0</v>
      </c>
      <c r="T56" s="3" t="b">
        <f t="shared" si="8"/>
        <v>1</v>
      </c>
      <c r="U56" s="3" t="b">
        <f t="shared" si="9"/>
        <v>0</v>
      </c>
      <c r="V56" s="3"/>
      <c r="W56" s="3" cm="1">
        <f t="array" ref="W56">IF(OR(J56="Brasil",N56="Brasil"),2*_xlfn.IFS(Q56=TRUE,6,R56=TRUE,4,AND(S56=TRUE,T56=FALSE),3,T56=TRUE,2,U56=TRUE,0),_xlfn.IFS(Q56=TRUE,6,R56=TRUE,4,AND(S56=TRUE,T56=FALSE),3,T56=TRUE,2,U56=TRUE,0))</f>
        <v>2</v>
      </c>
      <c r="X56" s="3"/>
      <c r="Y56" s="3"/>
    </row>
    <row r="57" spans="1:25" ht="14.25" customHeight="1" x14ac:dyDescent="0.3">
      <c r="A57" s="3">
        <f>'Tabela de Jogos'!A57</f>
        <v>55</v>
      </c>
      <c r="B57" s="3" t="str">
        <f>'Tabela de Jogos'!B57</f>
        <v>Curaçao</v>
      </c>
      <c r="C57" s="3">
        <f>'Tabela de Jogos'!C57</f>
        <v>0</v>
      </c>
      <c r="D57" s="3" t="str">
        <f>'Tabela de Jogos'!D57</f>
        <v>x</v>
      </c>
      <c r="E57" s="3">
        <f>'Tabela de Jogos'!E57</f>
        <v>2</v>
      </c>
      <c r="F57" s="3" t="str">
        <f>'Tabela de Jogos'!F57</f>
        <v>Costa do Marfim</v>
      </c>
      <c r="G57" s="3" t="str">
        <f>'Tabela de Jogos'!G57</f>
        <v>Costa do Marfim</v>
      </c>
      <c r="H57" s="3"/>
      <c r="I57" s="3">
        <f t="shared" ref="I57:J57" si="63">A57</f>
        <v>55</v>
      </c>
      <c r="J57" s="3" t="str">
        <f t="shared" si="63"/>
        <v>Curaçao</v>
      </c>
      <c r="K57" s="3">
        <v>0</v>
      </c>
      <c r="L57" s="3" t="str">
        <f t="shared" si="2"/>
        <v>x</v>
      </c>
      <c r="M57" s="3">
        <v>4</v>
      </c>
      <c r="N57" s="3" t="str">
        <f t="shared" si="3"/>
        <v>Costa do Marfim</v>
      </c>
      <c r="O57" s="3" t="str">
        <f t="shared" si="4"/>
        <v>Costa do Marfim</v>
      </c>
      <c r="P57" s="3"/>
      <c r="Q57" s="3" t="b">
        <f t="shared" si="5"/>
        <v>0</v>
      </c>
      <c r="R57" s="3" t="b">
        <f t="shared" si="6"/>
        <v>0</v>
      </c>
      <c r="S57" s="3" t="b">
        <f t="shared" si="7"/>
        <v>0</v>
      </c>
      <c r="T57" s="3" t="b">
        <f t="shared" si="8"/>
        <v>1</v>
      </c>
      <c r="U57" s="3" t="b">
        <f t="shared" si="9"/>
        <v>0</v>
      </c>
      <c r="V57" s="3"/>
      <c r="W57" s="3" cm="1">
        <f t="array" ref="W57">IF(OR(J57="Brasil",N57="Brasil"),2*_xlfn.IFS(Q57=TRUE,6,R57=TRUE,4,AND(S57=TRUE,T57=FALSE),3,T57=TRUE,2,U57=TRUE,0),_xlfn.IFS(Q57=TRUE,6,R57=TRUE,4,AND(S57=TRUE,T57=FALSE),3,T57=TRUE,2,U57=TRUE,0))</f>
        <v>2</v>
      </c>
      <c r="X57" s="3"/>
      <c r="Y57" s="3"/>
    </row>
    <row r="58" spans="1:25" ht="14.25" customHeight="1" x14ac:dyDescent="0.3">
      <c r="A58" s="3">
        <f>'Tabela de Jogos'!A58</f>
        <v>56</v>
      </c>
      <c r="B58" s="3" t="str">
        <f>'Tabela de Jogos'!B58</f>
        <v>Equador</v>
      </c>
      <c r="C58" s="3">
        <f>'Tabela de Jogos'!C58</f>
        <v>2</v>
      </c>
      <c r="D58" s="3" t="str">
        <f>'Tabela de Jogos'!D58</f>
        <v>x</v>
      </c>
      <c r="E58" s="3">
        <f>'Tabela de Jogos'!E58</f>
        <v>1</v>
      </c>
      <c r="F58" s="3" t="str">
        <f>'Tabela de Jogos'!F58</f>
        <v>Alemanha</v>
      </c>
      <c r="G58" s="3" t="str">
        <f>'Tabela de Jogos'!G58</f>
        <v>Equador</v>
      </c>
      <c r="H58" s="3"/>
      <c r="I58" s="3">
        <f t="shared" ref="I58:J58" si="64">A58</f>
        <v>56</v>
      </c>
      <c r="J58" s="3" t="str">
        <f t="shared" si="64"/>
        <v>Equador</v>
      </c>
      <c r="K58" s="3">
        <v>1</v>
      </c>
      <c r="L58" s="3" t="str">
        <f t="shared" si="2"/>
        <v>x</v>
      </c>
      <c r="M58" s="3">
        <v>3</v>
      </c>
      <c r="N58" s="3" t="str">
        <f t="shared" si="3"/>
        <v>Alemanha</v>
      </c>
      <c r="O58" s="3" t="str">
        <f t="shared" si="4"/>
        <v>Alemanha</v>
      </c>
      <c r="P58" s="3"/>
      <c r="Q58" s="3" t="b">
        <f t="shared" si="5"/>
        <v>0</v>
      </c>
      <c r="R58" s="3" t="b">
        <f t="shared" si="6"/>
        <v>0</v>
      </c>
      <c r="S58" s="3" t="b">
        <f t="shared" si="7"/>
        <v>0</v>
      </c>
      <c r="T58" s="3" t="b">
        <f t="shared" si="8"/>
        <v>0</v>
      </c>
      <c r="U58" s="3" t="b">
        <f t="shared" si="9"/>
        <v>1</v>
      </c>
      <c r="V58" s="3"/>
      <c r="W58" s="3" cm="1">
        <f t="array" ref="W58">IF(OR(J58="Brasil",N58="Brasil"),2*_xlfn.IFS(Q58=TRUE,6,R58=TRUE,4,AND(S58=TRUE,T58=FALSE),3,T58=TRUE,2,U58=TRUE,0),_xlfn.IFS(Q58=TRUE,6,R58=TRUE,4,AND(S58=TRUE,T58=FALSE),3,T58=TRUE,2,U58=TRUE,0))</f>
        <v>0</v>
      </c>
      <c r="X58" s="3"/>
      <c r="Y58" s="3"/>
    </row>
    <row r="59" spans="1:25" ht="14.25" customHeight="1" x14ac:dyDescent="0.3">
      <c r="A59" s="3">
        <f>'Tabela de Jogos'!A59</f>
        <v>57</v>
      </c>
      <c r="B59" s="3" t="str">
        <f>'Tabela de Jogos'!B59</f>
        <v>Tunísia</v>
      </c>
      <c r="C59" s="3">
        <f>'Tabela de Jogos'!C59</f>
        <v>1</v>
      </c>
      <c r="D59" s="3" t="str">
        <f>'Tabela de Jogos'!D59</f>
        <v>x</v>
      </c>
      <c r="E59" s="3">
        <f>'Tabela de Jogos'!E59</f>
        <v>3</v>
      </c>
      <c r="F59" s="3" t="str">
        <f>'Tabela de Jogos'!F59</f>
        <v>Holanda</v>
      </c>
      <c r="G59" s="3" t="str">
        <f>'Tabela de Jogos'!G59</f>
        <v>Holanda</v>
      </c>
      <c r="H59" s="3"/>
      <c r="I59" s="3">
        <f t="shared" ref="I59:J59" si="65">A59</f>
        <v>57</v>
      </c>
      <c r="J59" s="3" t="str">
        <f t="shared" si="65"/>
        <v>Tunísia</v>
      </c>
      <c r="K59" s="3">
        <v>2</v>
      </c>
      <c r="L59" s="3" t="str">
        <f t="shared" si="2"/>
        <v>x</v>
      </c>
      <c r="M59" s="3">
        <v>1</v>
      </c>
      <c r="N59" s="3" t="str">
        <f t="shared" si="3"/>
        <v>Holanda</v>
      </c>
      <c r="O59" s="3" t="str">
        <f t="shared" si="4"/>
        <v>Tunísia</v>
      </c>
      <c r="P59" s="3"/>
      <c r="Q59" s="3" t="b">
        <f t="shared" si="5"/>
        <v>0</v>
      </c>
      <c r="R59" s="3" t="b">
        <f t="shared" si="6"/>
        <v>0</v>
      </c>
      <c r="S59" s="3" t="b">
        <f t="shared" si="7"/>
        <v>0</v>
      </c>
      <c r="T59" s="3" t="b">
        <f t="shared" si="8"/>
        <v>0</v>
      </c>
      <c r="U59" s="3" t="b">
        <f t="shared" si="9"/>
        <v>1</v>
      </c>
      <c r="V59" s="3"/>
      <c r="W59" s="3" cm="1">
        <f t="array" ref="W59">IF(OR(J59="Brasil",N59="Brasil"),2*_xlfn.IFS(Q59=TRUE,6,R59=TRUE,4,AND(S59=TRUE,T59=FALSE),3,T59=TRUE,2,U59=TRUE,0),_xlfn.IFS(Q59=TRUE,6,R59=TRUE,4,AND(S59=TRUE,T59=FALSE),3,T59=TRUE,2,U59=TRUE,0))</f>
        <v>0</v>
      </c>
      <c r="X59" s="3"/>
      <c r="Y59" s="3"/>
    </row>
    <row r="60" spans="1:25" ht="14.25" customHeight="1" x14ac:dyDescent="0.3">
      <c r="A60" s="3">
        <f>'Tabela de Jogos'!A60</f>
        <v>58</v>
      </c>
      <c r="B60" s="3" t="str">
        <f>'Tabela de Jogos'!B60</f>
        <v>Japão</v>
      </c>
      <c r="C60" s="3">
        <f>'Tabela de Jogos'!C60</f>
        <v>1</v>
      </c>
      <c r="D60" s="3" t="str">
        <f>'Tabela de Jogos'!D60</f>
        <v>x</v>
      </c>
      <c r="E60" s="3">
        <f>'Tabela de Jogos'!E60</f>
        <v>1</v>
      </c>
      <c r="F60" s="3" t="str">
        <f>'Tabela de Jogos'!F60</f>
        <v>Suécia</v>
      </c>
      <c r="G60" s="3" t="str">
        <f>'Tabela de Jogos'!G60</f>
        <v>Empate</v>
      </c>
      <c r="H60" s="3"/>
      <c r="I60" s="3">
        <f t="shared" ref="I60:J60" si="66">A60</f>
        <v>58</v>
      </c>
      <c r="J60" s="3" t="str">
        <f t="shared" si="66"/>
        <v>Japão</v>
      </c>
      <c r="K60" s="3">
        <v>0</v>
      </c>
      <c r="L60" s="3" t="str">
        <f t="shared" si="2"/>
        <v>x</v>
      </c>
      <c r="M60" s="3">
        <v>4</v>
      </c>
      <c r="N60" s="3" t="str">
        <f t="shared" si="3"/>
        <v>Suécia</v>
      </c>
      <c r="O60" s="3" t="str">
        <f t="shared" si="4"/>
        <v>Suécia</v>
      </c>
      <c r="P60" s="3"/>
      <c r="Q60" s="3" t="b">
        <f t="shared" si="5"/>
        <v>0</v>
      </c>
      <c r="R60" s="3" t="b">
        <f t="shared" si="6"/>
        <v>0</v>
      </c>
      <c r="S60" s="3" t="b">
        <f t="shared" si="7"/>
        <v>0</v>
      </c>
      <c r="T60" s="3" t="b">
        <f t="shared" si="8"/>
        <v>0</v>
      </c>
      <c r="U60" s="3" t="b">
        <f t="shared" si="9"/>
        <v>1</v>
      </c>
      <c r="V60" s="3"/>
      <c r="W60" s="3" cm="1">
        <f t="array" ref="W60">IF(OR(J60="Brasil",N60="Brasil"),2*_xlfn.IFS(Q60=TRUE,6,R60=TRUE,4,AND(S60=TRUE,T60=FALSE),3,T60=TRUE,2,U60=TRUE,0),_xlfn.IFS(Q60=TRUE,6,R60=TRUE,4,AND(S60=TRUE,T60=FALSE),3,T60=TRUE,2,U60=TRUE,0))</f>
        <v>0</v>
      </c>
      <c r="X60" s="3"/>
      <c r="Y60" s="3"/>
    </row>
    <row r="61" spans="1:25" ht="14.25" customHeight="1" x14ac:dyDescent="0.3">
      <c r="A61" s="3">
        <f>'Tabela de Jogos'!A61</f>
        <v>59</v>
      </c>
      <c r="B61" s="3" t="str">
        <f>'Tabela de Jogos'!B61</f>
        <v>Turquia</v>
      </c>
      <c r="C61" s="3">
        <f>'Tabela de Jogos'!C61</f>
        <v>0</v>
      </c>
      <c r="D61" s="3" t="str">
        <f>'Tabela de Jogos'!D61</f>
        <v>x</v>
      </c>
      <c r="E61" s="3">
        <f>'Tabela de Jogos'!E61</f>
        <v>0</v>
      </c>
      <c r="F61" s="3" t="str">
        <f>'Tabela de Jogos'!F61</f>
        <v>EUA</v>
      </c>
      <c r="G61" s="3" t="str">
        <f>'Tabela de Jogos'!G61</f>
        <v>-</v>
      </c>
      <c r="H61" s="3"/>
      <c r="I61" s="3">
        <f t="shared" ref="I61:J61" si="67">A61</f>
        <v>59</v>
      </c>
      <c r="J61" s="3" t="str">
        <f t="shared" si="67"/>
        <v>Turquia</v>
      </c>
      <c r="K61" s="3">
        <v>0</v>
      </c>
      <c r="L61" s="3" t="str">
        <f t="shared" si="2"/>
        <v>x</v>
      </c>
      <c r="M61" s="3">
        <v>2</v>
      </c>
      <c r="N61" s="3" t="str">
        <f t="shared" si="3"/>
        <v>EUA</v>
      </c>
      <c r="O61" s="3" t="str">
        <f t="shared" si="4"/>
        <v>EUA</v>
      </c>
      <c r="P61" s="3"/>
      <c r="Q61" s="3" t="b">
        <f t="shared" si="5"/>
        <v>0</v>
      </c>
      <c r="R61" s="3" t="b">
        <f t="shared" si="6"/>
        <v>0</v>
      </c>
      <c r="S61" s="3" t="b">
        <f t="shared" si="7"/>
        <v>0</v>
      </c>
      <c r="T61" s="3" t="b">
        <f t="shared" si="8"/>
        <v>0</v>
      </c>
      <c r="U61" s="3" t="b">
        <f t="shared" si="9"/>
        <v>1</v>
      </c>
      <c r="V61" s="3"/>
      <c r="W61" s="3" cm="1">
        <f t="array" ref="W61">IF(OR(J61="Brasil",N61="Brasil"),2*_xlfn.IFS(Q61=TRUE,6,R61=TRUE,4,AND(S61=TRUE,T61=FALSE),3,T61=TRUE,2,U61=TRUE,0),_xlfn.IFS(Q61=TRUE,6,R61=TRUE,4,AND(S61=TRUE,T61=FALSE),3,T61=TRUE,2,U61=TRUE,0))</f>
        <v>0</v>
      </c>
      <c r="X61" s="3"/>
      <c r="Y61" s="3"/>
    </row>
    <row r="62" spans="1:25" ht="14.25" customHeight="1" x14ac:dyDescent="0.3">
      <c r="A62" s="3">
        <f>'Tabela de Jogos'!A62</f>
        <v>60</v>
      </c>
      <c r="B62" s="3" t="str">
        <f>'Tabela de Jogos'!B62</f>
        <v>Paraguai</v>
      </c>
      <c r="C62" s="3">
        <f>'Tabela de Jogos'!C62</f>
        <v>0</v>
      </c>
      <c r="D62" s="3" t="str">
        <f>'Tabela de Jogos'!D62</f>
        <v>x</v>
      </c>
      <c r="E62" s="3">
        <f>'Tabela de Jogos'!E62</f>
        <v>0</v>
      </c>
      <c r="F62" s="3" t="str">
        <f>'Tabela de Jogos'!F62</f>
        <v>Austrália</v>
      </c>
      <c r="G62" s="3" t="str">
        <f>'Tabela de Jogos'!G62</f>
        <v>-</v>
      </c>
      <c r="H62" s="3"/>
      <c r="I62" s="3">
        <f t="shared" ref="I62:J62" si="68">A62</f>
        <v>60</v>
      </c>
      <c r="J62" s="3" t="str">
        <f t="shared" si="68"/>
        <v>Paraguai</v>
      </c>
      <c r="K62" s="3">
        <v>2</v>
      </c>
      <c r="L62" s="3" t="str">
        <f t="shared" si="2"/>
        <v>x</v>
      </c>
      <c r="M62" s="3">
        <v>1</v>
      </c>
      <c r="N62" s="3" t="str">
        <f t="shared" si="3"/>
        <v>Austrália</v>
      </c>
      <c r="O62" s="3" t="str">
        <f t="shared" si="4"/>
        <v>Paraguai</v>
      </c>
      <c r="P62" s="3"/>
      <c r="Q62" s="3" t="b">
        <f t="shared" si="5"/>
        <v>0</v>
      </c>
      <c r="R62" s="3" t="b">
        <f t="shared" si="6"/>
        <v>0</v>
      </c>
      <c r="S62" s="3" t="b">
        <f t="shared" si="7"/>
        <v>0</v>
      </c>
      <c r="T62" s="3" t="b">
        <f t="shared" si="8"/>
        <v>0</v>
      </c>
      <c r="U62" s="3" t="b">
        <f t="shared" si="9"/>
        <v>1</v>
      </c>
      <c r="V62" s="3"/>
      <c r="W62" s="3" cm="1">
        <f t="array" ref="W62">IF(OR(J62="Brasil",N62="Brasil"),2*_xlfn.IFS(Q62=TRUE,6,R62=TRUE,4,AND(S62=TRUE,T62=FALSE),3,T62=TRUE,2,U62=TRUE,0),_xlfn.IFS(Q62=TRUE,6,R62=TRUE,4,AND(S62=TRUE,T62=FALSE),3,T62=TRUE,2,U62=TRUE,0))</f>
        <v>0</v>
      </c>
      <c r="X62" s="3"/>
      <c r="Y62" s="3"/>
    </row>
    <row r="63" spans="1:25" ht="14.25" customHeight="1" x14ac:dyDescent="0.3">
      <c r="A63" s="3">
        <f>'Tabela de Jogos'!A63</f>
        <v>61</v>
      </c>
      <c r="B63" s="3" t="str">
        <f>'Tabela de Jogos'!B63</f>
        <v>Noruega</v>
      </c>
      <c r="C63" s="3">
        <f>'Tabela de Jogos'!C63</f>
        <v>0</v>
      </c>
      <c r="D63" s="3" t="str">
        <f>'Tabela de Jogos'!D63</f>
        <v>x</v>
      </c>
      <c r="E63" s="3">
        <f>'Tabela de Jogos'!E63</f>
        <v>0</v>
      </c>
      <c r="F63" s="3" t="str">
        <f>'Tabela de Jogos'!F63</f>
        <v>França</v>
      </c>
      <c r="G63" s="3" t="str">
        <f>'Tabela de Jogos'!G63</f>
        <v>-</v>
      </c>
      <c r="H63" s="3"/>
      <c r="I63" s="3">
        <f t="shared" ref="I63:J63" si="69">A63</f>
        <v>61</v>
      </c>
      <c r="J63" s="3" t="str">
        <f t="shared" si="69"/>
        <v>Noruega</v>
      </c>
      <c r="K63" s="3"/>
      <c r="L63" s="3" t="str">
        <f t="shared" si="2"/>
        <v>x</v>
      </c>
      <c r="M63" s="3"/>
      <c r="N63" s="3" t="str">
        <f t="shared" si="3"/>
        <v>França</v>
      </c>
      <c r="O63" s="3" t="str">
        <f t="shared" si="4"/>
        <v>-</v>
      </c>
      <c r="P63" s="3"/>
      <c r="Q63" s="3" t="b">
        <f t="shared" si="5"/>
        <v>0</v>
      </c>
      <c r="R63" s="3" t="b">
        <f t="shared" si="6"/>
        <v>0</v>
      </c>
      <c r="S63" s="3" t="b">
        <f t="shared" si="7"/>
        <v>0</v>
      </c>
      <c r="T63" s="3" t="b">
        <f t="shared" si="8"/>
        <v>0</v>
      </c>
      <c r="U63" s="3" t="b">
        <f t="shared" si="9"/>
        <v>1</v>
      </c>
      <c r="V63" s="3"/>
      <c r="W63" s="3" cm="1">
        <f t="array" ref="W63">IF(OR(J63="Brasil",N63="Brasil"),2*_xlfn.IFS(Q63=TRUE,6,R63=TRUE,4,AND(S63=TRUE,T63=FALSE),3,T63=TRUE,2,U63=TRUE,0),_xlfn.IFS(Q63=TRUE,6,R63=TRUE,4,AND(S63=TRUE,T63=FALSE),3,T63=TRUE,2,U63=TRUE,0))</f>
        <v>0</v>
      </c>
      <c r="X63" s="3"/>
      <c r="Y63" s="3"/>
    </row>
    <row r="64" spans="1:25" ht="14.25" customHeight="1" x14ac:dyDescent="0.3">
      <c r="A64" s="3">
        <f>'Tabela de Jogos'!A64</f>
        <v>62</v>
      </c>
      <c r="B64" s="3" t="str">
        <f>'Tabela de Jogos'!B64</f>
        <v>Senegal</v>
      </c>
      <c r="C64" s="3">
        <f>'Tabela de Jogos'!C64</f>
        <v>0</v>
      </c>
      <c r="D64" s="3" t="str">
        <f>'Tabela de Jogos'!D64</f>
        <v>x</v>
      </c>
      <c r="E64" s="3">
        <f>'Tabela de Jogos'!E64</f>
        <v>0</v>
      </c>
      <c r="F64" s="3" t="str">
        <f>'Tabela de Jogos'!F64</f>
        <v>Iraque</v>
      </c>
      <c r="G64" s="3" t="str">
        <f>'Tabela de Jogos'!G64</f>
        <v>-</v>
      </c>
      <c r="H64" s="3"/>
      <c r="I64" s="3">
        <f t="shared" ref="I64:J64" si="70">A64</f>
        <v>62</v>
      </c>
      <c r="J64" s="3" t="str">
        <f t="shared" si="70"/>
        <v>Senegal</v>
      </c>
      <c r="K64" s="3"/>
      <c r="L64" s="3" t="str">
        <f t="shared" si="2"/>
        <v>x</v>
      </c>
      <c r="M64" s="3"/>
      <c r="N64" s="3" t="str">
        <f t="shared" si="3"/>
        <v>Iraque</v>
      </c>
      <c r="O64" s="3" t="str">
        <f t="shared" si="4"/>
        <v>-</v>
      </c>
      <c r="P64" s="3"/>
      <c r="Q64" s="3" t="b">
        <f t="shared" si="5"/>
        <v>0</v>
      </c>
      <c r="R64" s="3" t="b">
        <f t="shared" si="6"/>
        <v>0</v>
      </c>
      <c r="S64" s="3" t="b">
        <f t="shared" si="7"/>
        <v>0</v>
      </c>
      <c r="T64" s="3" t="b">
        <f t="shared" si="8"/>
        <v>0</v>
      </c>
      <c r="U64" s="3" t="b">
        <f t="shared" si="9"/>
        <v>1</v>
      </c>
      <c r="V64" s="3"/>
      <c r="W64" s="3" cm="1">
        <f t="array" ref="W64">IF(OR(J64="Brasil",N64="Brasil"),2*_xlfn.IFS(Q64=TRUE,6,R64=TRUE,4,AND(S64=TRUE,T64=FALSE),3,T64=TRUE,2,U64=TRUE,0),_xlfn.IFS(Q64=TRUE,6,R64=TRUE,4,AND(S64=TRUE,T64=FALSE),3,T64=TRUE,2,U64=TRUE,0))</f>
        <v>0</v>
      </c>
      <c r="X64" s="3"/>
      <c r="Y64" s="3"/>
    </row>
    <row r="65" spans="1:25" ht="14.25" customHeight="1" x14ac:dyDescent="0.3">
      <c r="A65" s="3">
        <f>'Tabela de Jogos'!A65</f>
        <v>63</v>
      </c>
      <c r="B65" s="3" t="str">
        <f>'Tabela de Jogos'!B65</f>
        <v>Cabo Verde</v>
      </c>
      <c r="C65" s="3">
        <f>'Tabela de Jogos'!C65</f>
        <v>0</v>
      </c>
      <c r="D65" s="3" t="str">
        <f>'Tabela de Jogos'!D65</f>
        <v>x</v>
      </c>
      <c r="E65" s="3">
        <f>'Tabela de Jogos'!E65</f>
        <v>0</v>
      </c>
      <c r="F65" s="3" t="str">
        <f>'Tabela de Jogos'!F65</f>
        <v>Arábia Saudita</v>
      </c>
      <c r="G65" s="3" t="str">
        <f>'Tabela de Jogos'!G65</f>
        <v>-</v>
      </c>
      <c r="H65" s="3"/>
      <c r="I65" s="3">
        <f t="shared" ref="I65:J65" si="71">A65</f>
        <v>63</v>
      </c>
      <c r="J65" s="3" t="str">
        <f t="shared" si="71"/>
        <v>Cabo Verde</v>
      </c>
      <c r="K65" s="3"/>
      <c r="L65" s="3" t="str">
        <f t="shared" si="2"/>
        <v>x</v>
      </c>
      <c r="M65" s="3"/>
      <c r="N65" s="3" t="str">
        <f t="shared" si="3"/>
        <v>Arábia Saudita</v>
      </c>
      <c r="O65" s="3" t="str">
        <f t="shared" si="4"/>
        <v>-</v>
      </c>
      <c r="P65" s="3"/>
      <c r="Q65" s="3" t="b">
        <f t="shared" si="5"/>
        <v>0</v>
      </c>
      <c r="R65" s="3" t="b">
        <f t="shared" si="6"/>
        <v>0</v>
      </c>
      <c r="S65" s="3" t="b">
        <f t="shared" si="7"/>
        <v>0</v>
      </c>
      <c r="T65" s="3" t="b">
        <f t="shared" si="8"/>
        <v>0</v>
      </c>
      <c r="U65" s="3" t="b">
        <f t="shared" si="9"/>
        <v>1</v>
      </c>
      <c r="V65" s="3"/>
      <c r="W65" s="3" cm="1">
        <f t="array" ref="W65">IF(OR(J65="Brasil",N65="Brasil"),2*_xlfn.IFS(Q65=TRUE,6,R65=TRUE,4,AND(S65=TRUE,T65=FALSE),3,T65=TRUE,2,U65=TRUE,0),_xlfn.IFS(Q65=TRUE,6,R65=TRUE,4,AND(S65=TRUE,T65=FALSE),3,T65=TRUE,2,U65=TRUE,0))</f>
        <v>0</v>
      </c>
      <c r="X65" s="3"/>
      <c r="Y65" s="3"/>
    </row>
    <row r="66" spans="1:25" ht="14.25" customHeight="1" x14ac:dyDescent="0.3">
      <c r="A66" s="3">
        <f>'Tabela de Jogos'!A66</f>
        <v>64</v>
      </c>
      <c r="B66" s="3" t="str">
        <f>'Tabela de Jogos'!B66</f>
        <v>Uruguai</v>
      </c>
      <c r="C66" s="3">
        <f>'Tabela de Jogos'!C66</f>
        <v>0</v>
      </c>
      <c r="D66" s="3" t="str">
        <f>'Tabela de Jogos'!D66</f>
        <v>x</v>
      </c>
      <c r="E66" s="3">
        <f>'Tabela de Jogos'!E66</f>
        <v>0</v>
      </c>
      <c r="F66" s="3" t="str">
        <f>'Tabela de Jogos'!F66</f>
        <v>Espanha</v>
      </c>
      <c r="G66" s="3" t="str">
        <f>'Tabela de Jogos'!G66</f>
        <v>-</v>
      </c>
      <c r="H66" s="3"/>
      <c r="I66" s="3">
        <f t="shared" ref="I66:J66" si="72">A66</f>
        <v>64</v>
      </c>
      <c r="J66" s="3" t="str">
        <f t="shared" si="72"/>
        <v>Uruguai</v>
      </c>
      <c r="K66" s="3"/>
      <c r="L66" s="3" t="str">
        <f t="shared" si="2"/>
        <v>x</v>
      </c>
      <c r="M66" s="3"/>
      <c r="N66" s="3" t="str">
        <f t="shared" si="3"/>
        <v>Espanha</v>
      </c>
      <c r="O66" s="3" t="str">
        <f t="shared" si="4"/>
        <v>-</v>
      </c>
      <c r="P66" s="3"/>
      <c r="Q66" s="3" t="b">
        <f t="shared" si="5"/>
        <v>0</v>
      </c>
      <c r="R66" s="3" t="b">
        <f t="shared" si="6"/>
        <v>0</v>
      </c>
      <c r="S66" s="3" t="b">
        <f t="shared" si="7"/>
        <v>0</v>
      </c>
      <c r="T66" s="3" t="b">
        <f t="shared" si="8"/>
        <v>0</v>
      </c>
      <c r="U66" s="3" t="b">
        <f t="shared" si="9"/>
        <v>1</v>
      </c>
      <c r="V66" s="3"/>
      <c r="W66" s="3" cm="1">
        <f t="array" ref="W66">IF(OR(J66="Brasil",N66="Brasil"),2*_xlfn.IFS(Q66=TRUE,6,R66=TRUE,4,AND(S66=TRUE,T66=FALSE),3,T66=TRUE,2,U66=TRUE,0),_xlfn.IFS(Q66=TRUE,6,R66=TRUE,4,AND(S66=TRUE,T66=FALSE),3,T66=TRUE,2,U66=TRUE,0))</f>
        <v>0</v>
      </c>
      <c r="X66" s="3"/>
      <c r="Y66" s="3"/>
    </row>
    <row r="67" spans="1:25" ht="14.25" customHeight="1" x14ac:dyDescent="0.3">
      <c r="A67" s="3">
        <f>'Tabela de Jogos'!A67</f>
        <v>65</v>
      </c>
      <c r="B67" s="3" t="str">
        <f>'Tabela de Jogos'!B67</f>
        <v>Nova Zelândia</v>
      </c>
      <c r="C67" s="3">
        <f>'Tabela de Jogos'!C67</f>
        <v>0</v>
      </c>
      <c r="D67" s="3" t="str">
        <f>'Tabela de Jogos'!D67</f>
        <v>x</v>
      </c>
      <c r="E67" s="3">
        <f>'Tabela de Jogos'!E67</f>
        <v>0</v>
      </c>
      <c r="F67" s="3" t="str">
        <f>'Tabela de Jogos'!F67</f>
        <v>Bélgica</v>
      </c>
      <c r="G67" s="3" t="str">
        <f>'Tabela de Jogos'!G67</f>
        <v>-</v>
      </c>
      <c r="H67" s="3"/>
      <c r="I67" s="3">
        <f t="shared" ref="I67:J67" si="73">A67</f>
        <v>65</v>
      </c>
      <c r="J67" s="3" t="str">
        <f t="shared" si="73"/>
        <v>Nova Zelândia</v>
      </c>
      <c r="K67" s="3"/>
      <c r="L67" s="3" t="str">
        <f t="shared" si="2"/>
        <v>x</v>
      </c>
      <c r="M67" s="3"/>
      <c r="N67" s="3" t="str">
        <f t="shared" si="3"/>
        <v>Bélgica</v>
      </c>
      <c r="O67" s="3" t="str">
        <f t="shared" si="4"/>
        <v>-</v>
      </c>
      <c r="P67" s="3"/>
      <c r="Q67" s="3" t="b">
        <f t="shared" si="5"/>
        <v>0</v>
      </c>
      <c r="R67" s="3" t="b">
        <f t="shared" si="6"/>
        <v>0</v>
      </c>
      <c r="S67" s="3" t="b">
        <f t="shared" si="7"/>
        <v>0</v>
      </c>
      <c r="T67" s="3" t="b">
        <f t="shared" si="8"/>
        <v>0</v>
      </c>
      <c r="U67" s="3" t="b">
        <f t="shared" si="9"/>
        <v>1</v>
      </c>
      <c r="V67" s="3"/>
      <c r="W67" s="3" cm="1">
        <f t="array" ref="W67">IF(OR(J67="Brasil",N67="Brasil"),2*_xlfn.IFS(Q67=TRUE,6,R67=TRUE,4,AND(S67=TRUE,T67=FALSE),3,T67=TRUE,2,U67=TRUE,0),_xlfn.IFS(Q67=TRUE,6,R67=TRUE,4,AND(S67=TRUE,T67=FALSE),3,T67=TRUE,2,U67=TRUE,0))</f>
        <v>0</v>
      </c>
      <c r="X67" s="3"/>
      <c r="Y67" s="3"/>
    </row>
    <row r="68" spans="1:25" ht="14.25" customHeight="1" x14ac:dyDescent="0.3">
      <c r="A68" s="3">
        <f>'Tabela de Jogos'!A68</f>
        <v>66</v>
      </c>
      <c r="B68" s="3" t="str">
        <f>'Tabela de Jogos'!B68</f>
        <v>Egito</v>
      </c>
      <c r="C68" s="3">
        <f>'Tabela de Jogos'!C68</f>
        <v>0</v>
      </c>
      <c r="D68" s="3" t="str">
        <f>'Tabela de Jogos'!D68</f>
        <v>x</v>
      </c>
      <c r="E68" s="3">
        <f>'Tabela de Jogos'!E68</f>
        <v>0</v>
      </c>
      <c r="F68" s="3" t="str">
        <f>'Tabela de Jogos'!F68</f>
        <v>Irã</v>
      </c>
      <c r="G68" s="3" t="str">
        <f>'Tabela de Jogos'!G68</f>
        <v>-</v>
      </c>
      <c r="H68" s="3"/>
      <c r="I68" s="3">
        <f t="shared" ref="I68:J68" si="74">A68</f>
        <v>66</v>
      </c>
      <c r="J68" s="3" t="str">
        <f t="shared" si="74"/>
        <v>Egito</v>
      </c>
      <c r="K68" s="3"/>
      <c r="L68" s="3" t="str">
        <f t="shared" si="2"/>
        <v>x</v>
      </c>
      <c r="M68" s="3"/>
      <c r="N68" s="3" t="str">
        <f t="shared" si="3"/>
        <v>Irã</v>
      </c>
      <c r="O68" s="3" t="str">
        <f t="shared" si="4"/>
        <v>-</v>
      </c>
      <c r="P68" s="3"/>
      <c r="Q68" s="3" t="b">
        <f t="shared" si="5"/>
        <v>0</v>
      </c>
      <c r="R68" s="3" t="b">
        <f t="shared" si="6"/>
        <v>0</v>
      </c>
      <c r="S68" s="3" t="b">
        <f t="shared" si="7"/>
        <v>0</v>
      </c>
      <c r="T68" s="3" t="b">
        <f t="shared" si="8"/>
        <v>0</v>
      </c>
      <c r="U68" s="3" t="b">
        <f t="shared" si="9"/>
        <v>1</v>
      </c>
      <c r="V68" s="3"/>
      <c r="W68" s="3" cm="1">
        <f t="array" ref="W68">IF(OR(J68="Brasil",N68="Brasil"),2*_xlfn.IFS(Q68=TRUE,6,R68=TRUE,4,AND(S68=TRUE,T68=FALSE),3,T68=TRUE,2,U68=TRUE,0),_xlfn.IFS(Q68=TRUE,6,R68=TRUE,4,AND(S68=TRUE,T68=FALSE),3,T68=TRUE,2,U68=TRUE,0))</f>
        <v>0</v>
      </c>
      <c r="X68" s="3"/>
      <c r="Y68" s="3"/>
    </row>
    <row r="69" spans="1:25" ht="14.25" customHeight="1" x14ac:dyDescent="0.3">
      <c r="A69" s="3">
        <f>'Tabela de Jogos'!A69</f>
        <v>67</v>
      </c>
      <c r="B69" s="3" t="str">
        <f>'Tabela de Jogos'!B69</f>
        <v>Panamá</v>
      </c>
      <c r="C69" s="3">
        <f>'Tabela de Jogos'!C69</f>
        <v>0</v>
      </c>
      <c r="D69" s="3" t="str">
        <f>'Tabela de Jogos'!D69</f>
        <v>x</v>
      </c>
      <c r="E69" s="3">
        <f>'Tabela de Jogos'!E69</f>
        <v>0</v>
      </c>
      <c r="F69" s="3" t="str">
        <f>'Tabela de Jogos'!F69</f>
        <v>Inglaterra</v>
      </c>
      <c r="G69" s="3" t="str">
        <f>'Tabela de Jogos'!G69</f>
        <v>-</v>
      </c>
      <c r="H69" s="3"/>
      <c r="I69" s="3">
        <f t="shared" ref="I69:J69" si="75">A69</f>
        <v>67</v>
      </c>
      <c r="J69" s="3" t="str">
        <f t="shared" si="75"/>
        <v>Panamá</v>
      </c>
      <c r="K69" s="3"/>
      <c r="L69" s="3" t="str">
        <f t="shared" si="2"/>
        <v>x</v>
      </c>
      <c r="M69" s="3"/>
      <c r="N69" s="3" t="str">
        <f t="shared" si="3"/>
        <v>Inglaterra</v>
      </c>
      <c r="O69" s="3" t="str">
        <f t="shared" si="4"/>
        <v>-</v>
      </c>
      <c r="P69" s="3"/>
      <c r="Q69" s="3" t="b">
        <f t="shared" si="5"/>
        <v>0</v>
      </c>
      <c r="R69" s="3" t="b">
        <f t="shared" si="6"/>
        <v>0</v>
      </c>
      <c r="S69" s="3" t="b">
        <f t="shared" si="7"/>
        <v>0</v>
      </c>
      <c r="T69" s="3" t="b">
        <f t="shared" si="8"/>
        <v>0</v>
      </c>
      <c r="U69" s="3" t="b">
        <f t="shared" si="9"/>
        <v>1</v>
      </c>
      <c r="V69" s="3"/>
      <c r="W69" s="3" cm="1">
        <f t="array" ref="W69">IF(OR(J69="Brasil",N69="Brasil"),2*_xlfn.IFS(Q69=TRUE,6,R69=TRUE,4,AND(S69=TRUE,T69=FALSE),3,T69=TRUE,2,U69=TRUE,0),_xlfn.IFS(Q69=TRUE,6,R69=TRUE,4,AND(S69=TRUE,T69=FALSE),3,T69=TRUE,2,U69=TRUE,0))</f>
        <v>0</v>
      </c>
      <c r="X69" s="3"/>
      <c r="Y69" s="3"/>
    </row>
    <row r="70" spans="1:25" ht="14.25" customHeight="1" x14ac:dyDescent="0.3">
      <c r="A70" s="3">
        <f>'Tabela de Jogos'!A70</f>
        <v>68</v>
      </c>
      <c r="B70" s="3" t="str">
        <f>'Tabela de Jogos'!B70</f>
        <v>Croácia</v>
      </c>
      <c r="C70" s="3">
        <f>'Tabela de Jogos'!C70</f>
        <v>0</v>
      </c>
      <c r="D70" s="3" t="str">
        <f>'Tabela de Jogos'!D70</f>
        <v>x</v>
      </c>
      <c r="E70" s="3">
        <f>'Tabela de Jogos'!E70</f>
        <v>0</v>
      </c>
      <c r="F70" s="3" t="str">
        <f>'Tabela de Jogos'!F70</f>
        <v>Gana</v>
      </c>
      <c r="G70" s="3" t="str">
        <f>'Tabela de Jogos'!G70</f>
        <v>-</v>
      </c>
      <c r="H70" s="3"/>
      <c r="I70" s="3">
        <f t="shared" ref="I70:J70" si="76">A70</f>
        <v>68</v>
      </c>
      <c r="J70" s="3" t="str">
        <f t="shared" si="76"/>
        <v>Croácia</v>
      </c>
      <c r="K70" s="3"/>
      <c r="L70" s="3" t="str">
        <f t="shared" si="2"/>
        <v>x</v>
      </c>
      <c r="M70" s="3"/>
      <c r="N70" s="3" t="str">
        <f t="shared" si="3"/>
        <v>Gana</v>
      </c>
      <c r="O70" s="3" t="str">
        <f t="shared" si="4"/>
        <v>-</v>
      </c>
      <c r="P70" s="3"/>
      <c r="Q70" s="3" t="b">
        <f t="shared" si="5"/>
        <v>0</v>
      </c>
      <c r="R70" s="3" t="b">
        <f t="shared" si="6"/>
        <v>0</v>
      </c>
      <c r="S70" s="3" t="b">
        <f t="shared" si="7"/>
        <v>0</v>
      </c>
      <c r="T70" s="3" t="b">
        <f t="shared" si="8"/>
        <v>0</v>
      </c>
      <c r="U70" s="3" t="b">
        <f t="shared" si="9"/>
        <v>1</v>
      </c>
      <c r="V70" s="3"/>
      <c r="W70" s="3" cm="1">
        <f t="array" ref="W70">IF(OR(J70="Brasil",N70="Brasil"),2*_xlfn.IFS(Q70=TRUE,6,R70=TRUE,4,AND(S70=TRUE,T70=FALSE),3,T70=TRUE,2,U70=TRUE,0),_xlfn.IFS(Q70=TRUE,6,R70=TRUE,4,AND(S70=TRUE,T70=FALSE),3,T70=TRUE,2,U70=TRUE,0))</f>
        <v>0</v>
      </c>
      <c r="X70" s="3"/>
      <c r="Y70" s="3"/>
    </row>
    <row r="71" spans="1:25" ht="14.25" customHeight="1" x14ac:dyDescent="0.3">
      <c r="A71" s="3">
        <f>'Tabela de Jogos'!A71</f>
        <v>69</v>
      </c>
      <c r="B71" s="3" t="str">
        <f>'Tabela de Jogos'!B71</f>
        <v>Colômbia</v>
      </c>
      <c r="C71" s="3">
        <f>'Tabela de Jogos'!C71</f>
        <v>0</v>
      </c>
      <c r="D71" s="3" t="str">
        <f>'Tabela de Jogos'!D71</f>
        <v>x</v>
      </c>
      <c r="E71" s="3">
        <f>'Tabela de Jogos'!E71</f>
        <v>0</v>
      </c>
      <c r="F71" s="3" t="str">
        <f>'Tabela de Jogos'!F71</f>
        <v>Portugal</v>
      </c>
      <c r="G71" s="3" t="str">
        <f>'Tabela de Jogos'!G71</f>
        <v>-</v>
      </c>
      <c r="H71" s="3"/>
      <c r="I71" s="3">
        <f t="shared" ref="I71:J71" si="77">A71</f>
        <v>69</v>
      </c>
      <c r="J71" s="3" t="str">
        <f t="shared" si="77"/>
        <v>Colômbia</v>
      </c>
      <c r="K71" s="3"/>
      <c r="L71" s="3" t="str">
        <f t="shared" si="2"/>
        <v>x</v>
      </c>
      <c r="M71" s="3"/>
      <c r="N71" s="3" t="str">
        <f t="shared" si="3"/>
        <v>Portugal</v>
      </c>
      <c r="O71" s="3" t="str">
        <f t="shared" si="4"/>
        <v>-</v>
      </c>
      <c r="P71" s="3"/>
      <c r="Q71" s="3" t="b">
        <f t="shared" si="5"/>
        <v>0</v>
      </c>
      <c r="R71" s="3" t="b">
        <f t="shared" si="6"/>
        <v>0</v>
      </c>
      <c r="S71" s="3" t="b">
        <f t="shared" si="7"/>
        <v>0</v>
      </c>
      <c r="T71" s="3" t="b">
        <f t="shared" si="8"/>
        <v>0</v>
      </c>
      <c r="U71" s="3" t="b">
        <f t="shared" si="9"/>
        <v>1</v>
      </c>
      <c r="V71" s="3"/>
      <c r="W71" s="3" cm="1">
        <f t="array" ref="W71">IF(OR(J71="Brasil",N71="Brasil"),2*_xlfn.IFS(Q71=TRUE,6,R71=TRUE,4,AND(S71=TRUE,T71=FALSE),3,T71=TRUE,2,U71=TRUE,0),_xlfn.IFS(Q71=TRUE,6,R71=TRUE,4,AND(S71=TRUE,T71=FALSE),3,T71=TRUE,2,U71=TRUE,0))</f>
        <v>0</v>
      </c>
      <c r="X71" s="3"/>
      <c r="Y71" s="3"/>
    </row>
    <row r="72" spans="1:25" ht="14.25" customHeight="1" x14ac:dyDescent="0.3">
      <c r="A72" s="3">
        <f>'Tabela de Jogos'!A72</f>
        <v>70</v>
      </c>
      <c r="B72" s="3" t="str">
        <f>'Tabela de Jogos'!B72</f>
        <v>RD Congo</v>
      </c>
      <c r="C72" s="3">
        <f>'Tabela de Jogos'!C72</f>
        <v>0</v>
      </c>
      <c r="D72" s="3" t="str">
        <f>'Tabela de Jogos'!D72</f>
        <v>x</v>
      </c>
      <c r="E72" s="3">
        <f>'Tabela de Jogos'!E72</f>
        <v>0</v>
      </c>
      <c r="F72" s="3" t="str">
        <f>'Tabela de Jogos'!F72</f>
        <v>Uzbequistão</v>
      </c>
      <c r="G72" s="3" t="str">
        <f>'Tabela de Jogos'!G72</f>
        <v>-</v>
      </c>
      <c r="H72" s="3"/>
      <c r="I72" s="3">
        <f t="shared" ref="I72:J72" si="78">A72</f>
        <v>70</v>
      </c>
      <c r="J72" s="3" t="str">
        <f t="shared" si="78"/>
        <v>RD Congo</v>
      </c>
      <c r="K72" s="3"/>
      <c r="L72" s="3" t="str">
        <f t="shared" si="2"/>
        <v>x</v>
      </c>
      <c r="M72" s="3"/>
      <c r="N72" s="3" t="str">
        <f t="shared" si="3"/>
        <v>Uzbequistão</v>
      </c>
      <c r="O72" s="3" t="str">
        <f t="shared" si="4"/>
        <v>-</v>
      </c>
      <c r="P72" s="3"/>
      <c r="Q72" s="3" t="b">
        <f t="shared" si="5"/>
        <v>0</v>
      </c>
      <c r="R72" s="3" t="b">
        <f t="shared" si="6"/>
        <v>0</v>
      </c>
      <c r="S72" s="3" t="b">
        <f t="shared" si="7"/>
        <v>0</v>
      </c>
      <c r="T72" s="3" t="b">
        <f t="shared" si="8"/>
        <v>0</v>
      </c>
      <c r="U72" s="3" t="b">
        <f t="shared" si="9"/>
        <v>1</v>
      </c>
      <c r="V72" s="3"/>
      <c r="W72" s="3" cm="1">
        <f t="array" ref="W72">IF(OR(J72="Brasil",N72="Brasil"),2*_xlfn.IFS(Q72=TRUE,6,R72=TRUE,4,AND(S72=TRUE,T72=FALSE),3,T72=TRUE,2,U72=TRUE,0),_xlfn.IFS(Q72=TRUE,6,R72=TRUE,4,AND(S72=TRUE,T72=FALSE),3,T72=TRUE,2,U72=TRUE,0))</f>
        <v>0</v>
      </c>
      <c r="X72" s="3"/>
      <c r="Y72" s="3"/>
    </row>
    <row r="73" spans="1:25" ht="14.25" customHeight="1" x14ac:dyDescent="0.3">
      <c r="A73" s="3">
        <f>'Tabela de Jogos'!A73</f>
        <v>71</v>
      </c>
      <c r="B73" s="3" t="str">
        <f>'Tabela de Jogos'!B73</f>
        <v>Argélia</v>
      </c>
      <c r="C73" s="3">
        <f>'Tabela de Jogos'!C73</f>
        <v>0</v>
      </c>
      <c r="D73" s="3" t="str">
        <f>'Tabela de Jogos'!D73</f>
        <v>x</v>
      </c>
      <c r="E73" s="3">
        <f>'Tabela de Jogos'!E73</f>
        <v>0</v>
      </c>
      <c r="F73" s="3" t="str">
        <f>'Tabela de Jogos'!F73</f>
        <v>Áustria</v>
      </c>
      <c r="G73" s="3" t="str">
        <f>'Tabela de Jogos'!G73</f>
        <v>-</v>
      </c>
      <c r="H73" s="3"/>
      <c r="I73" s="3">
        <f t="shared" ref="I73:J73" si="79">A73</f>
        <v>71</v>
      </c>
      <c r="J73" s="3" t="str">
        <f t="shared" si="79"/>
        <v>Argélia</v>
      </c>
      <c r="K73" s="3"/>
      <c r="L73" s="3" t="str">
        <f t="shared" si="2"/>
        <v>x</v>
      </c>
      <c r="M73" s="3"/>
      <c r="N73" s="3" t="str">
        <f t="shared" si="3"/>
        <v>Áustria</v>
      </c>
      <c r="O73" s="3" t="str">
        <f t="shared" si="4"/>
        <v>-</v>
      </c>
      <c r="P73" s="3"/>
      <c r="Q73" s="3" t="b">
        <f t="shared" si="5"/>
        <v>0</v>
      </c>
      <c r="R73" s="3" t="b">
        <f t="shared" si="6"/>
        <v>0</v>
      </c>
      <c r="S73" s="3" t="b">
        <f t="shared" si="7"/>
        <v>0</v>
      </c>
      <c r="T73" s="3" t="b">
        <f t="shared" si="8"/>
        <v>0</v>
      </c>
      <c r="U73" s="3" t="b">
        <f t="shared" si="9"/>
        <v>1</v>
      </c>
      <c r="V73" s="3"/>
      <c r="W73" s="3" cm="1">
        <f t="array" ref="W73">IF(OR(J73="Brasil",N73="Brasil"),2*_xlfn.IFS(Q73=TRUE,6,R73=TRUE,4,AND(S73=TRUE,T73=FALSE),3,T73=TRUE,2,U73=TRUE,0),_xlfn.IFS(Q73=TRUE,6,R73=TRUE,4,AND(S73=TRUE,T73=FALSE),3,T73=TRUE,2,U73=TRUE,0))</f>
        <v>0</v>
      </c>
      <c r="X73" s="3"/>
      <c r="Y73" s="3"/>
    </row>
    <row r="74" spans="1:25" ht="14.25" customHeight="1" x14ac:dyDescent="0.3">
      <c r="A74" s="3">
        <f>'Tabela de Jogos'!A74</f>
        <v>72</v>
      </c>
      <c r="B74" s="3" t="str">
        <f>'Tabela de Jogos'!B74</f>
        <v>Jordânia</v>
      </c>
      <c r="C74" s="3">
        <f>'Tabela de Jogos'!C74</f>
        <v>0</v>
      </c>
      <c r="D74" s="3" t="str">
        <f>'Tabela de Jogos'!D74</f>
        <v>x</v>
      </c>
      <c r="E74" s="3">
        <f>'Tabela de Jogos'!E74</f>
        <v>0</v>
      </c>
      <c r="F74" s="3" t="str">
        <f>'Tabela de Jogos'!F74</f>
        <v>Argentina</v>
      </c>
      <c r="G74" s="3" t="str">
        <f>'Tabela de Jogos'!G74</f>
        <v>-</v>
      </c>
      <c r="H74" s="3"/>
      <c r="I74" s="3">
        <f t="shared" ref="I74:J74" si="80">A74</f>
        <v>72</v>
      </c>
      <c r="J74" s="3" t="str">
        <f t="shared" si="80"/>
        <v>Jordânia</v>
      </c>
      <c r="K74" s="3"/>
      <c r="L74" s="3" t="str">
        <f t="shared" si="2"/>
        <v>x</v>
      </c>
      <c r="M74" s="3"/>
      <c r="N74" s="3" t="str">
        <f t="shared" si="3"/>
        <v>Argentina</v>
      </c>
      <c r="O74" s="3" t="str">
        <f t="shared" si="4"/>
        <v>-</v>
      </c>
      <c r="P74" s="3"/>
      <c r="Q74" s="3" t="b">
        <f t="shared" si="5"/>
        <v>0</v>
      </c>
      <c r="R74" s="3" t="b">
        <f t="shared" si="6"/>
        <v>0</v>
      </c>
      <c r="S74" s="3" t="b">
        <f t="shared" si="7"/>
        <v>0</v>
      </c>
      <c r="T74" s="3" t="b">
        <f t="shared" si="8"/>
        <v>0</v>
      </c>
      <c r="U74" s="3" t="b">
        <f t="shared" si="9"/>
        <v>1</v>
      </c>
      <c r="V74" s="3"/>
      <c r="W74" s="3" cm="1">
        <f t="array" ref="W74">IF(OR(J74="Brasil",N74="Brasil"),2*_xlfn.IFS(Q74=TRUE,6,R74=TRUE,4,AND(S74=TRUE,T74=FALSE),3,T74=TRUE,2,U74=TRUE,0),_xlfn.IFS(Q74=TRUE,6,R74=TRUE,4,AND(S74=TRUE,T74=FALSE),3,T74=TRUE,2,U74=TRUE,0))</f>
        <v>0</v>
      </c>
      <c r="X74" s="3"/>
      <c r="Y74" s="3"/>
    </row>
    <row r="75" spans="1:25" ht="14.25" customHeight="1" x14ac:dyDescent="0.3">
      <c r="A75" s="3">
        <f>'Tabela de Jogos'!A75</f>
        <v>73</v>
      </c>
      <c r="B75" s="3">
        <f>'Tabela de Jogos'!B75</f>
        <v>0</v>
      </c>
      <c r="C75" s="3">
        <f>'Tabela de Jogos'!C75</f>
        <v>0</v>
      </c>
      <c r="D75" s="3" t="str">
        <f>'Tabela de Jogos'!D75</f>
        <v>x</v>
      </c>
      <c r="E75" s="3">
        <f>'Tabela de Jogos'!E75</f>
        <v>0</v>
      </c>
      <c r="F75" s="3">
        <f>'Tabela de Jogos'!F75</f>
        <v>0</v>
      </c>
      <c r="G75" s="3" t="str">
        <f>'Tabela de Jogos'!G75</f>
        <v>-</v>
      </c>
      <c r="H75" s="3"/>
      <c r="I75" s="3">
        <f t="shared" ref="I75:J75" si="81">A75</f>
        <v>73</v>
      </c>
      <c r="J75" s="3">
        <f t="shared" si="81"/>
        <v>0</v>
      </c>
      <c r="K75" s="3"/>
      <c r="L75" s="3" t="str">
        <f t="shared" si="2"/>
        <v>x</v>
      </c>
      <c r="M75" s="3"/>
      <c r="N75" s="3">
        <f t="shared" si="3"/>
        <v>0</v>
      </c>
      <c r="O75" s="3" t="str">
        <f t="shared" si="4"/>
        <v>-</v>
      </c>
      <c r="P75" s="3"/>
      <c r="Q75" s="3" t="b">
        <f t="shared" si="5"/>
        <v>0</v>
      </c>
      <c r="R75" s="3" t="b">
        <f t="shared" si="6"/>
        <v>0</v>
      </c>
      <c r="S75" s="3" t="b">
        <f t="shared" si="7"/>
        <v>0</v>
      </c>
      <c r="T75" s="3" t="b">
        <f t="shared" si="8"/>
        <v>0</v>
      </c>
      <c r="U75" s="3" t="b">
        <f t="shared" si="9"/>
        <v>1</v>
      </c>
      <c r="V75" s="3"/>
      <c r="W75" s="3" cm="1">
        <f t="array" ref="W75">IF(OR(J75="Brasil",N75="Brasil"),2*_xlfn.IFS(Q75=TRUE,6,R75=TRUE,4,AND(S75=TRUE,T75=FALSE),3,T75=TRUE,2,U75=TRUE,0),_xlfn.IFS(Q75=TRUE,6,R75=TRUE,4,AND(S75=TRUE,T75=FALSE),3,T75=TRUE,2,U75=TRUE,0))</f>
        <v>0</v>
      </c>
      <c r="X75" s="3"/>
      <c r="Y75" s="3"/>
    </row>
    <row r="76" spans="1:25" ht="14.25" customHeight="1" x14ac:dyDescent="0.3">
      <c r="A76" s="3">
        <f>'Tabela de Jogos'!A76</f>
        <v>74</v>
      </c>
      <c r="B76" s="3">
        <f>'Tabela de Jogos'!B76</f>
        <v>0</v>
      </c>
      <c r="C76" s="3">
        <f>'Tabela de Jogos'!C76</f>
        <v>0</v>
      </c>
      <c r="D76" s="3" t="str">
        <f>'Tabela de Jogos'!D76</f>
        <v>x</v>
      </c>
      <c r="E76" s="3">
        <f>'Tabela de Jogos'!E76</f>
        <v>0</v>
      </c>
      <c r="F76" s="3">
        <f>'Tabela de Jogos'!F76</f>
        <v>0</v>
      </c>
      <c r="G76" s="3" t="str">
        <f>'Tabela de Jogos'!G76</f>
        <v>-</v>
      </c>
      <c r="H76" s="3"/>
      <c r="I76" s="3">
        <f t="shared" ref="I76:J76" si="82">A76</f>
        <v>74</v>
      </c>
      <c r="J76" s="3">
        <f t="shared" si="82"/>
        <v>0</v>
      </c>
      <c r="K76" s="3"/>
      <c r="L76" s="3" t="str">
        <f t="shared" si="2"/>
        <v>x</v>
      </c>
      <c r="M76" s="3"/>
      <c r="N76" s="3">
        <f t="shared" si="3"/>
        <v>0</v>
      </c>
      <c r="O76" s="3" t="str">
        <f t="shared" si="4"/>
        <v>-</v>
      </c>
      <c r="P76" s="3"/>
      <c r="Q76" s="3" t="b">
        <f t="shared" si="5"/>
        <v>0</v>
      </c>
      <c r="R76" s="3" t="b">
        <f t="shared" si="6"/>
        <v>0</v>
      </c>
      <c r="S76" s="3" t="b">
        <f t="shared" si="7"/>
        <v>0</v>
      </c>
      <c r="T76" s="3" t="b">
        <f t="shared" si="8"/>
        <v>0</v>
      </c>
      <c r="U76" s="3" t="b">
        <f t="shared" si="9"/>
        <v>1</v>
      </c>
      <c r="V76" s="3"/>
      <c r="W76" s="3" cm="1">
        <f t="array" ref="W76">IF(OR(J76="Brasil",N76="Brasil"),2*_xlfn.IFS(Q76=TRUE,6,R76=TRUE,4,AND(S76=TRUE,T76=FALSE),3,T76=TRUE,2,U76=TRUE,0),_xlfn.IFS(Q76=TRUE,6,R76=TRUE,4,AND(S76=TRUE,T76=FALSE),3,T76=TRUE,2,U76=TRUE,0))</f>
        <v>0</v>
      </c>
      <c r="X76" s="3"/>
      <c r="Y76" s="3"/>
    </row>
    <row r="77" spans="1:25" ht="14.25" customHeight="1" x14ac:dyDescent="0.3">
      <c r="A77" s="3">
        <f>'Tabela de Jogos'!A77</f>
        <v>75</v>
      </c>
      <c r="B77" s="3">
        <f>'Tabela de Jogos'!B77</f>
        <v>0</v>
      </c>
      <c r="C77" s="3">
        <f>'Tabela de Jogos'!C77</f>
        <v>0</v>
      </c>
      <c r="D77" s="3" t="str">
        <f>'Tabela de Jogos'!D77</f>
        <v>x</v>
      </c>
      <c r="E77" s="3">
        <f>'Tabela de Jogos'!E77</f>
        <v>0</v>
      </c>
      <c r="F77" s="3">
        <f>'Tabela de Jogos'!F77</f>
        <v>0</v>
      </c>
      <c r="G77" s="3" t="str">
        <f>'Tabela de Jogos'!G77</f>
        <v>-</v>
      </c>
      <c r="H77" s="3"/>
      <c r="I77" s="3">
        <f t="shared" ref="I77:J77" si="83">A77</f>
        <v>75</v>
      </c>
      <c r="J77" s="3">
        <f t="shared" si="83"/>
        <v>0</v>
      </c>
      <c r="K77" s="3"/>
      <c r="L77" s="3" t="str">
        <f t="shared" si="2"/>
        <v>x</v>
      </c>
      <c r="M77" s="3"/>
      <c r="N77" s="3">
        <f t="shared" si="3"/>
        <v>0</v>
      </c>
      <c r="O77" s="3" t="str">
        <f t="shared" si="4"/>
        <v>-</v>
      </c>
      <c r="P77" s="3"/>
      <c r="Q77" s="3" t="b">
        <f t="shared" si="5"/>
        <v>0</v>
      </c>
      <c r="R77" s="3" t="b">
        <f t="shared" si="6"/>
        <v>0</v>
      </c>
      <c r="S77" s="3" t="b">
        <f t="shared" si="7"/>
        <v>0</v>
      </c>
      <c r="T77" s="3" t="b">
        <f t="shared" si="8"/>
        <v>0</v>
      </c>
      <c r="U77" s="3" t="b">
        <f t="shared" si="9"/>
        <v>1</v>
      </c>
      <c r="V77" s="3"/>
      <c r="W77" s="3" cm="1">
        <f t="array" ref="W77">IF(OR(J77="Brasil",N77="Brasil"),2*_xlfn.IFS(Q77=TRUE,6,R77=TRUE,4,AND(S77=TRUE,T77=FALSE),3,T77=TRUE,2,U77=TRUE,0),_xlfn.IFS(Q77=TRUE,6,R77=TRUE,4,AND(S77=TRUE,T77=FALSE),3,T77=TRUE,2,U77=TRUE,0))</f>
        <v>0</v>
      </c>
      <c r="X77" s="3"/>
      <c r="Y77" s="3"/>
    </row>
    <row r="78" spans="1:25" ht="14.25" customHeight="1" x14ac:dyDescent="0.3">
      <c r="A78" s="3">
        <f>'Tabela de Jogos'!A78</f>
        <v>76</v>
      </c>
      <c r="B78" s="3">
        <f>'Tabela de Jogos'!B78</f>
        <v>0</v>
      </c>
      <c r="C78" s="3">
        <f>'Tabela de Jogos'!C78</f>
        <v>0</v>
      </c>
      <c r="D78" s="3" t="str">
        <f>'Tabela de Jogos'!D78</f>
        <v>x</v>
      </c>
      <c r="E78" s="3">
        <f>'Tabela de Jogos'!E78</f>
        <v>0</v>
      </c>
      <c r="F78" s="3">
        <f>'Tabela de Jogos'!F78</f>
        <v>0</v>
      </c>
      <c r="G78" s="3" t="str">
        <f>'Tabela de Jogos'!G78</f>
        <v>-</v>
      </c>
      <c r="H78" s="3"/>
      <c r="I78" s="3">
        <f t="shared" ref="I78:J78" si="84">A78</f>
        <v>76</v>
      </c>
      <c r="J78" s="3">
        <f t="shared" si="84"/>
        <v>0</v>
      </c>
      <c r="K78" s="3"/>
      <c r="L78" s="3" t="str">
        <f t="shared" si="2"/>
        <v>x</v>
      </c>
      <c r="M78" s="3"/>
      <c r="N78" s="3">
        <f t="shared" si="3"/>
        <v>0</v>
      </c>
      <c r="O78" s="3" t="str">
        <f t="shared" si="4"/>
        <v>-</v>
      </c>
      <c r="P78" s="3"/>
      <c r="Q78" s="3" t="b">
        <f t="shared" si="5"/>
        <v>0</v>
      </c>
      <c r="R78" s="3" t="b">
        <f t="shared" si="6"/>
        <v>0</v>
      </c>
      <c r="S78" s="3" t="b">
        <f t="shared" si="7"/>
        <v>0</v>
      </c>
      <c r="T78" s="3" t="b">
        <f t="shared" si="8"/>
        <v>0</v>
      </c>
      <c r="U78" s="3" t="b">
        <f t="shared" si="9"/>
        <v>1</v>
      </c>
      <c r="V78" s="3"/>
      <c r="W78" s="3" cm="1">
        <f t="array" ref="W78">IF(OR(J78="Brasil",N78="Brasil"),2*_xlfn.IFS(Q78=TRUE,6,R78=TRUE,4,AND(S78=TRUE,T78=FALSE),3,T78=TRUE,2,U78=TRUE,0),_xlfn.IFS(Q78=TRUE,6,R78=TRUE,4,AND(S78=TRUE,T78=FALSE),3,T78=TRUE,2,U78=TRUE,0))</f>
        <v>0</v>
      </c>
      <c r="X78" s="3"/>
      <c r="Y78" s="3"/>
    </row>
    <row r="79" spans="1:25" ht="14.25" customHeight="1" x14ac:dyDescent="0.3">
      <c r="A79" s="3">
        <f>'Tabela de Jogos'!A79</f>
        <v>77</v>
      </c>
      <c r="B79" s="3">
        <f>'Tabela de Jogos'!B79</f>
        <v>0</v>
      </c>
      <c r="C79" s="3">
        <f>'Tabela de Jogos'!C79</f>
        <v>0</v>
      </c>
      <c r="D79" s="3" t="str">
        <f>'Tabela de Jogos'!D79</f>
        <v>x</v>
      </c>
      <c r="E79" s="3">
        <f>'Tabela de Jogos'!E79</f>
        <v>0</v>
      </c>
      <c r="F79" s="3">
        <f>'Tabela de Jogos'!F79</f>
        <v>0</v>
      </c>
      <c r="G79" s="3" t="str">
        <f>'Tabela de Jogos'!G79</f>
        <v>-</v>
      </c>
      <c r="H79" s="3"/>
      <c r="I79" s="3">
        <f t="shared" ref="I79:J79" si="85">A79</f>
        <v>77</v>
      </c>
      <c r="J79" s="3">
        <f t="shared" si="85"/>
        <v>0</v>
      </c>
      <c r="K79" s="3"/>
      <c r="L79" s="3" t="str">
        <f t="shared" si="2"/>
        <v>x</v>
      </c>
      <c r="M79" s="3"/>
      <c r="N79" s="3">
        <f t="shared" si="3"/>
        <v>0</v>
      </c>
      <c r="O79" s="3" t="str">
        <f t="shared" si="4"/>
        <v>-</v>
      </c>
      <c r="P79" s="3"/>
      <c r="Q79" s="3" t="b">
        <f t="shared" si="5"/>
        <v>0</v>
      </c>
      <c r="R79" s="3" t="b">
        <f t="shared" si="6"/>
        <v>0</v>
      </c>
      <c r="S79" s="3" t="b">
        <f t="shared" si="7"/>
        <v>0</v>
      </c>
      <c r="T79" s="3" t="b">
        <f t="shared" si="8"/>
        <v>0</v>
      </c>
      <c r="U79" s="3" t="b">
        <f t="shared" si="9"/>
        <v>1</v>
      </c>
      <c r="V79" s="3"/>
      <c r="W79" s="3" cm="1">
        <f t="array" ref="W79">IF(OR(J79="Brasil",N79="Brasil"),2*_xlfn.IFS(Q79=TRUE,6,R79=TRUE,4,AND(S79=TRUE,T79=FALSE),3,T79=TRUE,2,U79=TRUE,0),_xlfn.IFS(Q79=TRUE,6,R79=TRUE,4,AND(S79=TRUE,T79=FALSE),3,T79=TRUE,2,U79=TRUE,0))</f>
        <v>0</v>
      </c>
      <c r="X79" s="3"/>
      <c r="Y79" s="3"/>
    </row>
    <row r="80" spans="1:25" ht="14.25" customHeight="1" x14ac:dyDescent="0.3">
      <c r="A80" s="3">
        <f>'Tabela de Jogos'!A80</f>
        <v>78</v>
      </c>
      <c r="B80" s="3">
        <f>'Tabela de Jogos'!B80</f>
        <v>0</v>
      </c>
      <c r="C80" s="3">
        <f>'Tabela de Jogos'!C80</f>
        <v>0</v>
      </c>
      <c r="D80" s="3" t="str">
        <f>'Tabela de Jogos'!D80</f>
        <v>x</v>
      </c>
      <c r="E80" s="3">
        <f>'Tabela de Jogos'!E80</f>
        <v>0</v>
      </c>
      <c r="F80" s="3">
        <f>'Tabela de Jogos'!F80</f>
        <v>0</v>
      </c>
      <c r="G80" s="3" t="str">
        <f>'Tabela de Jogos'!G80</f>
        <v>-</v>
      </c>
      <c r="H80" s="3"/>
      <c r="I80" s="3">
        <f t="shared" ref="I80:J80" si="86">A80</f>
        <v>78</v>
      </c>
      <c r="J80" s="3">
        <f t="shared" si="86"/>
        <v>0</v>
      </c>
      <c r="K80" s="3"/>
      <c r="L80" s="3" t="str">
        <f t="shared" si="2"/>
        <v>x</v>
      </c>
      <c r="M80" s="3"/>
      <c r="N80" s="3">
        <f t="shared" si="3"/>
        <v>0</v>
      </c>
      <c r="O80" s="3" t="str">
        <f t="shared" si="4"/>
        <v>-</v>
      </c>
      <c r="P80" s="3"/>
      <c r="Q80" s="3" t="b">
        <f t="shared" si="5"/>
        <v>0</v>
      </c>
      <c r="R80" s="3" t="b">
        <f t="shared" si="6"/>
        <v>0</v>
      </c>
      <c r="S80" s="3" t="b">
        <f t="shared" si="7"/>
        <v>0</v>
      </c>
      <c r="T80" s="3" t="b">
        <f t="shared" si="8"/>
        <v>0</v>
      </c>
      <c r="U80" s="3" t="b">
        <f t="shared" si="9"/>
        <v>1</v>
      </c>
      <c r="V80" s="3"/>
      <c r="W80" s="3" cm="1">
        <f t="array" ref="W80">IF(OR(J80="Brasil",N80="Brasil"),2*_xlfn.IFS(Q80=TRUE,6,R80=TRUE,4,AND(S80=TRUE,T80=FALSE),3,T80=TRUE,2,U80=TRUE,0),_xlfn.IFS(Q80=TRUE,6,R80=TRUE,4,AND(S80=TRUE,T80=FALSE),3,T80=TRUE,2,U80=TRUE,0))</f>
        <v>0</v>
      </c>
      <c r="X80" s="3"/>
      <c r="Y80" s="3"/>
    </row>
    <row r="81" spans="1:25" ht="14.25" customHeight="1" x14ac:dyDescent="0.3">
      <c r="A81" s="3">
        <f>'Tabela de Jogos'!A81</f>
        <v>79</v>
      </c>
      <c r="B81" s="3">
        <f>'Tabela de Jogos'!B81</f>
        <v>0</v>
      </c>
      <c r="C81" s="3">
        <f>'Tabela de Jogos'!C81</f>
        <v>0</v>
      </c>
      <c r="D81" s="3" t="str">
        <f>'Tabela de Jogos'!D81</f>
        <v>x</v>
      </c>
      <c r="E81" s="3">
        <f>'Tabela de Jogos'!E81</f>
        <v>0</v>
      </c>
      <c r="F81" s="3">
        <f>'Tabela de Jogos'!F81</f>
        <v>0</v>
      </c>
      <c r="G81" s="3" t="str">
        <f>'Tabela de Jogos'!G81</f>
        <v>-</v>
      </c>
      <c r="H81" s="3"/>
      <c r="I81" s="3">
        <f t="shared" ref="I81:J81" si="87">A81</f>
        <v>79</v>
      </c>
      <c r="J81" s="3">
        <f t="shared" si="87"/>
        <v>0</v>
      </c>
      <c r="K81" s="3"/>
      <c r="L81" s="3" t="str">
        <f t="shared" si="2"/>
        <v>x</v>
      </c>
      <c r="M81" s="3"/>
      <c r="N81" s="3">
        <f t="shared" si="3"/>
        <v>0</v>
      </c>
      <c r="O81" s="3" t="str">
        <f t="shared" si="4"/>
        <v>-</v>
      </c>
      <c r="P81" s="3"/>
      <c r="Q81" s="3" t="b">
        <f t="shared" si="5"/>
        <v>0</v>
      </c>
      <c r="R81" s="3" t="b">
        <f t="shared" si="6"/>
        <v>0</v>
      </c>
      <c r="S81" s="3" t="b">
        <f t="shared" si="7"/>
        <v>0</v>
      </c>
      <c r="T81" s="3" t="b">
        <f t="shared" si="8"/>
        <v>0</v>
      </c>
      <c r="U81" s="3" t="b">
        <f t="shared" si="9"/>
        <v>1</v>
      </c>
      <c r="V81" s="3"/>
      <c r="W81" s="3" cm="1">
        <f t="array" ref="W81">IF(OR(J81="Brasil",N81="Brasil"),2*_xlfn.IFS(Q81=TRUE,6,R81=TRUE,4,AND(S81=TRUE,T81=FALSE),3,T81=TRUE,2,U81=TRUE,0),_xlfn.IFS(Q81=TRUE,6,R81=TRUE,4,AND(S81=TRUE,T81=FALSE),3,T81=TRUE,2,U81=TRUE,0))</f>
        <v>0</v>
      </c>
      <c r="X81" s="3"/>
      <c r="Y81" s="3"/>
    </row>
    <row r="82" spans="1:25" ht="14.25" customHeight="1" x14ac:dyDescent="0.3">
      <c r="A82" s="3">
        <f>'Tabela de Jogos'!A82</f>
        <v>80</v>
      </c>
      <c r="B82" s="3">
        <f>'Tabela de Jogos'!B82</f>
        <v>0</v>
      </c>
      <c r="C82" s="3">
        <f>'Tabela de Jogos'!C82</f>
        <v>0</v>
      </c>
      <c r="D82" s="3" t="str">
        <f>'Tabela de Jogos'!D82</f>
        <v>x</v>
      </c>
      <c r="E82" s="3">
        <f>'Tabela de Jogos'!E82</f>
        <v>0</v>
      </c>
      <c r="F82" s="3">
        <f>'Tabela de Jogos'!F82</f>
        <v>0</v>
      </c>
      <c r="G82" s="3" t="str">
        <f>'Tabela de Jogos'!G82</f>
        <v>-</v>
      </c>
      <c r="H82" s="3"/>
      <c r="I82" s="3">
        <f t="shared" ref="I82:J82" si="88">A82</f>
        <v>80</v>
      </c>
      <c r="J82" s="3">
        <f t="shared" si="88"/>
        <v>0</v>
      </c>
      <c r="K82" s="3"/>
      <c r="L82" s="3" t="str">
        <f t="shared" si="2"/>
        <v>x</v>
      </c>
      <c r="M82" s="3"/>
      <c r="N82" s="3">
        <f t="shared" si="3"/>
        <v>0</v>
      </c>
      <c r="O82" s="3" t="str">
        <f t="shared" si="4"/>
        <v>-</v>
      </c>
      <c r="P82" s="3"/>
      <c r="Q82" s="3" t="b">
        <f t="shared" si="5"/>
        <v>0</v>
      </c>
      <c r="R82" s="3" t="b">
        <f t="shared" si="6"/>
        <v>0</v>
      </c>
      <c r="S82" s="3" t="b">
        <f t="shared" si="7"/>
        <v>0</v>
      </c>
      <c r="T82" s="3" t="b">
        <f t="shared" si="8"/>
        <v>0</v>
      </c>
      <c r="U82" s="3" t="b">
        <f t="shared" si="9"/>
        <v>1</v>
      </c>
      <c r="V82" s="3"/>
      <c r="W82" s="3" cm="1">
        <f t="array" ref="W82">IF(OR(J82="Brasil",N82="Brasil"),2*_xlfn.IFS(Q82=TRUE,6,R82=TRUE,4,AND(S82=TRUE,T82=FALSE),3,T82=TRUE,2,U82=TRUE,0),_xlfn.IFS(Q82=TRUE,6,R82=TRUE,4,AND(S82=TRUE,T82=FALSE),3,T82=TRUE,2,U82=TRUE,0))</f>
        <v>0</v>
      </c>
      <c r="X82" s="3"/>
      <c r="Y82" s="3"/>
    </row>
    <row r="83" spans="1:25" ht="14.25" customHeight="1" x14ac:dyDescent="0.3">
      <c r="A83" s="3">
        <f>'Tabela de Jogos'!A83</f>
        <v>81</v>
      </c>
      <c r="B83" s="3">
        <f>'Tabela de Jogos'!B83</f>
        <v>0</v>
      </c>
      <c r="C83" s="3">
        <f>'Tabela de Jogos'!C83</f>
        <v>0</v>
      </c>
      <c r="D83" s="3" t="str">
        <f>'Tabela de Jogos'!D83</f>
        <v>x</v>
      </c>
      <c r="E83" s="3">
        <f>'Tabela de Jogos'!E83</f>
        <v>0</v>
      </c>
      <c r="F83" s="3">
        <f>'Tabela de Jogos'!F83</f>
        <v>0</v>
      </c>
      <c r="G83" s="3" t="str">
        <f>'Tabela de Jogos'!G83</f>
        <v>-</v>
      </c>
      <c r="H83" s="3"/>
      <c r="I83" s="3">
        <f t="shared" ref="I83:J83" si="89">A83</f>
        <v>81</v>
      </c>
      <c r="J83" s="3">
        <f t="shared" si="89"/>
        <v>0</v>
      </c>
      <c r="K83" s="3"/>
      <c r="L83" s="3" t="str">
        <f t="shared" si="2"/>
        <v>x</v>
      </c>
      <c r="M83" s="3"/>
      <c r="N83" s="3">
        <f t="shared" si="3"/>
        <v>0</v>
      </c>
      <c r="O83" s="3" t="str">
        <f t="shared" si="4"/>
        <v>-</v>
      </c>
      <c r="P83" s="3"/>
      <c r="Q83" s="3" t="b">
        <f t="shared" si="5"/>
        <v>0</v>
      </c>
      <c r="R83" s="3" t="b">
        <f t="shared" si="6"/>
        <v>0</v>
      </c>
      <c r="S83" s="3" t="b">
        <f t="shared" si="7"/>
        <v>0</v>
      </c>
      <c r="T83" s="3" t="b">
        <f t="shared" si="8"/>
        <v>0</v>
      </c>
      <c r="U83" s="3" t="b">
        <f t="shared" si="9"/>
        <v>1</v>
      </c>
      <c r="V83" s="3"/>
      <c r="W83" s="3" cm="1">
        <f t="array" ref="W83">IF(OR(J83="Brasil",N83="Brasil"),2*_xlfn.IFS(Q83=TRUE,6,R83=TRUE,4,AND(S83=TRUE,T83=FALSE),3,T83=TRUE,2,U83=TRUE,0),_xlfn.IFS(Q83=TRUE,6,R83=TRUE,4,AND(S83=TRUE,T83=FALSE),3,T83=TRUE,2,U83=TRUE,0))</f>
        <v>0</v>
      </c>
      <c r="X83" s="3"/>
      <c r="Y83" s="3"/>
    </row>
    <row r="84" spans="1:25" ht="14.25" customHeight="1" x14ac:dyDescent="0.3">
      <c r="A84" s="3">
        <f>'Tabela de Jogos'!A84</f>
        <v>82</v>
      </c>
      <c r="B84" s="3">
        <f>'Tabela de Jogos'!B84</f>
        <v>0</v>
      </c>
      <c r="C84" s="3">
        <f>'Tabela de Jogos'!C84</f>
        <v>0</v>
      </c>
      <c r="D84" s="3" t="str">
        <f>'Tabela de Jogos'!D84</f>
        <v>x</v>
      </c>
      <c r="E84" s="3">
        <f>'Tabela de Jogos'!E84</f>
        <v>0</v>
      </c>
      <c r="F84" s="3">
        <f>'Tabela de Jogos'!F84</f>
        <v>0</v>
      </c>
      <c r="G84" s="3" t="str">
        <f>'Tabela de Jogos'!G84</f>
        <v>-</v>
      </c>
      <c r="H84" s="3"/>
      <c r="I84" s="3">
        <f t="shared" ref="I84:J84" si="90">A84</f>
        <v>82</v>
      </c>
      <c r="J84" s="3">
        <f t="shared" si="90"/>
        <v>0</v>
      </c>
      <c r="K84" s="3"/>
      <c r="L84" s="3" t="str">
        <f t="shared" si="2"/>
        <v>x</v>
      </c>
      <c r="M84" s="3"/>
      <c r="N84" s="3">
        <f t="shared" si="3"/>
        <v>0</v>
      </c>
      <c r="O84" s="3" t="str">
        <f t="shared" si="4"/>
        <v>-</v>
      </c>
      <c r="P84" s="3"/>
      <c r="Q84" s="3" t="b">
        <f t="shared" si="5"/>
        <v>0</v>
      </c>
      <c r="R84" s="3" t="b">
        <f t="shared" si="6"/>
        <v>0</v>
      </c>
      <c r="S84" s="3" t="b">
        <f t="shared" si="7"/>
        <v>0</v>
      </c>
      <c r="T84" s="3" t="b">
        <f t="shared" si="8"/>
        <v>0</v>
      </c>
      <c r="U84" s="3" t="b">
        <f t="shared" si="9"/>
        <v>1</v>
      </c>
      <c r="V84" s="3"/>
      <c r="W84" s="3" cm="1">
        <f t="array" ref="W84">IF(OR(J84="Brasil",N84="Brasil"),2*_xlfn.IFS(Q84=TRUE,6,R84=TRUE,4,AND(S84=TRUE,T84=FALSE),3,T84=TRUE,2,U84=TRUE,0),_xlfn.IFS(Q84=TRUE,6,R84=TRUE,4,AND(S84=TRUE,T84=FALSE),3,T84=TRUE,2,U84=TRUE,0))</f>
        <v>0</v>
      </c>
      <c r="X84" s="3"/>
      <c r="Y84" s="3"/>
    </row>
    <row r="85" spans="1:25" ht="14.25" customHeight="1" x14ac:dyDescent="0.3">
      <c r="A85" s="3">
        <f>'Tabela de Jogos'!A85</f>
        <v>83</v>
      </c>
      <c r="B85" s="3">
        <f>'Tabela de Jogos'!B85</f>
        <v>0</v>
      </c>
      <c r="C85" s="3">
        <f>'Tabela de Jogos'!C85</f>
        <v>0</v>
      </c>
      <c r="D85" s="3" t="str">
        <f>'Tabela de Jogos'!D85</f>
        <v>x</v>
      </c>
      <c r="E85" s="3">
        <f>'Tabela de Jogos'!E85</f>
        <v>0</v>
      </c>
      <c r="F85" s="3">
        <f>'Tabela de Jogos'!F85</f>
        <v>0</v>
      </c>
      <c r="G85" s="3" t="str">
        <f>'Tabela de Jogos'!G85</f>
        <v>-</v>
      </c>
      <c r="H85" s="3"/>
      <c r="I85" s="3">
        <f t="shared" ref="I85:J85" si="91">A85</f>
        <v>83</v>
      </c>
      <c r="J85" s="3">
        <f t="shared" si="91"/>
        <v>0</v>
      </c>
      <c r="K85" s="3"/>
      <c r="L85" s="3" t="str">
        <f t="shared" si="2"/>
        <v>x</v>
      </c>
      <c r="M85" s="3"/>
      <c r="N85" s="3">
        <f t="shared" si="3"/>
        <v>0</v>
      </c>
      <c r="O85" s="3" t="str">
        <f t="shared" si="4"/>
        <v>-</v>
      </c>
      <c r="P85" s="3"/>
      <c r="Q85" s="3" t="b">
        <f t="shared" si="5"/>
        <v>0</v>
      </c>
      <c r="R85" s="3" t="b">
        <f t="shared" si="6"/>
        <v>0</v>
      </c>
      <c r="S85" s="3" t="b">
        <f t="shared" si="7"/>
        <v>0</v>
      </c>
      <c r="T85" s="3" t="b">
        <f t="shared" si="8"/>
        <v>0</v>
      </c>
      <c r="U85" s="3" t="b">
        <f t="shared" si="9"/>
        <v>1</v>
      </c>
      <c r="V85" s="3"/>
      <c r="W85" s="3" cm="1">
        <f t="array" ref="W85">IF(OR(J85="Brasil",N85="Brasil"),2*_xlfn.IFS(Q85=TRUE,6,R85=TRUE,4,AND(S85=TRUE,T85=FALSE),3,T85=TRUE,2,U85=TRUE,0),_xlfn.IFS(Q85=TRUE,6,R85=TRUE,4,AND(S85=TRUE,T85=FALSE),3,T85=TRUE,2,U85=TRUE,0))</f>
        <v>0</v>
      </c>
      <c r="X85" s="3"/>
      <c r="Y85" s="3"/>
    </row>
    <row r="86" spans="1:25" ht="14.25" customHeight="1" x14ac:dyDescent="0.3">
      <c r="A86" s="3">
        <f>'Tabela de Jogos'!A86</f>
        <v>84</v>
      </c>
      <c r="B86" s="3">
        <f>'Tabela de Jogos'!B86</f>
        <v>0</v>
      </c>
      <c r="C86" s="3">
        <f>'Tabela de Jogos'!C86</f>
        <v>0</v>
      </c>
      <c r="D86" s="3" t="str">
        <f>'Tabela de Jogos'!D86</f>
        <v>x</v>
      </c>
      <c r="E86" s="3">
        <f>'Tabela de Jogos'!E86</f>
        <v>0</v>
      </c>
      <c r="F86" s="3">
        <f>'Tabela de Jogos'!F86</f>
        <v>0</v>
      </c>
      <c r="G86" s="3" t="str">
        <f>'Tabela de Jogos'!G86</f>
        <v>-</v>
      </c>
      <c r="H86" s="3"/>
      <c r="I86" s="3">
        <f t="shared" ref="I86:J86" si="92">A86</f>
        <v>84</v>
      </c>
      <c r="J86" s="3">
        <f t="shared" si="92"/>
        <v>0</v>
      </c>
      <c r="K86" s="3"/>
      <c r="L86" s="3" t="str">
        <f t="shared" si="2"/>
        <v>x</v>
      </c>
      <c r="M86" s="3"/>
      <c r="N86" s="3">
        <f t="shared" si="3"/>
        <v>0</v>
      </c>
      <c r="O86" s="3" t="str">
        <f t="shared" si="4"/>
        <v>-</v>
      </c>
      <c r="P86" s="3"/>
      <c r="Q86" s="3" t="b">
        <f t="shared" si="5"/>
        <v>0</v>
      </c>
      <c r="R86" s="3" t="b">
        <f t="shared" si="6"/>
        <v>0</v>
      </c>
      <c r="S86" s="3" t="b">
        <f t="shared" si="7"/>
        <v>0</v>
      </c>
      <c r="T86" s="3" t="b">
        <f t="shared" si="8"/>
        <v>0</v>
      </c>
      <c r="U86" s="3" t="b">
        <f t="shared" si="9"/>
        <v>1</v>
      </c>
      <c r="V86" s="3"/>
      <c r="W86" s="3" cm="1">
        <f t="array" ref="W86">IF(OR(J86="Brasil",N86="Brasil"),2*_xlfn.IFS(Q86=TRUE,6,R86=TRUE,4,AND(S86=TRUE,T86=FALSE),3,T86=TRUE,2,U86=TRUE,0),_xlfn.IFS(Q86=TRUE,6,R86=TRUE,4,AND(S86=TRUE,T86=FALSE),3,T86=TRUE,2,U86=TRUE,0))</f>
        <v>0</v>
      </c>
      <c r="X86" s="3"/>
      <c r="Y86" s="3"/>
    </row>
    <row r="87" spans="1:25" ht="14.25" customHeight="1" x14ac:dyDescent="0.3">
      <c r="A87" s="3">
        <f>'Tabela de Jogos'!A87</f>
        <v>85</v>
      </c>
      <c r="B87" s="3">
        <f>'Tabela de Jogos'!B87</f>
        <v>0</v>
      </c>
      <c r="C87" s="3">
        <f>'Tabela de Jogos'!C87</f>
        <v>0</v>
      </c>
      <c r="D87" s="3" t="str">
        <f>'Tabela de Jogos'!D87</f>
        <v>x</v>
      </c>
      <c r="E87" s="3">
        <f>'Tabela de Jogos'!E87</f>
        <v>0</v>
      </c>
      <c r="F87" s="3">
        <f>'Tabela de Jogos'!F87</f>
        <v>0</v>
      </c>
      <c r="G87" s="3" t="str">
        <f>'Tabela de Jogos'!G87</f>
        <v>-</v>
      </c>
      <c r="H87" s="3"/>
      <c r="I87" s="3">
        <f t="shared" ref="I87:J87" si="93">A87</f>
        <v>85</v>
      </c>
      <c r="J87" s="3">
        <f t="shared" si="93"/>
        <v>0</v>
      </c>
      <c r="K87" s="3"/>
      <c r="L87" s="3" t="str">
        <f t="shared" si="2"/>
        <v>x</v>
      </c>
      <c r="M87" s="3"/>
      <c r="N87" s="3">
        <f t="shared" si="3"/>
        <v>0</v>
      </c>
      <c r="O87" s="3" t="str">
        <f t="shared" si="4"/>
        <v>-</v>
      </c>
      <c r="P87" s="3"/>
      <c r="Q87" s="3" t="b">
        <f t="shared" si="5"/>
        <v>0</v>
      </c>
      <c r="R87" s="3" t="b">
        <f t="shared" si="6"/>
        <v>0</v>
      </c>
      <c r="S87" s="3" t="b">
        <f t="shared" si="7"/>
        <v>0</v>
      </c>
      <c r="T87" s="3" t="b">
        <f t="shared" si="8"/>
        <v>0</v>
      </c>
      <c r="U87" s="3" t="b">
        <f t="shared" si="9"/>
        <v>1</v>
      </c>
      <c r="V87" s="3"/>
      <c r="W87" s="3" cm="1">
        <f t="array" ref="W87">IF(OR(J87="Brasil",N87="Brasil"),2*_xlfn.IFS(Q87=TRUE,6,R87=TRUE,4,AND(S87=TRUE,T87=FALSE),3,T87=TRUE,2,U87=TRUE,0),_xlfn.IFS(Q87=TRUE,6,R87=TRUE,4,AND(S87=TRUE,T87=FALSE),3,T87=TRUE,2,U87=TRUE,0))</f>
        <v>0</v>
      </c>
      <c r="X87" s="3"/>
      <c r="Y87" s="3"/>
    </row>
    <row r="88" spans="1:25" ht="14.25" customHeight="1" x14ac:dyDescent="0.3">
      <c r="A88" s="3">
        <f>'Tabela de Jogos'!A88</f>
        <v>86</v>
      </c>
      <c r="B88" s="3">
        <f>'Tabela de Jogos'!B88</f>
        <v>0</v>
      </c>
      <c r="C88" s="3">
        <f>'Tabela de Jogos'!C88</f>
        <v>0</v>
      </c>
      <c r="D88" s="3" t="str">
        <f>'Tabela de Jogos'!D88</f>
        <v>x</v>
      </c>
      <c r="E88" s="3">
        <f>'Tabela de Jogos'!E88</f>
        <v>0</v>
      </c>
      <c r="F88" s="3">
        <f>'Tabela de Jogos'!F88</f>
        <v>0</v>
      </c>
      <c r="G88" s="3" t="str">
        <f>'Tabela de Jogos'!G88</f>
        <v>-</v>
      </c>
      <c r="H88" s="3"/>
      <c r="I88" s="3">
        <f t="shared" ref="I88:J88" si="94">A88</f>
        <v>86</v>
      </c>
      <c r="J88" s="3">
        <f t="shared" si="94"/>
        <v>0</v>
      </c>
      <c r="K88" s="3"/>
      <c r="L88" s="3" t="str">
        <f t="shared" si="2"/>
        <v>x</v>
      </c>
      <c r="M88" s="3"/>
      <c r="N88" s="3">
        <f t="shared" si="3"/>
        <v>0</v>
      </c>
      <c r="O88" s="3" t="str">
        <f t="shared" si="4"/>
        <v>-</v>
      </c>
      <c r="P88" s="3"/>
      <c r="Q88" s="3" t="b">
        <f t="shared" si="5"/>
        <v>0</v>
      </c>
      <c r="R88" s="3" t="b">
        <f t="shared" si="6"/>
        <v>0</v>
      </c>
      <c r="S88" s="3" t="b">
        <f t="shared" si="7"/>
        <v>0</v>
      </c>
      <c r="T88" s="3" t="b">
        <f t="shared" si="8"/>
        <v>0</v>
      </c>
      <c r="U88" s="3" t="b">
        <f t="shared" si="9"/>
        <v>1</v>
      </c>
      <c r="V88" s="3"/>
      <c r="W88" s="3" cm="1">
        <f t="array" ref="W88">IF(OR(J88="Brasil",N88="Brasil"),2*_xlfn.IFS(Q88=TRUE,6,R88=TRUE,4,AND(S88=TRUE,T88=FALSE),3,T88=TRUE,2,U88=TRUE,0),_xlfn.IFS(Q88=TRUE,6,R88=TRUE,4,AND(S88=TRUE,T88=FALSE),3,T88=TRUE,2,U88=TRUE,0))</f>
        <v>0</v>
      </c>
      <c r="X88" s="3"/>
      <c r="Y88" s="3"/>
    </row>
    <row r="89" spans="1:25" ht="14.25" customHeight="1" x14ac:dyDescent="0.3">
      <c r="A89" s="3">
        <f>'Tabela de Jogos'!A89</f>
        <v>87</v>
      </c>
      <c r="B89" s="3">
        <f>'Tabela de Jogos'!B89</f>
        <v>0</v>
      </c>
      <c r="C89" s="3">
        <f>'Tabela de Jogos'!C89</f>
        <v>0</v>
      </c>
      <c r="D89" s="3" t="str">
        <f>'Tabela de Jogos'!D89</f>
        <v>x</v>
      </c>
      <c r="E89" s="3">
        <f>'Tabela de Jogos'!E89</f>
        <v>0</v>
      </c>
      <c r="F89" s="3">
        <f>'Tabela de Jogos'!F89</f>
        <v>0</v>
      </c>
      <c r="G89" s="3" t="str">
        <f>'Tabela de Jogos'!G89</f>
        <v>-</v>
      </c>
      <c r="H89" s="3"/>
      <c r="I89" s="3">
        <f t="shared" ref="I89:J89" si="95">A89</f>
        <v>87</v>
      </c>
      <c r="J89" s="3">
        <f t="shared" si="95"/>
        <v>0</v>
      </c>
      <c r="K89" s="3"/>
      <c r="L89" s="3" t="str">
        <f t="shared" si="2"/>
        <v>x</v>
      </c>
      <c r="M89" s="3"/>
      <c r="N89" s="3">
        <f t="shared" si="3"/>
        <v>0</v>
      </c>
      <c r="O89" s="3" t="str">
        <f t="shared" si="4"/>
        <v>-</v>
      </c>
      <c r="P89" s="3"/>
      <c r="Q89" s="3" t="b">
        <f t="shared" si="5"/>
        <v>0</v>
      </c>
      <c r="R89" s="3" t="b">
        <f t="shared" si="6"/>
        <v>0</v>
      </c>
      <c r="S89" s="3" t="b">
        <f t="shared" si="7"/>
        <v>0</v>
      </c>
      <c r="T89" s="3" t="b">
        <f t="shared" si="8"/>
        <v>0</v>
      </c>
      <c r="U89" s="3" t="b">
        <f t="shared" si="9"/>
        <v>1</v>
      </c>
      <c r="V89" s="3"/>
      <c r="W89" s="3" cm="1">
        <f t="array" ref="W89">IF(OR(J89="Brasil",N89="Brasil"),2*_xlfn.IFS(Q89=TRUE,6,R89=TRUE,4,AND(S89=TRUE,T89=FALSE),3,T89=TRUE,2,U89=TRUE,0),_xlfn.IFS(Q89=TRUE,6,R89=TRUE,4,AND(S89=TRUE,T89=FALSE),3,T89=TRUE,2,U89=TRUE,0))</f>
        <v>0</v>
      </c>
      <c r="X89" s="3"/>
      <c r="Y89" s="3"/>
    </row>
    <row r="90" spans="1:25" ht="14.25" customHeight="1" x14ac:dyDescent="0.3">
      <c r="A90" s="3">
        <f>'Tabela de Jogos'!A90</f>
        <v>88</v>
      </c>
      <c r="B90" s="3">
        <f>'Tabela de Jogos'!B90</f>
        <v>0</v>
      </c>
      <c r="C90" s="3">
        <f>'Tabela de Jogos'!C90</f>
        <v>0</v>
      </c>
      <c r="D90" s="3" t="str">
        <f>'Tabela de Jogos'!D90</f>
        <v>x</v>
      </c>
      <c r="E90" s="3">
        <f>'Tabela de Jogos'!E90</f>
        <v>0</v>
      </c>
      <c r="F90" s="3">
        <f>'Tabela de Jogos'!F90</f>
        <v>0</v>
      </c>
      <c r="G90" s="3" t="str">
        <f>'Tabela de Jogos'!G90</f>
        <v>-</v>
      </c>
      <c r="H90" s="3"/>
      <c r="I90" s="3">
        <f t="shared" ref="I90:J90" si="96">A90</f>
        <v>88</v>
      </c>
      <c r="J90" s="3">
        <f t="shared" si="96"/>
        <v>0</v>
      </c>
      <c r="K90" s="3"/>
      <c r="L90" s="3" t="str">
        <f t="shared" si="2"/>
        <v>x</v>
      </c>
      <c r="M90" s="3"/>
      <c r="N90" s="3">
        <f t="shared" si="3"/>
        <v>0</v>
      </c>
      <c r="O90" s="3" t="str">
        <f t="shared" si="4"/>
        <v>-</v>
      </c>
      <c r="P90" s="3"/>
      <c r="Q90" s="3" t="b">
        <f t="shared" si="5"/>
        <v>0</v>
      </c>
      <c r="R90" s="3" t="b">
        <f t="shared" si="6"/>
        <v>0</v>
      </c>
      <c r="S90" s="3" t="b">
        <f t="shared" si="7"/>
        <v>0</v>
      </c>
      <c r="T90" s="3" t="b">
        <f t="shared" si="8"/>
        <v>0</v>
      </c>
      <c r="U90" s="3" t="b">
        <f t="shared" si="9"/>
        <v>1</v>
      </c>
      <c r="V90" s="3"/>
      <c r="W90" s="3" cm="1">
        <f t="array" ref="W90">IF(OR(J90="Brasil",N90="Brasil"),2*_xlfn.IFS(Q90=TRUE,6,R90=TRUE,4,AND(S90=TRUE,T90=FALSE),3,T90=TRUE,2,U90=TRUE,0),_xlfn.IFS(Q90=TRUE,6,R90=TRUE,4,AND(S90=TRUE,T90=FALSE),3,T90=TRUE,2,U90=TRUE,0))</f>
        <v>0</v>
      </c>
      <c r="X90" s="3"/>
      <c r="Y90" s="3"/>
    </row>
    <row r="91" spans="1:25" ht="14.25" customHeight="1" x14ac:dyDescent="0.3">
      <c r="A91" s="3">
        <f>'Tabela de Jogos'!A91</f>
        <v>89</v>
      </c>
      <c r="B91" s="3">
        <f>'Tabela de Jogos'!B91</f>
        <v>0</v>
      </c>
      <c r="C91" s="3">
        <f>'Tabela de Jogos'!C91</f>
        <v>0</v>
      </c>
      <c r="D91" s="3" t="str">
        <f>'Tabela de Jogos'!D91</f>
        <v>x</v>
      </c>
      <c r="E91" s="3">
        <f>'Tabela de Jogos'!E91</f>
        <v>0</v>
      </c>
      <c r="F91" s="3">
        <f>'Tabela de Jogos'!F91</f>
        <v>0</v>
      </c>
      <c r="G91" s="3" t="str">
        <f>'Tabela de Jogos'!G91</f>
        <v>-</v>
      </c>
      <c r="H91" s="3"/>
      <c r="I91" s="3">
        <f t="shared" ref="I91:J91" si="97">A91</f>
        <v>89</v>
      </c>
      <c r="J91" s="3">
        <f t="shared" si="97"/>
        <v>0</v>
      </c>
      <c r="K91" s="3"/>
      <c r="L91" s="3" t="str">
        <f t="shared" si="2"/>
        <v>x</v>
      </c>
      <c r="M91" s="3"/>
      <c r="N91" s="3">
        <f t="shared" si="3"/>
        <v>0</v>
      </c>
      <c r="O91" s="3" t="str">
        <f t="shared" si="4"/>
        <v>-</v>
      </c>
      <c r="P91" s="3"/>
      <c r="Q91" s="3" t="b">
        <f t="shared" si="5"/>
        <v>0</v>
      </c>
      <c r="R91" s="3" t="b">
        <f t="shared" si="6"/>
        <v>0</v>
      </c>
      <c r="S91" s="3" t="b">
        <f t="shared" si="7"/>
        <v>0</v>
      </c>
      <c r="T91" s="3" t="b">
        <f t="shared" si="8"/>
        <v>0</v>
      </c>
      <c r="U91" s="3" t="b">
        <f t="shared" si="9"/>
        <v>1</v>
      </c>
      <c r="V91" s="3"/>
      <c r="W91" s="3" cm="1">
        <f t="array" ref="W91">IF(OR(J91="Brasil",N91="Brasil"),2*_xlfn.IFS(Q91=TRUE,6,R91=TRUE,4,AND(S91=TRUE,T91=FALSE),3,T91=TRUE,2,U91=TRUE,0),_xlfn.IFS(Q91=TRUE,6,R91=TRUE,4,AND(S91=TRUE,T91=FALSE),3,T91=TRUE,2,U91=TRUE,0))</f>
        <v>0</v>
      </c>
      <c r="X91" s="3"/>
      <c r="Y91" s="3"/>
    </row>
    <row r="92" spans="1:25" ht="14.25" customHeight="1" x14ac:dyDescent="0.3">
      <c r="A92" s="3">
        <f>'Tabela de Jogos'!A92</f>
        <v>90</v>
      </c>
      <c r="B92" s="3">
        <f>'Tabela de Jogos'!B92</f>
        <v>0</v>
      </c>
      <c r="C92" s="3">
        <f>'Tabela de Jogos'!C92</f>
        <v>0</v>
      </c>
      <c r="D92" s="3" t="str">
        <f>'Tabela de Jogos'!D92</f>
        <v>x</v>
      </c>
      <c r="E92" s="3">
        <f>'Tabela de Jogos'!E92</f>
        <v>0</v>
      </c>
      <c r="F92" s="3">
        <f>'Tabela de Jogos'!F92</f>
        <v>0</v>
      </c>
      <c r="G92" s="3" t="str">
        <f>'Tabela de Jogos'!G92</f>
        <v>-</v>
      </c>
      <c r="H92" s="3"/>
      <c r="I92" s="3">
        <f t="shared" ref="I92:J92" si="98">A92</f>
        <v>90</v>
      </c>
      <c r="J92" s="3">
        <f t="shared" si="98"/>
        <v>0</v>
      </c>
      <c r="K92" s="3"/>
      <c r="L92" s="3" t="str">
        <f t="shared" si="2"/>
        <v>x</v>
      </c>
      <c r="M92" s="3"/>
      <c r="N92" s="3">
        <f t="shared" si="3"/>
        <v>0</v>
      </c>
      <c r="O92" s="3" t="str">
        <f t="shared" si="4"/>
        <v>-</v>
      </c>
      <c r="P92" s="3"/>
      <c r="Q92" s="3" t="b">
        <f t="shared" si="5"/>
        <v>0</v>
      </c>
      <c r="R92" s="3" t="b">
        <f t="shared" si="6"/>
        <v>0</v>
      </c>
      <c r="S92" s="3" t="b">
        <f t="shared" si="7"/>
        <v>0</v>
      </c>
      <c r="T92" s="3" t="b">
        <f t="shared" si="8"/>
        <v>0</v>
      </c>
      <c r="U92" s="3" t="b">
        <f t="shared" si="9"/>
        <v>1</v>
      </c>
      <c r="V92" s="3"/>
      <c r="W92" s="3" cm="1">
        <f t="array" ref="W92">IF(OR(J92="Brasil",N92="Brasil"),2*_xlfn.IFS(Q92=TRUE,6,R92=TRUE,4,AND(S92=TRUE,T92=FALSE),3,T92=TRUE,2,U92=TRUE,0),_xlfn.IFS(Q92=TRUE,6,R92=TRUE,4,AND(S92=TRUE,T92=FALSE),3,T92=TRUE,2,U92=TRUE,0))</f>
        <v>0</v>
      </c>
      <c r="X92" s="3"/>
      <c r="Y92" s="3"/>
    </row>
    <row r="93" spans="1:25" ht="14.25" customHeight="1" x14ac:dyDescent="0.3">
      <c r="A93" s="3">
        <f>'Tabela de Jogos'!A93</f>
        <v>91</v>
      </c>
      <c r="B93" s="3">
        <f>'Tabela de Jogos'!B93</f>
        <v>0</v>
      </c>
      <c r="C93" s="3">
        <f>'Tabela de Jogos'!C93</f>
        <v>0</v>
      </c>
      <c r="D93" s="3" t="str">
        <f>'Tabela de Jogos'!D93</f>
        <v>x</v>
      </c>
      <c r="E93" s="3">
        <f>'Tabela de Jogos'!E93</f>
        <v>0</v>
      </c>
      <c r="F93" s="3">
        <f>'Tabela de Jogos'!F93</f>
        <v>0</v>
      </c>
      <c r="G93" s="3" t="str">
        <f>'Tabela de Jogos'!G93</f>
        <v>-</v>
      </c>
      <c r="H93" s="3"/>
      <c r="I93" s="3">
        <f t="shared" ref="I93:J93" si="99">A93</f>
        <v>91</v>
      </c>
      <c r="J93" s="3">
        <f t="shared" si="99"/>
        <v>0</v>
      </c>
      <c r="K93" s="3"/>
      <c r="L93" s="3" t="str">
        <f t="shared" si="2"/>
        <v>x</v>
      </c>
      <c r="M93" s="3"/>
      <c r="N93" s="3">
        <f t="shared" si="3"/>
        <v>0</v>
      </c>
      <c r="O93" s="3" t="str">
        <f t="shared" si="4"/>
        <v>-</v>
      </c>
      <c r="P93" s="3"/>
      <c r="Q93" s="3" t="b">
        <f t="shared" si="5"/>
        <v>0</v>
      </c>
      <c r="R93" s="3" t="b">
        <f t="shared" si="6"/>
        <v>0</v>
      </c>
      <c r="S93" s="3" t="b">
        <f t="shared" si="7"/>
        <v>0</v>
      </c>
      <c r="T93" s="3" t="b">
        <f t="shared" si="8"/>
        <v>0</v>
      </c>
      <c r="U93" s="3" t="b">
        <f t="shared" si="9"/>
        <v>1</v>
      </c>
      <c r="V93" s="3"/>
      <c r="W93" s="3" cm="1">
        <f t="array" ref="W93">IF(OR(J93="Brasil",N93="Brasil"),2*_xlfn.IFS(Q93=TRUE,6,R93=TRUE,4,AND(S93=TRUE,T93=FALSE),3,T93=TRUE,2,U93=TRUE,0),_xlfn.IFS(Q93=TRUE,6,R93=TRUE,4,AND(S93=TRUE,T93=FALSE),3,T93=TRUE,2,U93=TRUE,0))</f>
        <v>0</v>
      </c>
      <c r="X93" s="3"/>
      <c r="Y93" s="3"/>
    </row>
    <row r="94" spans="1:25" ht="14.25" customHeight="1" x14ac:dyDescent="0.3">
      <c r="A94" s="3">
        <f>'Tabela de Jogos'!A94</f>
        <v>92</v>
      </c>
      <c r="B94" s="3">
        <f>'Tabela de Jogos'!B94</f>
        <v>0</v>
      </c>
      <c r="C94" s="3">
        <f>'Tabela de Jogos'!C94</f>
        <v>0</v>
      </c>
      <c r="D94" s="3" t="str">
        <f>'Tabela de Jogos'!D94</f>
        <v>x</v>
      </c>
      <c r="E94" s="3">
        <f>'Tabela de Jogos'!E94</f>
        <v>0</v>
      </c>
      <c r="F94" s="3">
        <f>'Tabela de Jogos'!F94</f>
        <v>0</v>
      </c>
      <c r="G94" s="3" t="str">
        <f>'Tabela de Jogos'!G94</f>
        <v>-</v>
      </c>
      <c r="H94" s="3"/>
      <c r="I94" s="3">
        <f t="shared" ref="I94:J94" si="100">A94</f>
        <v>92</v>
      </c>
      <c r="J94" s="3">
        <f t="shared" si="100"/>
        <v>0</v>
      </c>
      <c r="K94" s="3"/>
      <c r="L94" s="3" t="str">
        <f t="shared" si="2"/>
        <v>x</v>
      </c>
      <c r="M94" s="3"/>
      <c r="N94" s="3">
        <f t="shared" si="3"/>
        <v>0</v>
      </c>
      <c r="O94" s="3" t="str">
        <f t="shared" si="4"/>
        <v>-</v>
      </c>
      <c r="P94" s="3"/>
      <c r="Q94" s="3" t="b">
        <f t="shared" si="5"/>
        <v>0</v>
      </c>
      <c r="R94" s="3" t="b">
        <f t="shared" si="6"/>
        <v>0</v>
      </c>
      <c r="S94" s="3" t="b">
        <f t="shared" si="7"/>
        <v>0</v>
      </c>
      <c r="T94" s="3" t="b">
        <f t="shared" si="8"/>
        <v>0</v>
      </c>
      <c r="U94" s="3" t="b">
        <f t="shared" si="9"/>
        <v>1</v>
      </c>
      <c r="V94" s="3"/>
      <c r="W94" s="3" cm="1">
        <f t="array" ref="W94">IF(OR(J94="Brasil",N94="Brasil"),2*_xlfn.IFS(Q94=TRUE,6,R94=TRUE,4,AND(S94=TRUE,T94=FALSE),3,T94=TRUE,2,U94=TRUE,0),_xlfn.IFS(Q94=TRUE,6,R94=TRUE,4,AND(S94=TRUE,T94=FALSE),3,T94=TRUE,2,U94=TRUE,0))</f>
        <v>0</v>
      </c>
      <c r="X94" s="3"/>
      <c r="Y94" s="3"/>
    </row>
    <row r="95" spans="1:25" ht="14.25" customHeight="1" x14ac:dyDescent="0.3">
      <c r="A95" s="3">
        <f>'Tabela de Jogos'!A95</f>
        <v>93</v>
      </c>
      <c r="B95" s="3">
        <f>'Tabela de Jogos'!B95</f>
        <v>0</v>
      </c>
      <c r="C95" s="3">
        <f>'Tabela de Jogos'!C95</f>
        <v>0</v>
      </c>
      <c r="D95" s="3" t="str">
        <f>'Tabela de Jogos'!D95</f>
        <v>x</v>
      </c>
      <c r="E95" s="3">
        <f>'Tabela de Jogos'!E95</f>
        <v>0</v>
      </c>
      <c r="F95" s="3">
        <f>'Tabela de Jogos'!F95</f>
        <v>0</v>
      </c>
      <c r="G95" s="3" t="str">
        <f>'Tabela de Jogos'!G95</f>
        <v>-</v>
      </c>
      <c r="H95" s="3"/>
      <c r="I95" s="3">
        <f t="shared" ref="I95:J95" si="101">A95</f>
        <v>93</v>
      </c>
      <c r="J95" s="3">
        <f t="shared" si="101"/>
        <v>0</v>
      </c>
      <c r="K95" s="3"/>
      <c r="L95" s="3" t="str">
        <f t="shared" si="2"/>
        <v>x</v>
      </c>
      <c r="M95" s="3"/>
      <c r="N95" s="3">
        <f t="shared" si="3"/>
        <v>0</v>
      </c>
      <c r="O95" s="3" t="str">
        <f t="shared" si="4"/>
        <v>-</v>
      </c>
      <c r="P95" s="3"/>
      <c r="Q95" s="3" t="b">
        <f t="shared" si="5"/>
        <v>0</v>
      </c>
      <c r="R95" s="3" t="b">
        <f t="shared" si="6"/>
        <v>0</v>
      </c>
      <c r="S95" s="3" t="b">
        <f t="shared" si="7"/>
        <v>0</v>
      </c>
      <c r="T95" s="3" t="b">
        <f t="shared" si="8"/>
        <v>0</v>
      </c>
      <c r="U95" s="3" t="b">
        <f t="shared" si="9"/>
        <v>1</v>
      </c>
      <c r="V95" s="3"/>
      <c r="W95" s="3" cm="1">
        <f t="array" ref="W95">IF(OR(J95="Brasil",N95="Brasil"),2*_xlfn.IFS(Q95=TRUE,6,R95=TRUE,4,AND(S95=TRUE,T95=FALSE),3,T95=TRUE,2,U95=TRUE,0),_xlfn.IFS(Q95=TRUE,6,R95=TRUE,4,AND(S95=TRUE,T95=FALSE),3,T95=TRUE,2,U95=TRUE,0))</f>
        <v>0</v>
      </c>
      <c r="X95" s="3"/>
      <c r="Y95" s="3"/>
    </row>
    <row r="96" spans="1:25" ht="14.25" customHeight="1" x14ac:dyDescent="0.3">
      <c r="A96" s="3">
        <f>'Tabela de Jogos'!A96</f>
        <v>94</v>
      </c>
      <c r="B96" s="3">
        <f>'Tabela de Jogos'!B96</f>
        <v>0</v>
      </c>
      <c r="C96" s="3">
        <f>'Tabela de Jogos'!C96</f>
        <v>0</v>
      </c>
      <c r="D96" s="3" t="str">
        <f>'Tabela de Jogos'!D96</f>
        <v>x</v>
      </c>
      <c r="E96" s="3">
        <f>'Tabela de Jogos'!E96</f>
        <v>0</v>
      </c>
      <c r="F96" s="3">
        <f>'Tabela de Jogos'!F96</f>
        <v>0</v>
      </c>
      <c r="G96" s="3" t="str">
        <f>'Tabela de Jogos'!G96</f>
        <v>-</v>
      </c>
      <c r="H96" s="3"/>
      <c r="I96" s="3">
        <f t="shared" ref="I96:J96" si="102">A96</f>
        <v>94</v>
      </c>
      <c r="J96" s="3">
        <f t="shared" si="102"/>
        <v>0</v>
      </c>
      <c r="K96" s="3"/>
      <c r="L96" s="3" t="str">
        <f t="shared" si="2"/>
        <v>x</v>
      </c>
      <c r="M96" s="3"/>
      <c r="N96" s="3">
        <f t="shared" si="3"/>
        <v>0</v>
      </c>
      <c r="O96" s="3" t="str">
        <f t="shared" si="4"/>
        <v>-</v>
      </c>
      <c r="P96" s="3"/>
      <c r="Q96" s="3" t="b">
        <f t="shared" si="5"/>
        <v>0</v>
      </c>
      <c r="R96" s="3" t="b">
        <f t="shared" si="6"/>
        <v>0</v>
      </c>
      <c r="S96" s="3" t="b">
        <f t="shared" si="7"/>
        <v>0</v>
      </c>
      <c r="T96" s="3" t="b">
        <f t="shared" si="8"/>
        <v>0</v>
      </c>
      <c r="U96" s="3" t="b">
        <f t="shared" si="9"/>
        <v>1</v>
      </c>
      <c r="V96" s="3"/>
      <c r="W96" s="3" cm="1">
        <f t="array" ref="W96">IF(OR(J96="Brasil",N96="Brasil"),2*_xlfn.IFS(Q96=TRUE,6,R96=TRUE,4,AND(S96=TRUE,T96=FALSE),3,T96=TRUE,2,U96=TRUE,0),_xlfn.IFS(Q96=TRUE,6,R96=TRUE,4,AND(S96=TRUE,T96=FALSE),3,T96=TRUE,2,U96=TRUE,0))</f>
        <v>0</v>
      </c>
      <c r="X96" s="3"/>
      <c r="Y96" s="3"/>
    </row>
    <row r="97" spans="1:25" ht="14.25" customHeight="1" x14ac:dyDescent="0.3">
      <c r="A97" s="3">
        <f>'Tabela de Jogos'!A97</f>
        <v>95</v>
      </c>
      <c r="B97" s="3">
        <f>'Tabela de Jogos'!B97</f>
        <v>0</v>
      </c>
      <c r="C97" s="3">
        <f>'Tabela de Jogos'!C97</f>
        <v>0</v>
      </c>
      <c r="D97" s="3" t="str">
        <f>'Tabela de Jogos'!D97</f>
        <v>x</v>
      </c>
      <c r="E97" s="3">
        <f>'Tabela de Jogos'!E97</f>
        <v>0</v>
      </c>
      <c r="F97" s="3">
        <f>'Tabela de Jogos'!F97</f>
        <v>0</v>
      </c>
      <c r="G97" s="3" t="str">
        <f>'Tabela de Jogos'!G97</f>
        <v>-</v>
      </c>
      <c r="H97" s="3"/>
      <c r="I97" s="3">
        <f t="shared" ref="I97:J97" si="103">A97</f>
        <v>95</v>
      </c>
      <c r="J97" s="3">
        <f t="shared" si="103"/>
        <v>0</v>
      </c>
      <c r="K97" s="3"/>
      <c r="L97" s="3" t="str">
        <f t="shared" si="2"/>
        <v>x</v>
      </c>
      <c r="M97" s="3"/>
      <c r="N97" s="3">
        <f t="shared" si="3"/>
        <v>0</v>
      </c>
      <c r="O97" s="3" t="str">
        <f t="shared" si="4"/>
        <v>-</v>
      </c>
      <c r="P97" s="3"/>
      <c r="Q97" s="3" t="b">
        <f t="shared" si="5"/>
        <v>0</v>
      </c>
      <c r="R97" s="3" t="b">
        <f t="shared" si="6"/>
        <v>0</v>
      </c>
      <c r="S97" s="3" t="b">
        <f t="shared" si="7"/>
        <v>0</v>
      </c>
      <c r="T97" s="3" t="b">
        <f t="shared" si="8"/>
        <v>0</v>
      </c>
      <c r="U97" s="3" t="b">
        <f t="shared" si="9"/>
        <v>1</v>
      </c>
      <c r="V97" s="3"/>
      <c r="W97" s="3" cm="1">
        <f t="array" ref="W97">IF(OR(J97="Brasil",N97="Brasil"),2*_xlfn.IFS(Q97=TRUE,6,R97=TRUE,4,AND(S97=TRUE,T97=FALSE),3,T97=TRUE,2,U97=TRUE,0),_xlfn.IFS(Q97=TRUE,6,R97=TRUE,4,AND(S97=TRUE,T97=FALSE),3,T97=TRUE,2,U97=TRUE,0))</f>
        <v>0</v>
      </c>
      <c r="X97" s="3"/>
      <c r="Y97" s="3"/>
    </row>
    <row r="98" spans="1:25" ht="14.25" customHeight="1" x14ac:dyDescent="0.3">
      <c r="A98" s="3">
        <f>'Tabela de Jogos'!A98</f>
        <v>96</v>
      </c>
      <c r="B98" s="3">
        <f>'Tabela de Jogos'!B98</f>
        <v>0</v>
      </c>
      <c r="C98" s="3">
        <f>'Tabela de Jogos'!C98</f>
        <v>0</v>
      </c>
      <c r="D98" s="3" t="str">
        <f>'Tabela de Jogos'!D98</f>
        <v>x</v>
      </c>
      <c r="E98" s="3">
        <f>'Tabela de Jogos'!E98</f>
        <v>0</v>
      </c>
      <c r="F98" s="3">
        <f>'Tabela de Jogos'!F98</f>
        <v>0</v>
      </c>
      <c r="G98" s="3" t="str">
        <f>'Tabela de Jogos'!G98</f>
        <v>-</v>
      </c>
      <c r="H98" s="3"/>
      <c r="I98" s="3">
        <f t="shared" ref="I98:J98" si="104">A98</f>
        <v>96</v>
      </c>
      <c r="J98" s="3">
        <f t="shared" si="104"/>
        <v>0</v>
      </c>
      <c r="K98" s="3"/>
      <c r="L98" s="3" t="str">
        <f t="shared" si="2"/>
        <v>x</v>
      </c>
      <c r="M98" s="3"/>
      <c r="N98" s="3">
        <f t="shared" si="3"/>
        <v>0</v>
      </c>
      <c r="O98" s="3" t="str">
        <f t="shared" si="4"/>
        <v>-</v>
      </c>
      <c r="P98" s="3"/>
      <c r="Q98" s="3" t="b">
        <f t="shared" si="5"/>
        <v>0</v>
      </c>
      <c r="R98" s="3" t="b">
        <f t="shared" si="6"/>
        <v>0</v>
      </c>
      <c r="S98" s="3" t="b">
        <f t="shared" si="7"/>
        <v>0</v>
      </c>
      <c r="T98" s="3" t="b">
        <f t="shared" si="8"/>
        <v>0</v>
      </c>
      <c r="U98" s="3" t="b">
        <f t="shared" si="9"/>
        <v>1</v>
      </c>
      <c r="V98" s="3"/>
      <c r="W98" s="3" cm="1">
        <f t="array" ref="W98">IF(OR(J98="Brasil",N98="Brasil"),2*_xlfn.IFS(Q98=TRUE,6,R98=TRUE,4,AND(S98=TRUE,T98=FALSE),3,T98=TRUE,2,U98=TRUE,0),_xlfn.IFS(Q98=TRUE,6,R98=TRUE,4,AND(S98=TRUE,T98=FALSE),3,T98=TRUE,2,U98=TRUE,0))</f>
        <v>0</v>
      </c>
      <c r="X98" s="3"/>
      <c r="Y98" s="3"/>
    </row>
    <row r="99" spans="1:25" ht="14.25" customHeight="1" x14ac:dyDescent="0.3">
      <c r="A99" s="3">
        <f>'Tabela de Jogos'!A99</f>
        <v>97</v>
      </c>
      <c r="B99" s="3">
        <f>'Tabela de Jogos'!B99</f>
        <v>0</v>
      </c>
      <c r="C99" s="3">
        <f>'Tabela de Jogos'!C99</f>
        <v>0</v>
      </c>
      <c r="D99" s="3" t="str">
        <f>'Tabela de Jogos'!D99</f>
        <v>x</v>
      </c>
      <c r="E99" s="3">
        <f>'Tabela de Jogos'!E99</f>
        <v>0</v>
      </c>
      <c r="F99" s="3">
        <f>'Tabela de Jogos'!F99</f>
        <v>0</v>
      </c>
      <c r="G99" s="3" t="str">
        <f>'Tabela de Jogos'!G99</f>
        <v>-</v>
      </c>
      <c r="H99" s="3"/>
      <c r="I99" s="3">
        <f t="shared" ref="I99:J99" si="105">A99</f>
        <v>97</v>
      </c>
      <c r="J99" s="3">
        <f t="shared" si="105"/>
        <v>0</v>
      </c>
      <c r="K99" s="3"/>
      <c r="L99" s="3" t="str">
        <f t="shared" si="2"/>
        <v>x</v>
      </c>
      <c r="M99" s="3"/>
      <c r="N99" s="3">
        <f t="shared" si="3"/>
        <v>0</v>
      </c>
      <c r="O99" s="3" t="str">
        <f t="shared" si="4"/>
        <v>-</v>
      </c>
      <c r="P99" s="3"/>
      <c r="Q99" s="3" t="b">
        <f t="shared" si="5"/>
        <v>0</v>
      </c>
      <c r="R99" s="3" t="b">
        <f t="shared" si="6"/>
        <v>0</v>
      </c>
      <c r="S99" s="3" t="b">
        <f t="shared" si="7"/>
        <v>0</v>
      </c>
      <c r="T99" s="3" t="b">
        <f t="shared" si="8"/>
        <v>0</v>
      </c>
      <c r="U99" s="3" t="b">
        <f t="shared" si="9"/>
        <v>1</v>
      </c>
      <c r="V99" s="3"/>
      <c r="W99" s="3" cm="1">
        <f t="array" ref="W99">IF(OR(J99="Brasil",N99="Brasil"),2*_xlfn.IFS(Q99=TRUE,6,R99=TRUE,4,AND(S99=TRUE,T99=FALSE),3,T99=TRUE,2,U99=TRUE,0),_xlfn.IFS(Q99=TRUE,6,R99=TRUE,4,AND(S99=TRUE,T99=FALSE),3,T99=TRUE,2,U99=TRUE,0))</f>
        <v>0</v>
      </c>
      <c r="X99" s="3"/>
      <c r="Y99" s="3"/>
    </row>
    <row r="100" spans="1:25" ht="14.25" customHeight="1" x14ac:dyDescent="0.3">
      <c r="A100" s="3">
        <f>'Tabela de Jogos'!A100</f>
        <v>98</v>
      </c>
      <c r="B100" s="3">
        <f>'Tabela de Jogos'!B100</f>
        <v>0</v>
      </c>
      <c r="C100" s="3">
        <f>'Tabela de Jogos'!C100</f>
        <v>0</v>
      </c>
      <c r="D100" s="3" t="str">
        <f>'Tabela de Jogos'!D100</f>
        <v>x</v>
      </c>
      <c r="E100" s="3">
        <f>'Tabela de Jogos'!E100</f>
        <v>0</v>
      </c>
      <c r="F100" s="3">
        <f>'Tabela de Jogos'!F100</f>
        <v>0</v>
      </c>
      <c r="G100" s="3" t="str">
        <f>'Tabela de Jogos'!G100</f>
        <v>-</v>
      </c>
      <c r="H100" s="3"/>
      <c r="I100" s="3">
        <f t="shared" ref="I100:J100" si="106">A100</f>
        <v>98</v>
      </c>
      <c r="J100" s="3">
        <f t="shared" si="106"/>
        <v>0</v>
      </c>
      <c r="K100" s="3"/>
      <c r="L100" s="3" t="str">
        <f t="shared" si="2"/>
        <v>x</v>
      </c>
      <c r="M100" s="3"/>
      <c r="N100" s="3">
        <f t="shared" si="3"/>
        <v>0</v>
      </c>
      <c r="O100" s="3" t="str">
        <f t="shared" si="4"/>
        <v>-</v>
      </c>
      <c r="P100" s="3"/>
      <c r="Q100" s="3" t="b">
        <f t="shared" si="5"/>
        <v>0</v>
      </c>
      <c r="R100" s="3" t="b">
        <f t="shared" si="6"/>
        <v>0</v>
      </c>
      <c r="S100" s="3" t="b">
        <f t="shared" si="7"/>
        <v>0</v>
      </c>
      <c r="T100" s="3" t="b">
        <f t="shared" si="8"/>
        <v>0</v>
      </c>
      <c r="U100" s="3" t="b">
        <f t="shared" si="9"/>
        <v>1</v>
      </c>
      <c r="V100" s="3"/>
      <c r="W100" s="3" cm="1">
        <f t="array" ref="W100">IF(OR(J100="Brasil",N100="Brasil"),2*_xlfn.IFS(Q100=TRUE,6,R100=TRUE,4,AND(S100=TRUE,T100=FALSE),3,T100=TRUE,2,U100=TRUE,0),_xlfn.IFS(Q100=TRUE,6,R100=TRUE,4,AND(S100=TRUE,T100=FALSE),3,T100=TRUE,2,U100=TRUE,0))</f>
        <v>0</v>
      </c>
      <c r="X100" s="3"/>
      <c r="Y100" s="3"/>
    </row>
    <row r="101" spans="1:25" ht="14.25" customHeight="1" x14ac:dyDescent="0.3">
      <c r="A101" s="3">
        <f>'Tabela de Jogos'!A101</f>
        <v>99</v>
      </c>
      <c r="B101" s="3">
        <f>'Tabela de Jogos'!B101</f>
        <v>0</v>
      </c>
      <c r="C101" s="3">
        <f>'Tabela de Jogos'!C101</f>
        <v>0</v>
      </c>
      <c r="D101" s="3" t="str">
        <f>'Tabela de Jogos'!D101</f>
        <v>x</v>
      </c>
      <c r="E101" s="3">
        <f>'Tabela de Jogos'!E101</f>
        <v>0</v>
      </c>
      <c r="F101" s="3">
        <f>'Tabela de Jogos'!F101</f>
        <v>0</v>
      </c>
      <c r="G101" s="3" t="str">
        <f>'Tabela de Jogos'!G101</f>
        <v>-</v>
      </c>
      <c r="H101" s="3"/>
      <c r="I101" s="3">
        <f t="shared" ref="I101:J101" si="107">A101</f>
        <v>99</v>
      </c>
      <c r="J101" s="3">
        <f t="shared" si="107"/>
        <v>0</v>
      </c>
      <c r="K101" s="3"/>
      <c r="L101" s="3" t="str">
        <f t="shared" si="2"/>
        <v>x</v>
      </c>
      <c r="M101" s="3"/>
      <c r="N101" s="3">
        <f t="shared" si="3"/>
        <v>0</v>
      </c>
      <c r="O101" s="3" t="str">
        <f t="shared" si="4"/>
        <v>-</v>
      </c>
      <c r="P101" s="3"/>
      <c r="Q101" s="3" t="b">
        <f t="shared" si="5"/>
        <v>0</v>
      </c>
      <c r="R101" s="3" t="b">
        <f t="shared" si="6"/>
        <v>0</v>
      </c>
      <c r="S101" s="3" t="b">
        <f t="shared" si="7"/>
        <v>0</v>
      </c>
      <c r="T101" s="3" t="b">
        <f t="shared" si="8"/>
        <v>0</v>
      </c>
      <c r="U101" s="3" t="b">
        <f t="shared" si="9"/>
        <v>1</v>
      </c>
      <c r="V101" s="3"/>
      <c r="W101" s="3" cm="1">
        <f t="array" ref="W101">IF(OR(J101="Brasil",N101="Brasil"),2*_xlfn.IFS(Q101=TRUE,6,R101=TRUE,4,AND(S101=TRUE,T101=FALSE),3,T101=TRUE,2,U101=TRUE,0),_xlfn.IFS(Q101=TRUE,6,R101=TRUE,4,AND(S101=TRUE,T101=FALSE),3,T101=TRUE,2,U101=TRUE,0))</f>
        <v>0</v>
      </c>
      <c r="X101" s="3"/>
      <c r="Y101" s="3"/>
    </row>
    <row r="102" spans="1:25" ht="14.25" customHeight="1" x14ac:dyDescent="0.3">
      <c r="A102" s="3">
        <f>'Tabela de Jogos'!A102</f>
        <v>100</v>
      </c>
      <c r="B102" s="3">
        <f>'Tabela de Jogos'!B102</f>
        <v>0</v>
      </c>
      <c r="C102" s="3">
        <f>'Tabela de Jogos'!C102</f>
        <v>0</v>
      </c>
      <c r="D102" s="3" t="str">
        <f>'Tabela de Jogos'!D102</f>
        <v>x</v>
      </c>
      <c r="E102" s="3">
        <f>'Tabela de Jogos'!E102</f>
        <v>0</v>
      </c>
      <c r="F102" s="3">
        <f>'Tabela de Jogos'!F102</f>
        <v>0</v>
      </c>
      <c r="G102" s="3" t="str">
        <f>'Tabela de Jogos'!G102</f>
        <v>-</v>
      </c>
      <c r="H102" s="3"/>
      <c r="I102" s="3">
        <f t="shared" ref="I102:J102" si="108">A102</f>
        <v>100</v>
      </c>
      <c r="J102" s="3">
        <f t="shared" si="108"/>
        <v>0</v>
      </c>
      <c r="K102" s="3"/>
      <c r="L102" s="3" t="str">
        <f t="shared" si="2"/>
        <v>x</v>
      </c>
      <c r="M102" s="3"/>
      <c r="N102" s="3">
        <f t="shared" si="3"/>
        <v>0</v>
      </c>
      <c r="O102" s="3" t="str">
        <f t="shared" si="4"/>
        <v>-</v>
      </c>
      <c r="P102" s="3"/>
      <c r="Q102" s="3" t="b">
        <f t="shared" si="5"/>
        <v>0</v>
      </c>
      <c r="R102" s="3" t="b">
        <f t="shared" si="6"/>
        <v>0</v>
      </c>
      <c r="S102" s="3" t="b">
        <f t="shared" si="7"/>
        <v>0</v>
      </c>
      <c r="T102" s="3" t="b">
        <f t="shared" si="8"/>
        <v>0</v>
      </c>
      <c r="U102" s="3" t="b">
        <f t="shared" si="9"/>
        <v>1</v>
      </c>
      <c r="V102" s="3"/>
      <c r="W102" s="3" cm="1">
        <f t="array" ref="W102">IF(OR(J102="Brasil",N102="Brasil"),2*_xlfn.IFS(Q102=TRUE,6,R102=TRUE,4,AND(S102=TRUE,T102=FALSE),3,T102=TRUE,2,U102=TRUE,0),_xlfn.IFS(Q102=TRUE,6,R102=TRUE,4,AND(S102=TRUE,T102=FALSE),3,T102=TRUE,2,U102=TRUE,0))</f>
        <v>0</v>
      </c>
      <c r="X102" s="3"/>
      <c r="Y102" s="3"/>
    </row>
    <row r="103" spans="1:25" ht="14.25" customHeight="1" x14ac:dyDescent="0.3">
      <c r="A103" s="3">
        <f>'Tabela de Jogos'!A103</f>
        <v>101</v>
      </c>
      <c r="B103" s="3">
        <f>'Tabela de Jogos'!B103</f>
        <v>0</v>
      </c>
      <c r="C103" s="3">
        <f>'Tabela de Jogos'!C103</f>
        <v>0</v>
      </c>
      <c r="D103" s="3" t="str">
        <f>'Tabela de Jogos'!D103</f>
        <v>x</v>
      </c>
      <c r="E103" s="3">
        <f>'Tabela de Jogos'!E103</f>
        <v>0</v>
      </c>
      <c r="F103" s="3">
        <f>'Tabela de Jogos'!F103</f>
        <v>0</v>
      </c>
      <c r="G103" s="3" t="str">
        <f>'Tabela de Jogos'!G103</f>
        <v>-</v>
      </c>
      <c r="H103" s="3"/>
      <c r="I103" s="3">
        <f t="shared" ref="I103:J103" si="109">A103</f>
        <v>101</v>
      </c>
      <c r="J103" s="3">
        <f t="shared" si="109"/>
        <v>0</v>
      </c>
      <c r="K103" s="3"/>
      <c r="L103" s="3" t="str">
        <f t="shared" si="2"/>
        <v>x</v>
      </c>
      <c r="M103" s="3"/>
      <c r="N103" s="3">
        <f t="shared" si="3"/>
        <v>0</v>
      </c>
      <c r="O103" s="3" t="str">
        <f t="shared" si="4"/>
        <v>-</v>
      </c>
      <c r="P103" s="3"/>
      <c r="Q103" s="3" t="b">
        <f t="shared" si="5"/>
        <v>0</v>
      </c>
      <c r="R103" s="3" t="b">
        <f t="shared" si="6"/>
        <v>0</v>
      </c>
      <c r="S103" s="3" t="b">
        <f t="shared" si="7"/>
        <v>0</v>
      </c>
      <c r="T103" s="3" t="b">
        <f t="shared" si="8"/>
        <v>0</v>
      </c>
      <c r="U103" s="3" t="b">
        <f t="shared" si="9"/>
        <v>1</v>
      </c>
      <c r="V103" s="3"/>
      <c r="W103" s="3" cm="1">
        <f t="array" ref="W103">IF(OR(J103="Brasil",N103="Brasil"),2*_xlfn.IFS(Q103=TRUE,6,R103=TRUE,4,AND(S103=TRUE,T103=FALSE),3,T103=TRUE,2,U103=TRUE,0),_xlfn.IFS(Q103=TRUE,6,R103=TRUE,4,AND(S103=TRUE,T103=FALSE),3,T103=TRUE,2,U103=TRUE,0))</f>
        <v>0</v>
      </c>
      <c r="X103" s="3"/>
      <c r="Y103" s="3"/>
    </row>
    <row r="104" spans="1:25" ht="14.25" customHeight="1" x14ac:dyDescent="0.3">
      <c r="A104" s="3">
        <f>'Tabela de Jogos'!A104</f>
        <v>102</v>
      </c>
      <c r="B104" s="3">
        <f>'Tabela de Jogos'!B104</f>
        <v>0</v>
      </c>
      <c r="C104" s="3">
        <f>'Tabela de Jogos'!C104</f>
        <v>0</v>
      </c>
      <c r="D104" s="3" t="str">
        <f>'Tabela de Jogos'!D104</f>
        <v>x</v>
      </c>
      <c r="E104" s="3">
        <f>'Tabela de Jogos'!E104</f>
        <v>0</v>
      </c>
      <c r="F104" s="3">
        <f>'Tabela de Jogos'!F104</f>
        <v>0</v>
      </c>
      <c r="G104" s="3" t="str">
        <f>'Tabela de Jogos'!G104</f>
        <v>-</v>
      </c>
      <c r="H104" s="3"/>
      <c r="I104" s="3">
        <f t="shared" ref="I104:J104" si="110">A104</f>
        <v>102</v>
      </c>
      <c r="J104" s="3">
        <f t="shared" si="110"/>
        <v>0</v>
      </c>
      <c r="K104" s="3"/>
      <c r="L104" s="3" t="str">
        <f t="shared" si="2"/>
        <v>x</v>
      </c>
      <c r="M104" s="3"/>
      <c r="N104" s="3">
        <f t="shared" si="3"/>
        <v>0</v>
      </c>
      <c r="O104" s="3" t="str">
        <f t="shared" si="4"/>
        <v>-</v>
      </c>
      <c r="P104" s="3"/>
      <c r="Q104" s="3" t="b">
        <f t="shared" si="5"/>
        <v>0</v>
      </c>
      <c r="R104" s="3" t="b">
        <f t="shared" si="6"/>
        <v>0</v>
      </c>
      <c r="S104" s="3" t="b">
        <f t="shared" si="7"/>
        <v>0</v>
      </c>
      <c r="T104" s="3" t="b">
        <f t="shared" si="8"/>
        <v>0</v>
      </c>
      <c r="U104" s="3" t="b">
        <f t="shared" si="9"/>
        <v>1</v>
      </c>
      <c r="V104" s="3"/>
      <c r="W104" s="3" cm="1">
        <f t="array" ref="W104">IF(OR(J104="Brasil",N104="Brasil"),2*_xlfn.IFS(Q104=TRUE,6,R104=TRUE,4,AND(S104=TRUE,T104=FALSE),3,T104=TRUE,2,U104=TRUE,0),_xlfn.IFS(Q104=TRUE,6,R104=TRUE,4,AND(S104=TRUE,T104=FALSE),3,T104=TRUE,2,U104=TRUE,0))</f>
        <v>0</v>
      </c>
      <c r="X104" s="3"/>
      <c r="Y104" s="3"/>
    </row>
    <row r="105" spans="1:25" ht="14.25" customHeight="1" x14ac:dyDescent="0.3">
      <c r="A105" s="3">
        <f>'Tabela de Jogos'!A105</f>
        <v>103</v>
      </c>
      <c r="B105" s="3">
        <f>'Tabela de Jogos'!B105</f>
        <v>0</v>
      </c>
      <c r="C105" s="3">
        <f>'Tabela de Jogos'!C105</f>
        <v>0</v>
      </c>
      <c r="D105" s="3" t="str">
        <f>'Tabela de Jogos'!D105</f>
        <v>x</v>
      </c>
      <c r="E105" s="3">
        <f>'Tabela de Jogos'!E105</f>
        <v>0</v>
      </c>
      <c r="F105" s="3">
        <f>'Tabela de Jogos'!F105</f>
        <v>0</v>
      </c>
      <c r="G105" s="3" t="str">
        <f>'Tabela de Jogos'!G105</f>
        <v>-</v>
      </c>
      <c r="H105" s="3"/>
      <c r="I105" s="3">
        <f t="shared" ref="I105:J105" si="111">A105</f>
        <v>103</v>
      </c>
      <c r="J105" s="3">
        <f t="shared" si="111"/>
        <v>0</v>
      </c>
      <c r="K105" s="3"/>
      <c r="L105" s="3" t="str">
        <f t="shared" si="2"/>
        <v>x</v>
      </c>
      <c r="M105" s="3"/>
      <c r="N105" s="3">
        <f t="shared" si="3"/>
        <v>0</v>
      </c>
      <c r="O105" s="3" t="str">
        <f t="shared" si="4"/>
        <v>-</v>
      </c>
      <c r="P105" s="3"/>
      <c r="Q105" s="3" t="b">
        <f t="shared" si="5"/>
        <v>0</v>
      </c>
      <c r="R105" s="3" t="b">
        <f t="shared" si="6"/>
        <v>0</v>
      </c>
      <c r="S105" s="3" t="b">
        <f t="shared" si="7"/>
        <v>0</v>
      </c>
      <c r="T105" s="3" t="b">
        <f t="shared" si="8"/>
        <v>0</v>
      </c>
      <c r="U105" s="3" t="b">
        <f t="shared" si="9"/>
        <v>1</v>
      </c>
      <c r="V105" s="3"/>
      <c r="W105" s="3" cm="1">
        <f t="array" ref="W105">IF(OR(J105="Brasil",N105="Brasil"),2*_xlfn.IFS(Q105=TRUE,6,R105=TRUE,4,AND(S105=TRUE,T105=FALSE),3,T105=TRUE,2,U105=TRUE,0),_xlfn.IFS(Q105=TRUE,6,R105=TRUE,4,AND(S105=TRUE,T105=FALSE),3,T105=TRUE,2,U105=TRUE,0))</f>
        <v>0</v>
      </c>
      <c r="X105" s="3"/>
      <c r="Y105" s="3"/>
    </row>
    <row r="106" spans="1:25" ht="14.25" customHeight="1" x14ac:dyDescent="0.3">
      <c r="A106" s="3">
        <f>'Tabela de Jogos'!A106</f>
        <v>104</v>
      </c>
      <c r="B106" s="3">
        <f>'Tabela de Jogos'!B106</f>
        <v>0</v>
      </c>
      <c r="C106" s="3">
        <f>'Tabela de Jogos'!C106</f>
        <v>0</v>
      </c>
      <c r="D106" s="3" t="str">
        <f>'Tabela de Jogos'!D106</f>
        <v>x</v>
      </c>
      <c r="E106" s="3">
        <f>'Tabela de Jogos'!E106</f>
        <v>0</v>
      </c>
      <c r="F106" s="3">
        <f>'Tabela de Jogos'!F106</f>
        <v>0</v>
      </c>
      <c r="G106" s="3" t="str">
        <f>'Tabela de Jogos'!G106</f>
        <v>-</v>
      </c>
      <c r="H106" s="3"/>
      <c r="I106" s="3">
        <f t="shared" ref="I106:J106" si="112">A106</f>
        <v>104</v>
      </c>
      <c r="J106" s="3">
        <f t="shared" si="112"/>
        <v>0</v>
      </c>
      <c r="K106" s="3"/>
      <c r="L106" s="3" t="str">
        <f t="shared" si="2"/>
        <v>x</v>
      </c>
      <c r="M106" s="3"/>
      <c r="N106" s="3">
        <f t="shared" si="3"/>
        <v>0</v>
      </c>
      <c r="O106" s="3" t="str">
        <f t="shared" si="4"/>
        <v>-</v>
      </c>
      <c r="P106" s="3"/>
      <c r="Q106" s="3" t="b">
        <f t="shared" si="5"/>
        <v>0</v>
      </c>
      <c r="R106" s="3" t="b">
        <f t="shared" si="6"/>
        <v>0</v>
      </c>
      <c r="S106" s="3" t="b">
        <f t="shared" si="7"/>
        <v>0</v>
      </c>
      <c r="T106" s="3" t="b">
        <f t="shared" si="8"/>
        <v>0</v>
      </c>
      <c r="U106" s="3" t="b">
        <f t="shared" si="9"/>
        <v>1</v>
      </c>
      <c r="V106" s="3"/>
      <c r="W106" s="3" cm="1">
        <f t="array" ref="W106">IF(OR(J106="Brasil",N106="Brasil"),2*_xlfn.IFS(Q106=TRUE,6,R106=TRUE,4,AND(S106=TRUE,T106=FALSE),3,T106=TRUE,2,U106=TRUE,0),_xlfn.IFS(Q106=TRUE,6,R106=TRUE,4,AND(S106=TRUE,T106=FALSE),3,T106=TRUE,2,U106=TRUE,0))</f>
        <v>0</v>
      </c>
      <c r="X106" s="3"/>
      <c r="Y106" s="3"/>
    </row>
  </sheetData>
  <mergeCells count="2">
    <mergeCell ref="A1:G1"/>
    <mergeCell ref="I1:O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6"/>
  <sheetViews>
    <sheetView topLeftCell="I46" workbookViewId="0">
      <selection activeCell="M63" sqref="M63"/>
    </sheetView>
  </sheetViews>
  <sheetFormatPr defaultColWidth="12.6640625" defaultRowHeight="15" customHeight="1" x14ac:dyDescent="0.3"/>
  <cols>
    <col min="1" max="1" width="8.88671875" hidden="1" customWidth="1"/>
    <col min="2" max="2" width="14.109375" hidden="1" customWidth="1"/>
    <col min="3" max="5" width="8.88671875" hidden="1" customWidth="1"/>
    <col min="6" max="7" width="14.109375" hidden="1" customWidth="1"/>
    <col min="8" max="8" width="8.88671875" hidden="1" customWidth="1"/>
    <col min="9" max="9" width="8.88671875" customWidth="1"/>
    <col min="10" max="10" width="14.109375" customWidth="1"/>
    <col min="11" max="13" width="8.88671875" customWidth="1"/>
    <col min="14" max="14" width="14.109375" customWidth="1"/>
    <col min="15" max="15" width="14.33203125" customWidth="1"/>
    <col min="16" max="16" width="8.5546875" hidden="1" customWidth="1"/>
    <col min="17" max="21" width="11.6640625" hidden="1" customWidth="1"/>
    <col min="22" max="22" width="8.5546875" hidden="1" customWidth="1"/>
    <col min="23" max="24" width="8.88671875" customWidth="1"/>
    <col min="25" max="25" width="13.88671875" bestFit="1" customWidth="1"/>
    <col min="26" max="26" width="8.5546875" customWidth="1"/>
  </cols>
  <sheetData>
    <row r="1" spans="1:25" ht="14.25" customHeight="1" x14ac:dyDescent="0.3">
      <c r="A1" s="8" t="str">
        <f>'Tabela de Jogos'!A1</f>
        <v>Tabela de Jogos</v>
      </c>
      <c r="B1" s="9"/>
      <c r="C1" s="9"/>
      <c r="D1" s="9"/>
      <c r="E1" s="9"/>
      <c r="F1" s="9"/>
      <c r="G1" s="9"/>
      <c r="H1" s="3"/>
      <c r="I1" s="8" t="s">
        <v>68</v>
      </c>
      <c r="J1" s="9"/>
      <c r="K1" s="9"/>
      <c r="L1" s="9"/>
      <c r="M1" s="9"/>
      <c r="N1" s="9"/>
      <c r="O1" s="9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3" t="str">
        <f>'Tabela de Jogos'!A2</f>
        <v>Jogo</v>
      </c>
      <c r="B2" s="3" t="str">
        <f>'Tabela de Jogos'!B2</f>
        <v>Seleção A</v>
      </c>
      <c r="C2" s="3" t="str">
        <f>'Tabela de Jogos'!C2</f>
        <v>Gols A</v>
      </c>
      <c r="D2" s="3" t="str">
        <f>'Tabela de Jogos'!D2</f>
        <v>x</v>
      </c>
      <c r="E2" s="3" t="str">
        <f>'Tabela de Jogos'!E2</f>
        <v>Gols B</v>
      </c>
      <c r="F2" s="3" t="str">
        <f>'Tabela de Jogos'!F2</f>
        <v>Seleção B</v>
      </c>
      <c r="G2" s="3" t="str">
        <f>'Tabela de Jogos'!G2</f>
        <v>Vencedor</v>
      </c>
      <c r="H2" s="3"/>
      <c r="I2" s="3" t="str">
        <f t="shared" ref="I2:N2" si="0">A2</f>
        <v>Jogo</v>
      </c>
      <c r="J2" s="3" t="str">
        <f t="shared" si="0"/>
        <v>Seleção A</v>
      </c>
      <c r="K2" s="3" t="str">
        <f t="shared" si="0"/>
        <v>Gols A</v>
      </c>
      <c r="L2" s="3" t="str">
        <f t="shared" si="0"/>
        <v>x</v>
      </c>
      <c r="M2" s="3" t="str">
        <f t="shared" si="0"/>
        <v>Gols B</v>
      </c>
      <c r="N2" s="3" t="str">
        <f t="shared" si="0"/>
        <v>Seleção B</v>
      </c>
      <c r="O2" s="3" t="s">
        <v>7</v>
      </c>
      <c r="P2" s="3"/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 t="s">
        <v>57</v>
      </c>
      <c r="X2" s="3" t="s">
        <v>74</v>
      </c>
      <c r="Y2" s="3" t="s">
        <v>75</v>
      </c>
    </row>
    <row r="3" spans="1:25" ht="14.25" customHeight="1" x14ac:dyDescent="0.3">
      <c r="A3" s="3">
        <f>'Tabela de Jogos'!A3</f>
        <v>1</v>
      </c>
      <c r="B3" s="3" t="str">
        <f>'Tabela de Jogos'!B3</f>
        <v>México</v>
      </c>
      <c r="C3" s="3">
        <f>'Tabela de Jogos'!C3</f>
        <v>2</v>
      </c>
      <c r="D3" s="3" t="str">
        <f>'Tabela de Jogos'!D3</f>
        <v>x</v>
      </c>
      <c r="E3" s="3">
        <f>'Tabela de Jogos'!E3</f>
        <v>0</v>
      </c>
      <c r="F3" s="3" t="str">
        <f>'Tabela de Jogos'!F3</f>
        <v>África do Sul</v>
      </c>
      <c r="G3" s="3" t="str">
        <f>'Tabela de Jogos'!G3</f>
        <v>México</v>
      </c>
      <c r="H3" s="3"/>
      <c r="I3" s="3">
        <f t="shared" ref="I3:J3" si="1">A3</f>
        <v>1</v>
      </c>
      <c r="J3" s="3" t="str">
        <f t="shared" si="1"/>
        <v>México</v>
      </c>
      <c r="K3" s="3">
        <v>1</v>
      </c>
      <c r="L3" s="3" t="str">
        <f t="shared" ref="L3:L106" si="2">D3</f>
        <v>x</v>
      </c>
      <c r="M3" s="3">
        <v>1</v>
      </c>
      <c r="N3" s="3" t="str">
        <f t="shared" ref="N3:N106" si="3">F3</f>
        <v>África do Sul</v>
      </c>
      <c r="O3" s="3" t="str">
        <f t="shared" ref="O3:O106" si="4">IF(K3&gt;M3,J3,IF(M3&gt;K3,N3,IF(ISBLANK(K3),"-","Empate")))</f>
        <v>Empate</v>
      </c>
      <c r="P3" s="3"/>
      <c r="Q3" s="3" t="b">
        <f t="shared" ref="Q3:Q106" si="5">IF(AND(O3=G3,K3=C3,M3=E3,ISBLANK(K3)&lt;&gt;TRUE),TRUE,FALSE)</f>
        <v>0</v>
      </c>
      <c r="R3" s="3" t="b">
        <f t="shared" ref="R3:R106" si="6">IF(OR(AND(O3=G3,K3=C3,K3&gt;M3,M3&lt;&gt;E3,ISBLANK(K3)&lt;&gt;TRUE),AND(O3=G3,M3&gt;K3,K3&lt;&gt;C3,M3=E3,ISBLANK(K3)&lt;&gt;TRUE)),TRUE,FALSE)</f>
        <v>0</v>
      </c>
      <c r="S3" s="3" t="b">
        <f t="shared" ref="S3:S106" si="7">IF(AND(O3=G3,ABS(K3-M3)=ABS(C3-E3),OR(K3&lt;&gt;C3,M3&lt;&gt;E3),ISBLANK(K3)&lt;&gt;TRUE),TRUE,FALSE)</f>
        <v>0</v>
      </c>
      <c r="T3" s="3" t="b">
        <f t="shared" ref="T3:T106" si="8">IF(OR(AND(O3=G3,Q3=FALSE,R3=FALSE,S3=FALSE,G3&lt;&gt;"-"),AND(O3="Empate",S3=TRUE)),TRUE,FALSE)</f>
        <v>0</v>
      </c>
      <c r="U3" s="3" t="b">
        <f t="shared" ref="U3:U106" si="9">IF(AND(Q3=FALSE,R3=FALSE,S3=FALSE,T3=FALSE),TRUE,FALSE)</f>
        <v>1</v>
      </c>
      <c r="V3" s="3"/>
      <c r="W3" s="3" cm="1">
        <f t="array" ref="W3">IF(OR(J3="Brasil",N3="Brasil"),2*_xlfn.IFS(Q3=TRUE,6,R3=TRUE,4,AND(S3=TRUE,T3=FALSE),3,T3=TRUE,2,U3=TRUE,0),_xlfn.IFS(Q3=TRUE,6,R3=TRUE,4,AND(S3=TRUE,T3=FALSE),3,T3=TRUE,2,U3=TRUE,0))</f>
        <v>0</v>
      </c>
      <c r="X3" s="3">
        <f>SUM(W3:W106)</f>
        <v>96</v>
      </c>
      <c r="Y3" s="3">
        <f>COUNTIF(W3:W106,6)+COUNTIF(W3:W106,12)</f>
        <v>6</v>
      </c>
    </row>
    <row r="4" spans="1:25" ht="14.25" customHeight="1" x14ac:dyDescent="0.3">
      <c r="A4" s="3">
        <f>'Tabela de Jogos'!A4</f>
        <v>2</v>
      </c>
      <c r="B4" s="3" t="str">
        <f>'Tabela de Jogos'!B4</f>
        <v>Coreia do Sul</v>
      </c>
      <c r="C4" s="3">
        <f>'Tabela de Jogos'!C4</f>
        <v>2</v>
      </c>
      <c r="D4" s="3" t="str">
        <f>'Tabela de Jogos'!D4</f>
        <v>x</v>
      </c>
      <c r="E4" s="3">
        <f>'Tabela de Jogos'!E4</f>
        <v>1</v>
      </c>
      <c r="F4" s="3" t="str">
        <f>'Tabela de Jogos'!F4</f>
        <v>Tchéquia</v>
      </c>
      <c r="G4" s="3" t="str">
        <f>'Tabela de Jogos'!G4</f>
        <v>Coreia do Sul</v>
      </c>
      <c r="H4" s="3"/>
      <c r="I4" s="3">
        <f t="shared" ref="I4:J4" si="10">A4</f>
        <v>2</v>
      </c>
      <c r="J4" s="3" t="str">
        <f t="shared" si="10"/>
        <v>Coreia do Sul</v>
      </c>
      <c r="K4" s="3">
        <v>1</v>
      </c>
      <c r="L4" s="3" t="str">
        <f t="shared" si="2"/>
        <v>x</v>
      </c>
      <c r="M4" s="3">
        <v>2</v>
      </c>
      <c r="N4" s="3" t="str">
        <f t="shared" si="3"/>
        <v>Tchéquia</v>
      </c>
      <c r="O4" s="3" t="str">
        <f t="shared" si="4"/>
        <v>Tchéquia</v>
      </c>
      <c r="P4" s="3"/>
      <c r="Q4" s="3" t="b">
        <f t="shared" si="5"/>
        <v>0</v>
      </c>
      <c r="R4" s="3" t="b">
        <f t="shared" si="6"/>
        <v>0</v>
      </c>
      <c r="S4" s="3" t="b">
        <f t="shared" si="7"/>
        <v>0</v>
      </c>
      <c r="T4" s="3" t="b">
        <f t="shared" si="8"/>
        <v>0</v>
      </c>
      <c r="U4" s="3" t="b">
        <f t="shared" si="9"/>
        <v>1</v>
      </c>
      <c r="V4" s="3"/>
      <c r="W4" s="3" cm="1">
        <f t="array" ref="W4">IF(OR(J4="Brasil",N4="Brasil"),2*_xlfn.IFS(Q4=TRUE,6,R4=TRUE,4,AND(S4=TRUE,T4=FALSE),3,T4=TRUE,2,U4=TRUE,0),_xlfn.IFS(Q4=TRUE,6,R4=TRUE,4,AND(S4=TRUE,T4=FALSE),3,T4=TRUE,2,U4=TRUE,0))</f>
        <v>0</v>
      </c>
      <c r="X4" s="3"/>
      <c r="Y4" s="3"/>
    </row>
    <row r="5" spans="1:25" ht="14.25" customHeight="1" x14ac:dyDescent="0.3">
      <c r="A5" s="3">
        <f>'Tabela de Jogos'!A5</f>
        <v>3</v>
      </c>
      <c r="B5" s="3" t="str">
        <f>'Tabela de Jogos'!B5</f>
        <v>Canadá</v>
      </c>
      <c r="C5" s="3">
        <f>'Tabela de Jogos'!C5</f>
        <v>1</v>
      </c>
      <c r="D5" s="3" t="str">
        <f>'Tabela de Jogos'!D5</f>
        <v>x</v>
      </c>
      <c r="E5" s="3">
        <f>'Tabela de Jogos'!E5</f>
        <v>1</v>
      </c>
      <c r="F5" s="3" t="str">
        <f>'Tabela de Jogos'!F5</f>
        <v>Bósnia</v>
      </c>
      <c r="G5" s="3" t="str">
        <f>'Tabela de Jogos'!G5</f>
        <v>Empate</v>
      </c>
      <c r="H5" s="3"/>
      <c r="I5" s="3">
        <f t="shared" ref="I5:J5" si="11">A5</f>
        <v>3</v>
      </c>
      <c r="J5" s="3" t="str">
        <f t="shared" si="11"/>
        <v>Canadá</v>
      </c>
      <c r="K5" s="3">
        <v>0</v>
      </c>
      <c r="L5" s="3" t="str">
        <f t="shared" si="2"/>
        <v>x</v>
      </c>
      <c r="M5" s="3">
        <v>2</v>
      </c>
      <c r="N5" s="3" t="str">
        <f t="shared" si="3"/>
        <v>Bósnia</v>
      </c>
      <c r="O5" s="3" t="str">
        <f t="shared" si="4"/>
        <v>Bósnia</v>
      </c>
      <c r="P5" s="3"/>
      <c r="Q5" s="3" t="b">
        <f t="shared" si="5"/>
        <v>0</v>
      </c>
      <c r="R5" s="3" t="b">
        <f t="shared" si="6"/>
        <v>0</v>
      </c>
      <c r="S5" s="3" t="b">
        <f t="shared" si="7"/>
        <v>0</v>
      </c>
      <c r="T5" s="3" t="b">
        <f t="shared" si="8"/>
        <v>0</v>
      </c>
      <c r="U5" s="3" t="b">
        <f t="shared" si="9"/>
        <v>1</v>
      </c>
      <c r="V5" s="3"/>
      <c r="W5" s="3" cm="1">
        <f t="array" ref="W5">IF(OR(J5="Brasil",N5="Brasil"),2*_xlfn.IFS(Q5=TRUE,6,R5=TRUE,4,AND(S5=TRUE,T5=FALSE),3,T5=TRUE,2,U5=TRUE,0),_xlfn.IFS(Q5=TRUE,6,R5=TRUE,4,AND(S5=TRUE,T5=FALSE),3,T5=TRUE,2,U5=TRUE,0))</f>
        <v>0</v>
      </c>
      <c r="X5" s="3"/>
      <c r="Y5" s="3"/>
    </row>
    <row r="6" spans="1:25" ht="14.25" customHeight="1" x14ac:dyDescent="0.3">
      <c r="A6" s="3">
        <f>'Tabela de Jogos'!A6</f>
        <v>4</v>
      </c>
      <c r="B6" s="3" t="str">
        <f>'Tabela de Jogos'!B6</f>
        <v>EUA</v>
      </c>
      <c r="C6" s="3">
        <f>'Tabela de Jogos'!C6</f>
        <v>4</v>
      </c>
      <c r="D6" s="3" t="str">
        <f>'Tabela de Jogos'!D6</f>
        <v>x</v>
      </c>
      <c r="E6" s="3">
        <f>'Tabela de Jogos'!E6</f>
        <v>1</v>
      </c>
      <c r="F6" s="3" t="str">
        <f>'Tabela de Jogos'!F6</f>
        <v>Paraguai</v>
      </c>
      <c r="G6" s="3" t="str">
        <f>'Tabela de Jogos'!G6</f>
        <v>EUA</v>
      </c>
      <c r="H6" s="3"/>
      <c r="I6" s="3">
        <f t="shared" ref="I6:J6" si="12">A6</f>
        <v>4</v>
      </c>
      <c r="J6" s="3" t="str">
        <f t="shared" si="12"/>
        <v>EUA</v>
      </c>
      <c r="K6" s="3">
        <v>0</v>
      </c>
      <c r="L6" s="3" t="str">
        <f t="shared" si="2"/>
        <v>x</v>
      </c>
      <c r="M6" s="3">
        <v>1</v>
      </c>
      <c r="N6" s="3" t="str">
        <f t="shared" si="3"/>
        <v>Paraguai</v>
      </c>
      <c r="O6" s="3" t="str">
        <f t="shared" si="4"/>
        <v>Paraguai</v>
      </c>
      <c r="P6" s="3"/>
      <c r="Q6" s="3" t="b">
        <f t="shared" si="5"/>
        <v>0</v>
      </c>
      <c r="R6" s="3" t="b">
        <f t="shared" si="6"/>
        <v>0</v>
      </c>
      <c r="S6" s="3" t="b">
        <f t="shared" si="7"/>
        <v>0</v>
      </c>
      <c r="T6" s="3" t="b">
        <f t="shared" si="8"/>
        <v>0</v>
      </c>
      <c r="U6" s="3" t="b">
        <f t="shared" si="9"/>
        <v>1</v>
      </c>
      <c r="V6" s="3"/>
      <c r="W6" s="3" cm="1">
        <f t="array" ref="W6">IF(OR(J6="Brasil",N6="Brasil"),2*_xlfn.IFS(Q6=TRUE,6,R6=TRUE,4,AND(S6=TRUE,T6=FALSE),3,T6=TRUE,2,U6=TRUE,0),_xlfn.IFS(Q6=TRUE,6,R6=TRUE,4,AND(S6=TRUE,T6=FALSE),3,T6=TRUE,2,U6=TRUE,0))</f>
        <v>0</v>
      </c>
      <c r="X6" s="3"/>
      <c r="Y6" s="3"/>
    </row>
    <row r="7" spans="1:25" ht="14.25" customHeight="1" x14ac:dyDescent="0.3">
      <c r="A7" s="3">
        <f>'Tabela de Jogos'!A7</f>
        <v>5</v>
      </c>
      <c r="B7" s="3" t="str">
        <f>'Tabela de Jogos'!B7</f>
        <v>Catar</v>
      </c>
      <c r="C7" s="3">
        <f>'Tabela de Jogos'!C7</f>
        <v>1</v>
      </c>
      <c r="D7" s="3" t="str">
        <f>'Tabela de Jogos'!D7</f>
        <v>x</v>
      </c>
      <c r="E7" s="3">
        <f>'Tabela de Jogos'!E7</f>
        <v>1</v>
      </c>
      <c r="F7" s="3" t="str">
        <f>'Tabela de Jogos'!F7</f>
        <v>Suíça</v>
      </c>
      <c r="G7" s="3" t="str">
        <f>'Tabela de Jogos'!G7</f>
        <v>Empate</v>
      </c>
      <c r="H7" s="3"/>
      <c r="I7" s="3">
        <f t="shared" ref="I7:J7" si="13">A7</f>
        <v>5</v>
      </c>
      <c r="J7" s="3" t="str">
        <f t="shared" si="13"/>
        <v>Catar</v>
      </c>
      <c r="K7" s="3">
        <v>0</v>
      </c>
      <c r="L7" s="3" t="str">
        <f t="shared" si="2"/>
        <v>x</v>
      </c>
      <c r="M7" s="3">
        <v>2</v>
      </c>
      <c r="N7" s="3" t="str">
        <f t="shared" si="3"/>
        <v>Suíça</v>
      </c>
      <c r="O7" s="3" t="str">
        <f t="shared" si="4"/>
        <v>Suíça</v>
      </c>
      <c r="P7" s="3"/>
      <c r="Q7" s="3" t="b">
        <f t="shared" si="5"/>
        <v>0</v>
      </c>
      <c r="R7" s="3" t="b">
        <f t="shared" si="6"/>
        <v>0</v>
      </c>
      <c r="S7" s="3" t="b">
        <f t="shared" si="7"/>
        <v>0</v>
      </c>
      <c r="T7" s="3" t="b">
        <f t="shared" si="8"/>
        <v>0</v>
      </c>
      <c r="U7" s="3" t="b">
        <f t="shared" si="9"/>
        <v>1</v>
      </c>
      <c r="V7" s="3"/>
      <c r="W7" s="3" cm="1">
        <f t="array" ref="W7">IF(OR(J7="Brasil",N7="Brasil"),2*_xlfn.IFS(Q7=TRUE,6,R7=TRUE,4,AND(S7=TRUE,T7=FALSE),3,T7=TRUE,2,U7=TRUE,0),_xlfn.IFS(Q7=TRUE,6,R7=TRUE,4,AND(S7=TRUE,T7=FALSE),3,T7=TRUE,2,U7=TRUE,0))</f>
        <v>0</v>
      </c>
      <c r="X7" s="3"/>
      <c r="Y7" s="3"/>
    </row>
    <row r="8" spans="1:25" ht="14.25" customHeight="1" x14ac:dyDescent="0.3">
      <c r="A8" s="3">
        <f>'Tabela de Jogos'!A8</f>
        <v>6</v>
      </c>
      <c r="B8" s="3" t="str">
        <f>'Tabela de Jogos'!B8</f>
        <v>Brasil</v>
      </c>
      <c r="C8" s="3">
        <f>'Tabela de Jogos'!C8</f>
        <v>1</v>
      </c>
      <c r="D8" s="3" t="str">
        <f>'Tabela de Jogos'!D8</f>
        <v>x</v>
      </c>
      <c r="E8" s="3">
        <f>'Tabela de Jogos'!E8</f>
        <v>1</v>
      </c>
      <c r="F8" s="3" t="str">
        <f>'Tabela de Jogos'!F8</f>
        <v>Marrocos</v>
      </c>
      <c r="G8" s="3" t="str">
        <f>'Tabela de Jogos'!G8</f>
        <v>Empate</v>
      </c>
      <c r="H8" s="3"/>
      <c r="I8" s="3">
        <f t="shared" ref="I8:J8" si="14">A8</f>
        <v>6</v>
      </c>
      <c r="J8" s="3" t="str">
        <f t="shared" si="14"/>
        <v>Brasil</v>
      </c>
      <c r="K8" s="3">
        <v>2</v>
      </c>
      <c r="L8" s="3" t="str">
        <f t="shared" si="2"/>
        <v>x</v>
      </c>
      <c r="M8" s="3">
        <v>1</v>
      </c>
      <c r="N8" s="3" t="str">
        <f t="shared" si="3"/>
        <v>Marrocos</v>
      </c>
      <c r="O8" s="3" t="str">
        <f t="shared" si="4"/>
        <v>Brasil</v>
      </c>
      <c r="P8" s="3"/>
      <c r="Q8" s="3" t="b">
        <f t="shared" si="5"/>
        <v>0</v>
      </c>
      <c r="R8" s="3" t="b">
        <f t="shared" si="6"/>
        <v>0</v>
      </c>
      <c r="S8" s="3" t="b">
        <f t="shared" si="7"/>
        <v>0</v>
      </c>
      <c r="T8" s="3" t="b">
        <f t="shared" si="8"/>
        <v>0</v>
      </c>
      <c r="U8" s="3" t="b">
        <f t="shared" si="9"/>
        <v>1</v>
      </c>
      <c r="V8" s="3"/>
      <c r="W8" s="3" cm="1">
        <f t="array" ref="W8">IF(OR(J8="Brasil",N8="Brasil"),2*_xlfn.IFS(Q8=TRUE,6,R8=TRUE,4,AND(S8=TRUE,T8=FALSE),3,T8=TRUE,2,U8=TRUE,0),_xlfn.IFS(Q8=TRUE,6,R8=TRUE,4,AND(S8=TRUE,T8=FALSE),3,T8=TRUE,2,U8=TRUE,0))</f>
        <v>0</v>
      </c>
      <c r="X8" s="3"/>
      <c r="Y8" s="3"/>
    </row>
    <row r="9" spans="1:25" ht="14.25" customHeight="1" x14ac:dyDescent="0.3">
      <c r="A9" s="3">
        <f>'Tabela de Jogos'!A9</f>
        <v>7</v>
      </c>
      <c r="B9" s="3" t="str">
        <f>'Tabela de Jogos'!B9</f>
        <v>Haiti</v>
      </c>
      <c r="C9" s="3">
        <f>'Tabela de Jogos'!C9</f>
        <v>0</v>
      </c>
      <c r="D9" s="3" t="str">
        <f>'Tabela de Jogos'!D9</f>
        <v>x</v>
      </c>
      <c r="E9" s="3">
        <f>'Tabela de Jogos'!E9</f>
        <v>1</v>
      </c>
      <c r="F9" s="3" t="str">
        <f>'Tabela de Jogos'!F9</f>
        <v>Escócia</v>
      </c>
      <c r="G9" s="3" t="str">
        <f>'Tabela de Jogos'!G9</f>
        <v>Escócia</v>
      </c>
      <c r="H9" s="3"/>
      <c r="I9" s="3">
        <f t="shared" ref="I9:J9" si="15">A9</f>
        <v>7</v>
      </c>
      <c r="J9" s="3" t="str">
        <f t="shared" si="15"/>
        <v>Haiti</v>
      </c>
      <c r="K9" s="3">
        <v>0</v>
      </c>
      <c r="L9" s="3" t="str">
        <f t="shared" si="2"/>
        <v>x</v>
      </c>
      <c r="M9" s="3">
        <v>3</v>
      </c>
      <c r="N9" s="3" t="str">
        <f t="shared" si="3"/>
        <v>Escócia</v>
      </c>
      <c r="O9" s="3" t="str">
        <f t="shared" si="4"/>
        <v>Escócia</v>
      </c>
      <c r="P9" s="3"/>
      <c r="Q9" s="3" t="b">
        <f t="shared" si="5"/>
        <v>0</v>
      </c>
      <c r="R9" s="3" t="b">
        <f t="shared" si="6"/>
        <v>0</v>
      </c>
      <c r="S9" s="3" t="b">
        <f t="shared" si="7"/>
        <v>0</v>
      </c>
      <c r="T9" s="3" t="b">
        <f t="shared" si="8"/>
        <v>1</v>
      </c>
      <c r="U9" s="3" t="b">
        <f t="shared" si="9"/>
        <v>0</v>
      </c>
      <c r="V9" s="3"/>
      <c r="W9" s="3" cm="1">
        <f t="array" ref="W9">IF(OR(J9="Brasil",N9="Brasil"),2*_xlfn.IFS(Q9=TRUE,6,R9=TRUE,4,AND(S9=TRUE,T9=FALSE),3,T9=TRUE,2,U9=TRUE,0),_xlfn.IFS(Q9=TRUE,6,R9=TRUE,4,AND(S9=TRUE,T9=FALSE),3,T9=TRUE,2,U9=TRUE,0))</f>
        <v>2</v>
      </c>
      <c r="X9" s="3"/>
      <c r="Y9" s="3"/>
    </row>
    <row r="10" spans="1:25" ht="14.25" customHeight="1" x14ac:dyDescent="0.3">
      <c r="A10" s="3">
        <f>'Tabela de Jogos'!A10</f>
        <v>8</v>
      </c>
      <c r="B10" s="3" t="str">
        <f>'Tabela de Jogos'!B10</f>
        <v>Austrália</v>
      </c>
      <c r="C10" s="3">
        <f>'Tabela de Jogos'!C10</f>
        <v>2</v>
      </c>
      <c r="D10" s="3" t="str">
        <f>'Tabela de Jogos'!D10</f>
        <v>x</v>
      </c>
      <c r="E10" s="3">
        <f>'Tabela de Jogos'!E10</f>
        <v>0</v>
      </c>
      <c r="F10" s="3" t="str">
        <f>'Tabela de Jogos'!F10</f>
        <v>Turquia</v>
      </c>
      <c r="G10" s="3" t="str">
        <f>'Tabela de Jogos'!G10</f>
        <v>Austrália</v>
      </c>
      <c r="H10" s="3"/>
      <c r="I10" s="3">
        <f t="shared" ref="I10:J10" si="16">A10</f>
        <v>8</v>
      </c>
      <c r="J10" s="3" t="str">
        <f t="shared" si="16"/>
        <v>Austrália</v>
      </c>
      <c r="K10" s="3">
        <v>0</v>
      </c>
      <c r="L10" s="3" t="str">
        <f t="shared" si="2"/>
        <v>x</v>
      </c>
      <c r="M10" s="3">
        <v>1</v>
      </c>
      <c r="N10" s="3" t="str">
        <f t="shared" si="3"/>
        <v>Turquia</v>
      </c>
      <c r="O10" s="3" t="str">
        <f t="shared" si="4"/>
        <v>Turquia</v>
      </c>
      <c r="P10" s="3"/>
      <c r="Q10" s="3" t="b">
        <f t="shared" si="5"/>
        <v>0</v>
      </c>
      <c r="R10" s="3" t="b">
        <f t="shared" si="6"/>
        <v>0</v>
      </c>
      <c r="S10" s="3" t="b">
        <f t="shared" si="7"/>
        <v>0</v>
      </c>
      <c r="T10" s="3" t="b">
        <f t="shared" si="8"/>
        <v>0</v>
      </c>
      <c r="U10" s="3" t="b">
        <f t="shared" si="9"/>
        <v>1</v>
      </c>
      <c r="V10" s="3"/>
      <c r="W10" s="3" cm="1">
        <f t="array" ref="W10">IF(OR(J10="Brasil",N10="Brasil"),2*_xlfn.IFS(Q10=TRUE,6,R10=TRUE,4,AND(S10=TRUE,T10=FALSE),3,T10=TRUE,2,U10=TRUE,0),_xlfn.IFS(Q10=TRUE,6,R10=TRUE,4,AND(S10=TRUE,T10=FALSE),3,T10=TRUE,2,U10=TRUE,0))</f>
        <v>0</v>
      </c>
      <c r="X10" s="3"/>
      <c r="Y10" s="3"/>
    </row>
    <row r="11" spans="1:25" ht="14.25" customHeight="1" x14ac:dyDescent="0.3">
      <c r="A11" s="3">
        <f>'Tabela de Jogos'!A11</f>
        <v>9</v>
      </c>
      <c r="B11" s="3" t="str">
        <f>'Tabela de Jogos'!B11</f>
        <v>Alemanha</v>
      </c>
      <c r="C11" s="3">
        <f>'Tabela de Jogos'!C11</f>
        <v>7</v>
      </c>
      <c r="D11" s="3" t="str">
        <f>'Tabela de Jogos'!D11</f>
        <v>x</v>
      </c>
      <c r="E11" s="3">
        <f>'Tabela de Jogos'!E11</f>
        <v>1</v>
      </c>
      <c r="F11" s="3" t="str">
        <f>'Tabela de Jogos'!F11</f>
        <v>Curaçao</v>
      </c>
      <c r="G11" s="3" t="str">
        <f>'Tabela de Jogos'!G11</f>
        <v>Alemanha</v>
      </c>
      <c r="H11" s="3"/>
      <c r="I11" s="3">
        <f t="shared" ref="I11:J11" si="17">A11</f>
        <v>9</v>
      </c>
      <c r="J11" s="3" t="str">
        <f t="shared" si="17"/>
        <v>Alemanha</v>
      </c>
      <c r="K11" s="3">
        <v>3</v>
      </c>
      <c r="L11" s="3" t="str">
        <f t="shared" si="2"/>
        <v>x</v>
      </c>
      <c r="M11" s="3">
        <v>0</v>
      </c>
      <c r="N11" s="3" t="str">
        <f t="shared" si="3"/>
        <v>Curaçao</v>
      </c>
      <c r="O11" s="3" t="str">
        <f t="shared" si="4"/>
        <v>Alemanha</v>
      </c>
      <c r="P11" s="3"/>
      <c r="Q11" s="3" t="b">
        <f t="shared" si="5"/>
        <v>0</v>
      </c>
      <c r="R11" s="3" t="b">
        <f t="shared" si="6"/>
        <v>0</v>
      </c>
      <c r="S11" s="3" t="b">
        <f t="shared" si="7"/>
        <v>0</v>
      </c>
      <c r="T11" s="3" t="b">
        <f t="shared" si="8"/>
        <v>1</v>
      </c>
      <c r="U11" s="3" t="b">
        <f t="shared" si="9"/>
        <v>0</v>
      </c>
      <c r="V11" s="3"/>
      <c r="W11" s="3" cm="1">
        <f t="array" ref="W11">IF(OR(J11="Brasil",N11="Brasil"),2*_xlfn.IFS(Q11=TRUE,6,R11=TRUE,4,AND(S11=TRUE,T11=FALSE),3,T11=TRUE,2,U11=TRUE,0),_xlfn.IFS(Q11=TRUE,6,R11=TRUE,4,AND(S11=TRUE,T11=FALSE),3,T11=TRUE,2,U11=TRUE,0))</f>
        <v>2</v>
      </c>
      <c r="X11" s="3"/>
      <c r="Y11" s="3"/>
    </row>
    <row r="12" spans="1:25" ht="14.25" customHeight="1" x14ac:dyDescent="0.3">
      <c r="A12" s="3">
        <f>'Tabela de Jogos'!A12</f>
        <v>10</v>
      </c>
      <c r="B12" s="3" t="str">
        <f>'Tabela de Jogos'!B12</f>
        <v>Holanda</v>
      </c>
      <c r="C12" s="3">
        <f>'Tabela de Jogos'!C12</f>
        <v>2</v>
      </c>
      <c r="D12" s="3" t="str">
        <f>'Tabela de Jogos'!D12</f>
        <v>x</v>
      </c>
      <c r="E12" s="3">
        <f>'Tabela de Jogos'!E12</f>
        <v>2</v>
      </c>
      <c r="F12" s="3" t="str">
        <f>'Tabela de Jogos'!F12</f>
        <v>Japão</v>
      </c>
      <c r="G12" s="3" t="str">
        <f>'Tabela de Jogos'!G12</f>
        <v>Empate</v>
      </c>
      <c r="H12" s="3"/>
      <c r="I12" s="3">
        <f t="shared" ref="I12:J12" si="18">A12</f>
        <v>10</v>
      </c>
      <c r="J12" s="3" t="str">
        <f t="shared" si="18"/>
        <v>Holanda</v>
      </c>
      <c r="K12" s="3">
        <v>0</v>
      </c>
      <c r="L12" s="3" t="str">
        <f t="shared" si="2"/>
        <v>x</v>
      </c>
      <c r="M12" s="3">
        <v>2</v>
      </c>
      <c r="N12" s="3" t="str">
        <f t="shared" si="3"/>
        <v>Japão</v>
      </c>
      <c r="O12" s="3" t="str">
        <f t="shared" si="4"/>
        <v>Japão</v>
      </c>
      <c r="P12" s="3"/>
      <c r="Q12" s="3" t="b">
        <f t="shared" si="5"/>
        <v>0</v>
      </c>
      <c r="R12" s="3" t="b">
        <f t="shared" si="6"/>
        <v>0</v>
      </c>
      <c r="S12" s="3" t="b">
        <f t="shared" si="7"/>
        <v>0</v>
      </c>
      <c r="T12" s="3" t="b">
        <f t="shared" si="8"/>
        <v>0</v>
      </c>
      <c r="U12" s="3" t="b">
        <f t="shared" si="9"/>
        <v>1</v>
      </c>
      <c r="V12" s="3"/>
      <c r="W12" s="3" cm="1">
        <f t="array" ref="W12">IF(OR(J12="Brasil",N12="Brasil"),2*_xlfn.IFS(Q12=TRUE,6,R12=TRUE,4,AND(S12=TRUE,T12=FALSE),3,T12=TRUE,2,U12=TRUE,0),_xlfn.IFS(Q12=TRUE,6,R12=TRUE,4,AND(S12=TRUE,T12=FALSE),3,T12=TRUE,2,U12=TRUE,0))</f>
        <v>0</v>
      </c>
      <c r="X12" s="3"/>
      <c r="Y12" s="3"/>
    </row>
    <row r="13" spans="1:25" ht="14.25" customHeight="1" x14ac:dyDescent="0.3">
      <c r="A13" s="3">
        <f>'Tabela de Jogos'!A13</f>
        <v>11</v>
      </c>
      <c r="B13" s="3" t="str">
        <f>'Tabela de Jogos'!B13</f>
        <v>Costa do Marfim</v>
      </c>
      <c r="C13" s="3">
        <f>'Tabela de Jogos'!C13</f>
        <v>1</v>
      </c>
      <c r="D13" s="3" t="str">
        <f>'Tabela de Jogos'!D13</f>
        <v>x</v>
      </c>
      <c r="E13" s="3">
        <f>'Tabela de Jogos'!E13</f>
        <v>0</v>
      </c>
      <c r="F13" s="3" t="str">
        <f>'Tabela de Jogos'!F13</f>
        <v>Equador</v>
      </c>
      <c r="G13" s="3" t="str">
        <f>'Tabela de Jogos'!G13</f>
        <v>Costa do Marfim</v>
      </c>
      <c r="H13" s="3"/>
      <c r="I13" s="3">
        <f t="shared" ref="I13:J13" si="19">A13</f>
        <v>11</v>
      </c>
      <c r="J13" s="3" t="str">
        <f t="shared" si="19"/>
        <v>Costa do Marfim</v>
      </c>
      <c r="K13" s="3">
        <v>0</v>
      </c>
      <c r="L13" s="3" t="str">
        <f t="shared" si="2"/>
        <v>x</v>
      </c>
      <c r="M13" s="3">
        <v>1</v>
      </c>
      <c r="N13" s="3" t="str">
        <f t="shared" si="3"/>
        <v>Equador</v>
      </c>
      <c r="O13" s="3" t="str">
        <f t="shared" si="4"/>
        <v>Equador</v>
      </c>
      <c r="P13" s="3"/>
      <c r="Q13" s="3" t="b">
        <f t="shared" si="5"/>
        <v>0</v>
      </c>
      <c r="R13" s="3" t="b">
        <f t="shared" si="6"/>
        <v>0</v>
      </c>
      <c r="S13" s="3" t="b">
        <f t="shared" si="7"/>
        <v>0</v>
      </c>
      <c r="T13" s="3" t="b">
        <f t="shared" si="8"/>
        <v>0</v>
      </c>
      <c r="U13" s="3" t="b">
        <f t="shared" si="9"/>
        <v>1</v>
      </c>
      <c r="V13" s="3"/>
      <c r="W13" s="3" cm="1">
        <f t="array" ref="W13">IF(OR(J13="Brasil",N13="Brasil"),2*_xlfn.IFS(Q13=TRUE,6,R13=TRUE,4,AND(S13=TRUE,T13=FALSE),3,T13=TRUE,2,U13=TRUE,0),_xlfn.IFS(Q13=TRUE,6,R13=TRUE,4,AND(S13=TRUE,T13=FALSE),3,T13=TRUE,2,U13=TRUE,0))</f>
        <v>0</v>
      </c>
      <c r="X13" s="3"/>
      <c r="Y13" s="3"/>
    </row>
    <row r="14" spans="1:25" ht="14.25" customHeight="1" x14ac:dyDescent="0.3">
      <c r="A14" s="3">
        <f>'Tabela de Jogos'!A14</f>
        <v>12</v>
      </c>
      <c r="B14" s="3" t="str">
        <f>'Tabela de Jogos'!B14</f>
        <v>Suécia</v>
      </c>
      <c r="C14" s="3">
        <f>'Tabela de Jogos'!C14</f>
        <v>5</v>
      </c>
      <c r="D14" s="3" t="str">
        <f>'Tabela de Jogos'!D14</f>
        <v>x</v>
      </c>
      <c r="E14" s="3">
        <f>'Tabela de Jogos'!E14</f>
        <v>1</v>
      </c>
      <c r="F14" s="3" t="str">
        <f>'Tabela de Jogos'!F14</f>
        <v>Tunísia</v>
      </c>
      <c r="G14" s="3" t="str">
        <f>'Tabela de Jogos'!G14</f>
        <v>Suécia</v>
      </c>
      <c r="H14" s="3"/>
      <c r="I14" s="3">
        <f t="shared" ref="I14:J14" si="20">A14</f>
        <v>12</v>
      </c>
      <c r="J14" s="3" t="str">
        <f t="shared" si="20"/>
        <v>Suécia</v>
      </c>
      <c r="K14" s="3">
        <v>0</v>
      </c>
      <c r="L14" s="3" t="str">
        <f t="shared" si="2"/>
        <v>x</v>
      </c>
      <c r="M14" s="3">
        <v>1</v>
      </c>
      <c r="N14" s="3" t="str">
        <f t="shared" si="3"/>
        <v>Tunísia</v>
      </c>
      <c r="O14" s="3" t="str">
        <f t="shared" si="4"/>
        <v>Tunísia</v>
      </c>
      <c r="P14" s="3"/>
      <c r="Q14" s="3" t="b">
        <f t="shared" si="5"/>
        <v>0</v>
      </c>
      <c r="R14" s="3" t="b">
        <f t="shared" si="6"/>
        <v>0</v>
      </c>
      <c r="S14" s="3" t="b">
        <f t="shared" si="7"/>
        <v>0</v>
      </c>
      <c r="T14" s="3" t="b">
        <f t="shared" si="8"/>
        <v>0</v>
      </c>
      <c r="U14" s="3" t="b">
        <f t="shared" si="9"/>
        <v>1</v>
      </c>
      <c r="V14" s="3"/>
      <c r="W14" s="3" cm="1">
        <f t="array" ref="W14">IF(OR(J14="Brasil",N14="Brasil"),2*_xlfn.IFS(Q14=TRUE,6,R14=TRUE,4,AND(S14=TRUE,T14=FALSE),3,T14=TRUE,2,U14=TRUE,0),_xlfn.IFS(Q14=TRUE,6,R14=TRUE,4,AND(S14=TRUE,T14=FALSE),3,T14=TRUE,2,U14=TRUE,0))</f>
        <v>0</v>
      </c>
      <c r="X14" s="3"/>
      <c r="Y14" s="3"/>
    </row>
    <row r="15" spans="1:25" ht="14.25" customHeight="1" x14ac:dyDescent="0.3">
      <c r="A15" s="3">
        <f>'Tabela de Jogos'!A15</f>
        <v>13</v>
      </c>
      <c r="B15" s="3" t="str">
        <f>'Tabela de Jogos'!B15</f>
        <v>Espanha</v>
      </c>
      <c r="C15" s="3">
        <f>'Tabela de Jogos'!C15</f>
        <v>0</v>
      </c>
      <c r="D15" s="3" t="str">
        <f>'Tabela de Jogos'!D15</f>
        <v>x</v>
      </c>
      <c r="E15" s="3">
        <f>'Tabela de Jogos'!E15</f>
        <v>0</v>
      </c>
      <c r="F15" s="3" t="str">
        <f>'Tabela de Jogos'!F15</f>
        <v>Cabo Verde</v>
      </c>
      <c r="G15" s="3" t="str">
        <f>'Tabela de Jogos'!G15</f>
        <v>Empate</v>
      </c>
      <c r="H15" s="3"/>
      <c r="I15" s="3">
        <f t="shared" ref="I15:J15" si="21">A15</f>
        <v>13</v>
      </c>
      <c r="J15" s="3" t="str">
        <f t="shared" si="21"/>
        <v>Espanha</v>
      </c>
      <c r="K15" s="3">
        <v>4</v>
      </c>
      <c r="L15" s="3" t="str">
        <f t="shared" si="2"/>
        <v>x</v>
      </c>
      <c r="M15" s="3">
        <v>0</v>
      </c>
      <c r="N15" s="3" t="str">
        <f t="shared" si="3"/>
        <v>Cabo Verde</v>
      </c>
      <c r="O15" s="3" t="str">
        <f t="shared" si="4"/>
        <v>Espanha</v>
      </c>
      <c r="P15" s="3"/>
      <c r="Q15" s="3" t="b">
        <f t="shared" si="5"/>
        <v>0</v>
      </c>
      <c r="R15" s="3" t="b">
        <f t="shared" si="6"/>
        <v>0</v>
      </c>
      <c r="S15" s="3" t="b">
        <f t="shared" si="7"/>
        <v>0</v>
      </c>
      <c r="T15" s="3" t="b">
        <f t="shared" si="8"/>
        <v>0</v>
      </c>
      <c r="U15" s="3" t="b">
        <f t="shared" si="9"/>
        <v>1</v>
      </c>
      <c r="V15" s="3"/>
      <c r="W15" s="3" cm="1">
        <f t="array" ref="W15">IF(OR(J15="Brasil",N15="Brasil"),2*_xlfn.IFS(Q15=TRUE,6,R15=TRUE,4,AND(S15=TRUE,T15=FALSE),3,T15=TRUE,2,U15=TRUE,0),_xlfn.IFS(Q15=TRUE,6,R15=TRUE,4,AND(S15=TRUE,T15=FALSE),3,T15=TRUE,2,U15=TRUE,0))</f>
        <v>0</v>
      </c>
      <c r="X15" s="3"/>
      <c r="Y15" s="3"/>
    </row>
    <row r="16" spans="1:25" ht="14.25" customHeight="1" x14ac:dyDescent="0.3">
      <c r="A16" s="3">
        <f>'Tabela de Jogos'!A16</f>
        <v>14</v>
      </c>
      <c r="B16" s="3" t="str">
        <f>'Tabela de Jogos'!B16</f>
        <v>Bélgica</v>
      </c>
      <c r="C16" s="3">
        <f>'Tabela de Jogos'!C16</f>
        <v>1</v>
      </c>
      <c r="D16" s="3" t="str">
        <f>'Tabela de Jogos'!D16</f>
        <v>x</v>
      </c>
      <c r="E16" s="3">
        <f>'Tabela de Jogos'!E16</f>
        <v>1</v>
      </c>
      <c r="F16" s="3" t="str">
        <f>'Tabela de Jogos'!F16</f>
        <v>Egito</v>
      </c>
      <c r="G16" s="3" t="str">
        <f>'Tabela de Jogos'!G16</f>
        <v>Empate</v>
      </c>
      <c r="H16" s="3"/>
      <c r="I16" s="3">
        <f t="shared" ref="I16:J16" si="22">A16</f>
        <v>14</v>
      </c>
      <c r="J16" s="3" t="str">
        <f t="shared" si="22"/>
        <v>Bélgica</v>
      </c>
      <c r="K16" s="3">
        <v>2</v>
      </c>
      <c r="L16" s="3" t="str">
        <f t="shared" si="2"/>
        <v>x</v>
      </c>
      <c r="M16" s="3">
        <v>0</v>
      </c>
      <c r="N16" s="3" t="str">
        <f t="shared" si="3"/>
        <v>Egito</v>
      </c>
      <c r="O16" s="3" t="str">
        <f t="shared" si="4"/>
        <v>Bélgica</v>
      </c>
      <c r="P16" s="3"/>
      <c r="Q16" s="3" t="b">
        <f t="shared" si="5"/>
        <v>0</v>
      </c>
      <c r="R16" s="3" t="b">
        <f t="shared" si="6"/>
        <v>0</v>
      </c>
      <c r="S16" s="3" t="b">
        <f t="shared" si="7"/>
        <v>0</v>
      </c>
      <c r="T16" s="3" t="b">
        <f t="shared" si="8"/>
        <v>0</v>
      </c>
      <c r="U16" s="3" t="b">
        <f t="shared" si="9"/>
        <v>1</v>
      </c>
      <c r="V16" s="3"/>
      <c r="W16" s="3" cm="1">
        <f t="array" ref="W16">IF(OR(J16="Brasil",N16="Brasil"),2*_xlfn.IFS(Q16=TRUE,6,R16=TRUE,4,AND(S16=TRUE,T16=FALSE),3,T16=TRUE,2,U16=TRUE,0),_xlfn.IFS(Q16=TRUE,6,R16=TRUE,4,AND(S16=TRUE,T16=FALSE),3,T16=TRUE,2,U16=TRUE,0))</f>
        <v>0</v>
      </c>
      <c r="X16" s="3"/>
      <c r="Y16" s="3"/>
    </row>
    <row r="17" spans="1:25" ht="14.25" customHeight="1" x14ac:dyDescent="0.3">
      <c r="A17" s="3">
        <f>'Tabela de Jogos'!A17</f>
        <v>15</v>
      </c>
      <c r="B17" s="3" t="str">
        <f>'Tabela de Jogos'!B17</f>
        <v>Arábia Saudita</v>
      </c>
      <c r="C17" s="3">
        <f>'Tabela de Jogos'!C17</f>
        <v>1</v>
      </c>
      <c r="D17" s="3" t="str">
        <f>'Tabela de Jogos'!D17</f>
        <v>x</v>
      </c>
      <c r="E17" s="3">
        <f>'Tabela de Jogos'!E17</f>
        <v>1</v>
      </c>
      <c r="F17" s="3" t="str">
        <f>'Tabela de Jogos'!F17</f>
        <v>Uruguai</v>
      </c>
      <c r="G17" s="3" t="str">
        <f>'Tabela de Jogos'!G17</f>
        <v>Empate</v>
      </c>
      <c r="H17" s="3"/>
      <c r="I17" s="3">
        <f t="shared" ref="I17:J17" si="23">A17</f>
        <v>15</v>
      </c>
      <c r="J17" s="3" t="str">
        <f t="shared" si="23"/>
        <v>Arábia Saudita</v>
      </c>
      <c r="K17" s="3">
        <v>0</v>
      </c>
      <c r="L17" s="3" t="str">
        <f t="shared" si="2"/>
        <v>x</v>
      </c>
      <c r="M17" s="3">
        <v>2</v>
      </c>
      <c r="N17" s="3" t="str">
        <f t="shared" si="3"/>
        <v>Uruguai</v>
      </c>
      <c r="O17" s="3" t="str">
        <f t="shared" si="4"/>
        <v>Uruguai</v>
      </c>
      <c r="P17" s="3"/>
      <c r="Q17" s="3" t="b">
        <f t="shared" si="5"/>
        <v>0</v>
      </c>
      <c r="R17" s="3" t="b">
        <f t="shared" si="6"/>
        <v>0</v>
      </c>
      <c r="S17" s="3" t="b">
        <f t="shared" si="7"/>
        <v>0</v>
      </c>
      <c r="T17" s="3" t="b">
        <f t="shared" si="8"/>
        <v>0</v>
      </c>
      <c r="U17" s="3" t="b">
        <f t="shared" si="9"/>
        <v>1</v>
      </c>
      <c r="V17" s="3"/>
      <c r="W17" s="3" cm="1">
        <f t="array" ref="W17">IF(OR(J17="Brasil",N17="Brasil"),2*_xlfn.IFS(Q17=TRUE,6,R17=TRUE,4,AND(S17=TRUE,T17=FALSE),3,T17=TRUE,2,U17=TRUE,0),_xlfn.IFS(Q17=TRUE,6,R17=TRUE,4,AND(S17=TRUE,T17=FALSE),3,T17=TRUE,2,U17=TRUE,0))</f>
        <v>0</v>
      </c>
      <c r="X17" s="3"/>
      <c r="Y17" s="3"/>
    </row>
    <row r="18" spans="1:25" ht="14.25" customHeight="1" x14ac:dyDescent="0.3">
      <c r="A18" s="3">
        <f>'Tabela de Jogos'!A18</f>
        <v>16</v>
      </c>
      <c r="B18" s="3" t="str">
        <f>'Tabela de Jogos'!B18</f>
        <v>Irã</v>
      </c>
      <c r="C18" s="3">
        <f>'Tabela de Jogos'!C18</f>
        <v>2</v>
      </c>
      <c r="D18" s="3" t="str">
        <f>'Tabela de Jogos'!D18</f>
        <v>x</v>
      </c>
      <c r="E18" s="3">
        <f>'Tabela de Jogos'!E18</f>
        <v>2</v>
      </c>
      <c r="F18" s="3" t="str">
        <f>'Tabela de Jogos'!F18</f>
        <v>Nova Zelândia</v>
      </c>
      <c r="G18" s="3" t="str">
        <f>'Tabela de Jogos'!G18</f>
        <v>Empate</v>
      </c>
      <c r="H18" s="3"/>
      <c r="I18" s="3">
        <f t="shared" ref="I18:J18" si="24">A18</f>
        <v>16</v>
      </c>
      <c r="J18" s="3" t="str">
        <f t="shared" si="24"/>
        <v>Irã</v>
      </c>
      <c r="K18" s="3">
        <v>2</v>
      </c>
      <c r="L18" s="3" t="str">
        <f t="shared" si="2"/>
        <v>x</v>
      </c>
      <c r="M18" s="3">
        <v>0</v>
      </c>
      <c r="N18" s="3" t="str">
        <f t="shared" si="3"/>
        <v>Nova Zelândia</v>
      </c>
      <c r="O18" s="3" t="str">
        <f t="shared" si="4"/>
        <v>Irã</v>
      </c>
      <c r="P18" s="3"/>
      <c r="Q18" s="3" t="b">
        <f t="shared" si="5"/>
        <v>0</v>
      </c>
      <c r="R18" s="3" t="b">
        <f t="shared" si="6"/>
        <v>0</v>
      </c>
      <c r="S18" s="3" t="b">
        <f t="shared" si="7"/>
        <v>0</v>
      </c>
      <c r="T18" s="3" t="b">
        <f t="shared" si="8"/>
        <v>0</v>
      </c>
      <c r="U18" s="3" t="b">
        <f t="shared" si="9"/>
        <v>1</v>
      </c>
      <c r="V18" s="3"/>
      <c r="W18" s="3" cm="1">
        <f t="array" ref="W18">IF(OR(J18="Brasil",N18="Brasil"),2*_xlfn.IFS(Q18=TRUE,6,R18=TRUE,4,AND(S18=TRUE,T18=FALSE),3,T18=TRUE,2,U18=TRUE,0),_xlfn.IFS(Q18=TRUE,6,R18=TRUE,4,AND(S18=TRUE,T18=FALSE),3,T18=TRUE,2,U18=TRUE,0))</f>
        <v>0</v>
      </c>
      <c r="X18" s="3"/>
      <c r="Y18" s="3"/>
    </row>
    <row r="19" spans="1:25" ht="14.25" customHeight="1" x14ac:dyDescent="0.3">
      <c r="A19" s="3">
        <f>'Tabela de Jogos'!A19</f>
        <v>17</v>
      </c>
      <c r="B19" s="3" t="str">
        <f>'Tabela de Jogos'!B19</f>
        <v>França</v>
      </c>
      <c r="C19" s="3">
        <f>'Tabela de Jogos'!C19</f>
        <v>3</v>
      </c>
      <c r="D19" s="3" t="str">
        <f>'Tabela de Jogos'!D19</f>
        <v>x</v>
      </c>
      <c r="E19" s="3">
        <f>'Tabela de Jogos'!E19</f>
        <v>1</v>
      </c>
      <c r="F19" s="3" t="str">
        <f>'Tabela de Jogos'!F19</f>
        <v>Senegal</v>
      </c>
      <c r="G19" s="3" t="str">
        <f>'Tabela de Jogos'!G19</f>
        <v>França</v>
      </c>
      <c r="H19" s="3"/>
      <c r="I19" s="3">
        <f t="shared" ref="I19:J19" si="25">A19</f>
        <v>17</v>
      </c>
      <c r="J19" s="3" t="str">
        <f t="shared" si="25"/>
        <v>França</v>
      </c>
      <c r="K19" s="3">
        <v>2</v>
      </c>
      <c r="L19" s="3" t="str">
        <f t="shared" si="2"/>
        <v>x</v>
      </c>
      <c r="M19" s="3">
        <v>1</v>
      </c>
      <c r="N19" s="3" t="str">
        <f t="shared" si="3"/>
        <v>Senegal</v>
      </c>
      <c r="O19" s="3" t="str">
        <f t="shared" si="4"/>
        <v>França</v>
      </c>
      <c r="P19" s="3"/>
      <c r="Q19" s="3" t="b">
        <f t="shared" si="5"/>
        <v>0</v>
      </c>
      <c r="R19" s="3" t="b">
        <f t="shared" si="6"/>
        <v>0</v>
      </c>
      <c r="S19" s="3" t="b">
        <f t="shared" si="7"/>
        <v>0</v>
      </c>
      <c r="T19" s="3" t="b">
        <f t="shared" si="8"/>
        <v>1</v>
      </c>
      <c r="U19" s="3" t="b">
        <f t="shared" si="9"/>
        <v>0</v>
      </c>
      <c r="V19" s="3"/>
      <c r="W19" s="3" cm="1">
        <f t="array" ref="W19">IF(OR(J19="Brasil",N19="Brasil"),2*_xlfn.IFS(Q19=TRUE,6,R19=TRUE,4,AND(S19=TRUE,T19=FALSE),3,T19=TRUE,2,U19=TRUE,0),_xlfn.IFS(Q19=TRUE,6,R19=TRUE,4,AND(S19=TRUE,T19=FALSE),3,T19=TRUE,2,U19=TRUE,0))</f>
        <v>2</v>
      </c>
      <c r="X19" s="3"/>
      <c r="Y19" s="3"/>
    </row>
    <row r="20" spans="1:25" ht="14.25" customHeight="1" x14ac:dyDescent="0.3">
      <c r="A20" s="3">
        <f>'Tabela de Jogos'!A20</f>
        <v>18</v>
      </c>
      <c r="B20" s="3" t="str">
        <f>'Tabela de Jogos'!B20</f>
        <v>Iraque</v>
      </c>
      <c r="C20" s="3">
        <f>'Tabela de Jogos'!C20</f>
        <v>1</v>
      </c>
      <c r="D20" s="3" t="str">
        <f>'Tabela de Jogos'!D20</f>
        <v>x</v>
      </c>
      <c r="E20" s="3">
        <f>'Tabela de Jogos'!E20</f>
        <v>4</v>
      </c>
      <c r="F20" s="3" t="str">
        <f>'Tabela de Jogos'!F20</f>
        <v>Noruega</v>
      </c>
      <c r="G20" s="3" t="str">
        <f>'Tabela de Jogos'!G20</f>
        <v>Noruega</v>
      </c>
      <c r="H20" s="3"/>
      <c r="I20" s="3">
        <f t="shared" ref="I20:J20" si="26">A20</f>
        <v>18</v>
      </c>
      <c r="J20" s="3" t="str">
        <f t="shared" si="26"/>
        <v>Iraque</v>
      </c>
      <c r="K20" s="3">
        <v>0</v>
      </c>
      <c r="L20" s="3" t="str">
        <f t="shared" si="2"/>
        <v>x</v>
      </c>
      <c r="M20" s="3">
        <v>3</v>
      </c>
      <c r="N20" s="3" t="str">
        <f t="shared" si="3"/>
        <v>Noruega</v>
      </c>
      <c r="O20" s="3" t="str">
        <f t="shared" si="4"/>
        <v>Noruega</v>
      </c>
      <c r="P20" s="3"/>
      <c r="Q20" s="3" t="b">
        <f t="shared" si="5"/>
        <v>0</v>
      </c>
      <c r="R20" s="3" t="b">
        <f t="shared" si="6"/>
        <v>0</v>
      </c>
      <c r="S20" s="3" t="b">
        <f t="shared" si="7"/>
        <v>1</v>
      </c>
      <c r="T20" s="3" t="b">
        <f t="shared" si="8"/>
        <v>0</v>
      </c>
      <c r="U20" s="3" t="b">
        <f t="shared" si="9"/>
        <v>0</v>
      </c>
      <c r="V20" s="3"/>
      <c r="W20" s="3" cm="1">
        <f t="array" ref="W20">IF(OR(J20="Brasil",N20="Brasil"),2*_xlfn.IFS(Q20=TRUE,6,R20=TRUE,4,AND(S20=TRUE,T20=FALSE),3,T20=TRUE,2,U20=TRUE,0),_xlfn.IFS(Q20=TRUE,6,R20=TRUE,4,AND(S20=TRUE,T20=FALSE),3,T20=TRUE,2,U20=TRUE,0))</f>
        <v>3</v>
      </c>
      <c r="X20" s="3"/>
      <c r="Y20" s="3"/>
    </row>
    <row r="21" spans="1:25" ht="14.25" customHeight="1" x14ac:dyDescent="0.3">
      <c r="A21" s="3">
        <f>'Tabela de Jogos'!A21</f>
        <v>19</v>
      </c>
      <c r="B21" s="3" t="str">
        <f>'Tabela de Jogos'!B21</f>
        <v>Argentina</v>
      </c>
      <c r="C21" s="3">
        <f>'Tabela de Jogos'!C21</f>
        <v>3</v>
      </c>
      <c r="D21" s="3" t="str">
        <f>'Tabela de Jogos'!D21</f>
        <v>x</v>
      </c>
      <c r="E21" s="3">
        <f>'Tabela de Jogos'!E21</f>
        <v>0</v>
      </c>
      <c r="F21" s="3" t="str">
        <f>'Tabela de Jogos'!F21</f>
        <v>Argélia</v>
      </c>
      <c r="G21" s="3" t="str">
        <f>'Tabela de Jogos'!G21</f>
        <v>Argentina</v>
      </c>
      <c r="H21" s="3"/>
      <c r="I21" s="3">
        <f t="shared" ref="I21:J21" si="27">A21</f>
        <v>19</v>
      </c>
      <c r="J21" s="3" t="str">
        <f t="shared" si="27"/>
        <v>Argentina</v>
      </c>
      <c r="K21" s="3">
        <v>2</v>
      </c>
      <c r="L21" s="3" t="str">
        <f t="shared" si="2"/>
        <v>x</v>
      </c>
      <c r="M21" s="3">
        <v>1</v>
      </c>
      <c r="N21" s="3" t="str">
        <f t="shared" si="3"/>
        <v>Argélia</v>
      </c>
      <c r="O21" s="3" t="str">
        <f t="shared" si="4"/>
        <v>Argentina</v>
      </c>
      <c r="P21" s="3"/>
      <c r="Q21" s="3" t="b">
        <f t="shared" si="5"/>
        <v>0</v>
      </c>
      <c r="R21" s="3" t="b">
        <f t="shared" si="6"/>
        <v>0</v>
      </c>
      <c r="S21" s="3" t="b">
        <f t="shared" si="7"/>
        <v>0</v>
      </c>
      <c r="T21" s="3" t="b">
        <f t="shared" si="8"/>
        <v>1</v>
      </c>
      <c r="U21" s="3" t="b">
        <f t="shared" si="9"/>
        <v>0</v>
      </c>
      <c r="V21" s="3"/>
      <c r="W21" s="3" cm="1">
        <f t="array" ref="W21">IF(OR(J21="Brasil",N21="Brasil"),2*_xlfn.IFS(Q21=TRUE,6,R21=TRUE,4,AND(S21=TRUE,T21=FALSE),3,T21=TRUE,2,U21=TRUE,0),_xlfn.IFS(Q21=TRUE,6,R21=TRUE,4,AND(S21=TRUE,T21=FALSE),3,T21=TRUE,2,U21=TRUE,0))</f>
        <v>2</v>
      </c>
      <c r="X21" s="3"/>
      <c r="Y21" s="3"/>
    </row>
    <row r="22" spans="1:25" ht="14.25" customHeight="1" x14ac:dyDescent="0.3">
      <c r="A22" s="3">
        <f>'Tabela de Jogos'!A22</f>
        <v>20</v>
      </c>
      <c r="B22" s="3" t="str">
        <f>'Tabela de Jogos'!B22</f>
        <v>Áustria</v>
      </c>
      <c r="C22" s="3">
        <f>'Tabela de Jogos'!C22</f>
        <v>3</v>
      </c>
      <c r="D22" s="3" t="str">
        <f>'Tabela de Jogos'!D22</f>
        <v>x</v>
      </c>
      <c r="E22" s="3">
        <f>'Tabela de Jogos'!E22</f>
        <v>1</v>
      </c>
      <c r="F22" s="3" t="str">
        <f>'Tabela de Jogos'!F22</f>
        <v>Jordânia</v>
      </c>
      <c r="G22" s="3" t="str">
        <f>'Tabela de Jogos'!G22</f>
        <v>Áustria</v>
      </c>
      <c r="H22" s="3"/>
      <c r="I22" s="3">
        <f t="shared" ref="I22:J22" si="28">A22</f>
        <v>20</v>
      </c>
      <c r="J22" s="3" t="str">
        <f t="shared" si="28"/>
        <v>Áustria</v>
      </c>
      <c r="K22" s="3">
        <v>2</v>
      </c>
      <c r="L22" s="3" t="str">
        <f t="shared" si="2"/>
        <v>x</v>
      </c>
      <c r="M22" s="3">
        <v>2</v>
      </c>
      <c r="N22" s="3" t="str">
        <f t="shared" si="3"/>
        <v>Jordânia</v>
      </c>
      <c r="O22" s="3" t="str">
        <f t="shared" si="4"/>
        <v>Empate</v>
      </c>
      <c r="P22" s="3"/>
      <c r="Q22" s="3" t="b">
        <f t="shared" si="5"/>
        <v>0</v>
      </c>
      <c r="R22" s="3" t="b">
        <f t="shared" si="6"/>
        <v>0</v>
      </c>
      <c r="S22" s="3" t="b">
        <f t="shared" si="7"/>
        <v>0</v>
      </c>
      <c r="T22" s="3" t="b">
        <f t="shared" si="8"/>
        <v>0</v>
      </c>
      <c r="U22" s="3" t="b">
        <f t="shared" si="9"/>
        <v>1</v>
      </c>
      <c r="V22" s="3"/>
      <c r="W22" s="3" cm="1">
        <f t="array" ref="W22">IF(OR(J22="Brasil",N22="Brasil"),2*_xlfn.IFS(Q22=TRUE,6,R22=TRUE,4,AND(S22=TRUE,T22=FALSE),3,T22=TRUE,2,U22=TRUE,0),_xlfn.IFS(Q22=TRUE,6,R22=TRUE,4,AND(S22=TRUE,T22=FALSE),3,T22=TRUE,2,U22=TRUE,0))</f>
        <v>0</v>
      </c>
      <c r="X22" s="3"/>
      <c r="Y22" s="3"/>
    </row>
    <row r="23" spans="1:25" ht="14.25" customHeight="1" x14ac:dyDescent="0.3">
      <c r="A23" s="3">
        <f>'Tabela de Jogos'!A23</f>
        <v>21</v>
      </c>
      <c r="B23" s="3" t="str">
        <f>'Tabela de Jogos'!B23</f>
        <v>Portugal</v>
      </c>
      <c r="C23" s="3">
        <f>'Tabela de Jogos'!C23</f>
        <v>1</v>
      </c>
      <c r="D23" s="3" t="str">
        <f>'Tabela de Jogos'!D23</f>
        <v>x</v>
      </c>
      <c r="E23" s="3">
        <f>'Tabela de Jogos'!E23</f>
        <v>1</v>
      </c>
      <c r="F23" s="3" t="str">
        <f>'Tabela de Jogos'!F23</f>
        <v>RD Congo</v>
      </c>
      <c r="G23" s="3" t="str">
        <f>'Tabela de Jogos'!G23</f>
        <v>Empate</v>
      </c>
      <c r="H23" s="3"/>
      <c r="I23" s="3">
        <f t="shared" ref="I23:J23" si="29">A23</f>
        <v>21</v>
      </c>
      <c r="J23" s="3" t="str">
        <f t="shared" si="29"/>
        <v>Portugal</v>
      </c>
      <c r="K23" s="3">
        <v>3</v>
      </c>
      <c r="L23" s="3" t="str">
        <f t="shared" si="2"/>
        <v>x</v>
      </c>
      <c r="M23" s="3">
        <v>0</v>
      </c>
      <c r="N23" s="3" t="str">
        <f t="shared" si="3"/>
        <v>RD Congo</v>
      </c>
      <c r="O23" s="3" t="str">
        <f t="shared" si="4"/>
        <v>Portugal</v>
      </c>
      <c r="P23" s="3"/>
      <c r="Q23" s="3" t="b">
        <f t="shared" si="5"/>
        <v>0</v>
      </c>
      <c r="R23" s="3" t="b">
        <f t="shared" si="6"/>
        <v>0</v>
      </c>
      <c r="S23" s="3" t="b">
        <f t="shared" si="7"/>
        <v>0</v>
      </c>
      <c r="T23" s="3" t="b">
        <f t="shared" si="8"/>
        <v>0</v>
      </c>
      <c r="U23" s="3" t="b">
        <f t="shared" si="9"/>
        <v>1</v>
      </c>
      <c r="V23" s="3"/>
      <c r="W23" s="3" cm="1">
        <f t="array" ref="W23">IF(OR(J23="Brasil",N23="Brasil"),2*_xlfn.IFS(Q23=TRUE,6,R23=TRUE,4,AND(S23=TRUE,T23=FALSE),3,T23=TRUE,2,U23=TRUE,0),_xlfn.IFS(Q23=TRUE,6,R23=TRUE,4,AND(S23=TRUE,T23=FALSE),3,T23=TRUE,2,U23=TRUE,0))</f>
        <v>0</v>
      </c>
      <c r="X23" s="3"/>
      <c r="Y23" s="3"/>
    </row>
    <row r="24" spans="1:25" ht="14.25" customHeight="1" x14ac:dyDescent="0.3">
      <c r="A24" s="3">
        <f>'Tabela de Jogos'!A24</f>
        <v>22</v>
      </c>
      <c r="B24" s="3" t="str">
        <f>'Tabela de Jogos'!B24</f>
        <v>Inglaterra</v>
      </c>
      <c r="C24" s="3">
        <f>'Tabela de Jogos'!C24</f>
        <v>4</v>
      </c>
      <c r="D24" s="3" t="str">
        <f>'Tabela de Jogos'!D24</f>
        <v>x</v>
      </c>
      <c r="E24" s="3">
        <f>'Tabela de Jogos'!E24</f>
        <v>2</v>
      </c>
      <c r="F24" s="3" t="str">
        <f>'Tabela de Jogos'!F24</f>
        <v>Croácia</v>
      </c>
      <c r="G24" s="3" t="str">
        <f>'Tabela de Jogos'!G24</f>
        <v>Inglaterra</v>
      </c>
      <c r="H24" s="3"/>
      <c r="I24" s="3">
        <f t="shared" ref="I24:J24" si="30">A24</f>
        <v>22</v>
      </c>
      <c r="J24" s="3" t="str">
        <f t="shared" si="30"/>
        <v>Inglaterra</v>
      </c>
      <c r="K24" s="3">
        <v>2</v>
      </c>
      <c r="L24" s="3" t="str">
        <f t="shared" si="2"/>
        <v>x</v>
      </c>
      <c r="M24" s="3">
        <v>1</v>
      </c>
      <c r="N24" s="3" t="str">
        <f t="shared" si="3"/>
        <v>Croácia</v>
      </c>
      <c r="O24" s="3" t="str">
        <f t="shared" si="4"/>
        <v>Inglaterra</v>
      </c>
      <c r="P24" s="3"/>
      <c r="Q24" s="3" t="b">
        <f t="shared" si="5"/>
        <v>0</v>
      </c>
      <c r="R24" s="3" t="b">
        <f t="shared" si="6"/>
        <v>0</v>
      </c>
      <c r="S24" s="3" t="b">
        <f t="shared" si="7"/>
        <v>0</v>
      </c>
      <c r="T24" s="3" t="b">
        <f t="shared" si="8"/>
        <v>1</v>
      </c>
      <c r="U24" s="3" t="b">
        <f t="shared" si="9"/>
        <v>0</v>
      </c>
      <c r="V24" s="3"/>
      <c r="W24" s="3" cm="1">
        <f t="array" ref="W24">IF(OR(J24="Brasil",N24="Brasil"),2*_xlfn.IFS(Q24=TRUE,6,R24=TRUE,4,AND(S24=TRUE,T24=FALSE),3,T24=TRUE,2,U24=TRUE,0),_xlfn.IFS(Q24=TRUE,6,R24=TRUE,4,AND(S24=TRUE,T24=FALSE),3,T24=TRUE,2,U24=TRUE,0))</f>
        <v>2</v>
      </c>
      <c r="X24" s="3"/>
      <c r="Y24" s="3"/>
    </row>
    <row r="25" spans="1:25" ht="14.25" customHeight="1" x14ac:dyDescent="0.3">
      <c r="A25" s="3">
        <f>'Tabela de Jogos'!A25</f>
        <v>23</v>
      </c>
      <c r="B25" s="3" t="str">
        <f>'Tabela de Jogos'!B25</f>
        <v>Gana</v>
      </c>
      <c r="C25" s="3">
        <f>'Tabela de Jogos'!C25</f>
        <v>1</v>
      </c>
      <c r="D25" s="3" t="str">
        <f>'Tabela de Jogos'!D25</f>
        <v>x</v>
      </c>
      <c r="E25" s="3">
        <f>'Tabela de Jogos'!E25</f>
        <v>0</v>
      </c>
      <c r="F25" s="3" t="str">
        <f>'Tabela de Jogos'!F25</f>
        <v>Panamá</v>
      </c>
      <c r="G25" s="3" t="str">
        <f>'Tabela de Jogos'!G25</f>
        <v>Gana</v>
      </c>
      <c r="H25" s="3"/>
      <c r="I25" s="3">
        <f t="shared" ref="I25:J25" si="31">A25</f>
        <v>23</v>
      </c>
      <c r="J25" s="3" t="str">
        <f t="shared" si="31"/>
        <v>Gana</v>
      </c>
      <c r="K25" s="3">
        <v>2</v>
      </c>
      <c r="L25" s="3" t="str">
        <f t="shared" si="2"/>
        <v>x</v>
      </c>
      <c r="M25" s="3">
        <v>0</v>
      </c>
      <c r="N25" s="3" t="str">
        <f t="shared" si="3"/>
        <v>Panamá</v>
      </c>
      <c r="O25" s="3" t="str">
        <f t="shared" si="4"/>
        <v>Gana</v>
      </c>
      <c r="P25" s="3"/>
      <c r="Q25" s="3" t="b">
        <f t="shared" si="5"/>
        <v>0</v>
      </c>
      <c r="R25" s="3" t="b">
        <f t="shared" si="6"/>
        <v>0</v>
      </c>
      <c r="S25" s="3" t="b">
        <f t="shared" si="7"/>
        <v>0</v>
      </c>
      <c r="T25" s="3" t="b">
        <f t="shared" si="8"/>
        <v>1</v>
      </c>
      <c r="U25" s="3" t="b">
        <f t="shared" si="9"/>
        <v>0</v>
      </c>
      <c r="V25" s="3"/>
      <c r="W25" s="3" cm="1">
        <f t="array" ref="W25">IF(OR(J25="Brasil",N25="Brasil"),2*_xlfn.IFS(Q25=TRUE,6,R25=TRUE,4,AND(S25=TRUE,T25=FALSE),3,T25=TRUE,2,U25=TRUE,0),_xlfn.IFS(Q25=TRUE,6,R25=TRUE,4,AND(S25=TRUE,T25=FALSE),3,T25=TRUE,2,U25=TRUE,0))</f>
        <v>2</v>
      </c>
      <c r="X25" s="3"/>
      <c r="Y25" s="3"/>
    </row>
    <row r="26" spans="1:25" ht="14.25" customHeight="1" x14ac:dyDescent="0.3">
      <c r="A26" s="3">
        <f>'Tabela de Jogos'!A26</f>
        <v>24</v>
      </c>
      <c r="B26" s="3" t="str">
        <f>'Tabela de Jogos'!B26</f>
        <v>Uzbequistão</v>
      </c>
      <c r="C26" s="3">
        <f>'Tabela de Jogos'!C26</f>
        <v>1</v>
      </c>
      <c r="D26" s="3" t="str">
        <f>'Tabela de Jogos'!D26</f>
        <v>x</v>
      </c>
      <c r="E26" s="3">
        <f>'Tabela de Jogos'!E26</f>
        <v>3</v>
      </c>
      <c r="F26" s="3" t="str">
        <f>'Tabela de Jogos'!F26</f>
        <v>Colômbia</v>
      </c>
      <c r="G26" s="3" t="str">
        <f>'Tabela de Jogos'!G26</f>
        <v>Colômbia</v>
      </c>
      <c r="H26" s="3"/>
      <c r="I26" s="3">
        <f t="shared" ref="I26:J26" si="32">A26</f>
        <v>24</v>
      </c>
      <c r="J26" s="3" t="str">
        <f t="shared" si="32"/>
        <v>Uzbequistão</v>
      </c>
      <c r="K26" s="3">
        <v>1</v>
      </c>
      <c r="L26" s="3" t="str">
        <f t="shared" si="2"/>
        <v>x</v>
      </c>
      <c r="M26" s="3">
        <v>3</v>
      </c>
      <c r="N26" s="3" t="str">
        <f t="shared" si="3"/>
        <v>Colômbia</v>
      </c>
      <c r="O26" s="3" t="str">
        <f t="shared" si="4"/>
        <v>Colômbia</v>
      </c>
      <c r="P26" s="3"/>
      <c r="Q26" s="3" t="b">
        <f t="shared" si="5"/>
        <v>1</v>
      </c>
      <c r="R26" s="3" t="b">
        <f t="shared" si="6"/>
        <v>0</v>
      </c>
      <c r="S26" s="3" t="b">
        <f t="shared" si="7"/>
        <v>0</v>
      </c>
      <c r="T26" s="3" t="b">
        <f t="shared" si="8"/>
        <v>0</v>
      </c>
      <c r="U26" s="3" t="b">
        <f t="shared" si="9"/>
        <v>0</v>
      </c>
      <c r="V26" s="3"/>
      <c r="W26" s="3" cm="1">
        <f t="array" ref="W26">IF(OR(J26="Brasil",N26="Brasil"),2*_xlfn.IFS(Q26=TRUE,6,R26=TRUE,4,AND(S26=TRUE,T26=FALSE),3,T26=TRUE,2,U26=TRUE,0),_xlfn.IFS(Q26=TRUE,6,R26=TRUE,4,AND(S26=TRUE,T26=FALSE),3,T26=TRUE,2,U26=TRUE,0))</f>
        <v>6</v>
      </c>
      <c r="X26" s="3"/>
      <c r="Y26" s="3"/>
    </row>
    <row r="27" spans="1:25" ht="14.25" customHeight="1" x14ac:dyDescent="0.3">
      <c r="A27" s="3">
        <f>'Tabela de Jogos'!A27</f>
        <v>25</v>
      </c>
      <c r="B27" s="3" t="str">
        <f>'Tabela de Jogos'!B27</f>
        <v>Tchéquia</v>
      </c>
      <c r="C27" s="3">
        <f>'Tabela de Jogos'!C27</f>
        <v>1</v>
      </c>
      <c r="D27" s="3" t="str">
        <f>'Tabela de Jogos'!D27</f>
        <v>x</v>
      </c>
      <c r="E27" s="3">
        <f>'Tabela de Jogos'!E27</f>
        <v>1</v>
      </c>
      <c r="F27" s="3" t="str">
        <f>'Tabela de Jogos'!F27</f>
        <v>África do Sul</v>
      </c>
      <c r="G27" s="3" t="str">
        <f>'Tabela de Jogos'!G27</f>
        <v>Empate</v>
      </c>
      <c r="H27" s="3"/>
      <c r="I27" s="3">
        <f t="shared" ref="I27:J27" si="33">A27</f>
        <v>25</v>
      </c>
      <c r="J27" s="3" t="str">
        <f t="shared" si="33"/>
        <v>Tchéquia</v>
      </c>
      <c r="K27" s="3">
        <v>2</v>
      </c>
      <c r="L27" s="3" t="str">
        <f t="shared" si="2"/>
        <v>x</v>
      </c>
      <c r="M27" s="3">
        <v>0</v>
      </c>
      <c r="N27" s="3" t="str">
        <f t="shared" si="3"/>
        <v>África do Sul</v>
      </c>
      <c r="O27" s="3" t="str">
        <f t="shared" si="4"/>
        <v>Tchéquia</v>
      </c>
      <c r="P27" s="3"/>
      <c r="Q27" s="3" t="b">
        <f t="shared" si="5"/>
        <v>0</v>
      </c>
      <c r="R27" s="3" t="b">
        <f t="shared" si="6"/>
        <v>0</v>
      </c>
      <c r="S27" s="3" t="b">
        <f t="shared" si="7"/>
        <v>0</v>
      </c>
      <c r="T27" s="3" t="b">
        <f t="shared" si="8"/>
        <v>0</v>
      </c>
      <c r="U27" s="3" t="b">
        <f t="shared" si="9"/>
        <v>1</v>
      </c>
      <c r="V27" s="3"/>
      <c r="W27" s="3" cm="1">
        <f t="array" ref="W27">IF(OR(J27="Brasil",N27="Brasil"),2*_xlfn.IFS(Q27=TRUE,6,R27=TRUE,4,AND(S27=TRUE,T27=FALSE),3,T27=TRUE,2,U27=TRUE,0),_xlfn.IFS(Q27=TRUE,6,R27=TRUE,4,AND(S27=TRUE,T27=FALSE),3,T27=TRUE,2,U27=TRUE,0))</f>
        <v>0</v>
      </c>
      <c r="X27" s="3"/>
      <c r="Y27" s="3"/>
    </row>
    <row r="28" spans="1:25" ht="14.25" customHeight="1" x14ac:dyDescent="0.3">
      <c r="A28" s="3">
        <f>'Tabela de Jogos'!A28</f>
        <v>26</v>
      </c>
      <c r="B28" s="3" t="str">
        <f>'Tabela de Jogos'!B28</f>
        <v>Suíça</v>
      </c>
      <c r="C28" s="3">
        <f>'Tabela de Jogos'!C28</f>
        <v>4</v>
      </c>
      <c r="D28" s="3" t="str">
        <f>'Tabela de Jogos'!D28</f>
        <v>x</v>
      </c>
      <c r="E28" s="3">
        <f>'Tabela de Jogos'!E28</f>
        <v>1</v>
      </c>
      <c r="F28" s="3" t="str">
        <f>'Tabela de Jogos'!F28</f>
        <v>Bósnia</v>
      </c>
      <c r="G28" s="3" t="str">
        <f>'Tabela de Jogos'!G28</f>
        <v>Suíça</v>
      </c>
      <c r="H28" s="3"/>
      <c r="I28" s="3">
        <f t="shared" ref="I28:J28" si="34">A28</f>
        <v>26</v>
      </c>
      <c r="J28" s="3" t="str">
        <f t="shared" si="34"/>
        <v>Suíça</v>
      </c>
      <c r="K28" s="3">
        <v>0</v>
      </c>
      <c r="L28" s="3" t="str">
        <f t="shared" si="2"/>
        <v>x</v>
      </c>
      <c r="M28" s="3">
        <v>1</v>
      </c>
      <c r="N28" s="3" t="str">
        <f t="shared" si="3"/>
        <v>Bósnia</v>
      </c>
      <c r="O28" s="3" t="str">
        <f t="shared" si="4"/>
        <v>Bósnia</v>
      </c>
      <c r="P28" s="3"/>
      <c r="Q28" s="3" t="b">
        <f t="shared" si="5"/>
        <v>0</v>
      </c>
      <c r="R28" s="3" t="b">
        <f t="shared" si="6"/>
        <v>0</v>
      </c>
      <c r="S28" s="3" t="b">
        <f t="shared" si="7"/>
        <v>0</v>
      </c>
      <c r="T28" s="3" t="b">
        <f t="shared" si="8"/>
        <v>0</v>
      </c>
      <c r="U28" s="3" t="b">
        <f t="shared" si="9"/>
        <v>1</v>
      </c>
      <c r="V28" s="3"/>
      <c r="W28" s="3" cm="1">
        <f t="array" ref="W28">IF(OR(J28="Brasil",N28="Brasil"),2*_xlfn.IFS(Q28=TRUE,6,R28=TRUE,4,AND(S28=TRUE,T28=FALSE),3,T28=TRUE,2,U28=TRUE,0),_xlfn.IFS(Q28=TRUE,6,R28=TRUE,4,AND(S28=TRUE,T28=FALSE),3,T28=TRUE,2,U28=TRUE,0))</f>
        <v>0</v>
      </c>
      <c r="X28" s="3"/>
      <c r="Y28" s="3"/>
    </row>
    <row r="29" spans="1:25" ht="14.25" customHeight="1" x14ac:dyDescent="0.3">
      <c r="A29" s="3">
        <f>'Tabela de Jogos'!A29</f>
        <v>27</v>
      </c>
      <c r="B29" s="3" t="str">
        <f>'Tabela de Jogos'!B29</f>
        <v>Canadá</v>
      </c>
      <c r="C29" s="3">
        <f>'Tabela de Jogos'!C29</f>
        <v>6</v>
      </c>
      <c r="D29" s="3" t="str">
        <f>'Tabela de Jogos'!D29</f>
        <v>x</v>
      </c>
      <c r="E29" s="3">
        <f>'Tabela de Jogos'!E29</f>
        <v>0</v>
      </c>
      <c r="F29" s="3" t="str">
        <f>'Tabela de Jogos'!F29</f>
        <v>Catar</v>
      </c>
      <c r="G29" s="3" t="str">
        <f>'Tabela de Jogos'!G29</f>
        <v>Canadá</v>
      </c>
      <c r="H29" s="3"/>
      <c r="I29" s="3">
        <f t="shared" ref="I29:J29" si="35">A29</f>
        <v>27</v>
      </c>
      <c r="J29" s="3" t="str">
        <f t="shared" si="35"/>
        <v>Canadá</v>
      </c>
      <c r="K29" s="3">
        <v>2</v>
      </c>
      <c r="L29" s="3" t="str">
        <f t="shared" si="2"/>
        <v>x</v>
      </c>
      <c r="M29" s="3">
        <v>1</v>
      </c>
      <c r="N29" s="3" t="str">
        <f t="shared" si="3"/>
        <v>Catar</v>
      </c>
      <c r="O29" s="3" t="str">
        <f t="shared" si="4"/>
        <v>Canadá</v>
      </c>
      <c r="P29" s="3"/>
      <c r="Q29" s="3" t="b">
        <f t="shared" si="5"/>
        <v>0</v>
      </c>
      <c r="R29" s="3" t="b">
        <f t="shared" si="6"/>
        <v>0</v>
      </c>
      <c r="S29" s="3" t="b">
        <f t="shared" si="7"/>
        <v>0</v>
      </c>
      <c r="T29" s="3" t="b">
        <f t="shared" si="8"/>
        <v>1</v>
      </c>
      <c r="U29" s="3" t="b">
        <f t="shared" si="9"/>
        <v>0</v>
      </c>
      <c r="V29" s="3"/>
      <c r="W29" s="3" cm="1">
        <f t="array" ref="W29">IF(OR(J29="Brasil",N29="Brasil"),2*_xlfn.IFS(Q29=TRUE,6,R29=TRUE,4,AND(S29=TRUE,T29=FALSE),3,T29=TRUE,2,U29=TRUE,0),_xlfn.IFS(Q29=TRUE,6,R29=TRUE,4,AND(S29=TRUE,T29=FALSE),3,T29=TRUE,2,U29=TRUE,0))</f>
        <v>2</v>
      </c>
      <c r="X29" s="3"/>
      <c r="Y29" s="3"/>
    </row>
    <row r="30" spans="1:25" ht="14.25" customHeight="1" x14ac:dyDescent="0.3">
      <c r="A30" s="3">
        <f>'Tabela de Jogos'!A30</f>
        <v>28</v>
      </c>
      <c r="B30" s="3" t="str">
        <f>'Tabela de Jogos'!B30</f>
        <v>México</v>
      </c>
      <c r="C30" s="3">
        <f>'Tabela de Jogos'!C30</f>
        <v>1</v>
      </c>
      <c r="D30" s="3" t="str">
        <f>'Tabela de Jogos'!D30</f>
        <v>x</v>
      </c>
      <c r="E30" s="3">
        <f>'Tabela de Jogos'!E30</f>
        <v>0</v>
      </c>
      <c r="F30" s="3" t="str">
        <f>'Tabela de Jogos'!F30</f>
        <v>Coreia do Sul</v>
      </c>
      <c r="G30" s="3" t="str">
        <f>'Tabela de Jogos'!G30</f>
        <v>México</v>
      </c>
      <c r="H30" s="3"/>
      <c r="I30" s="3">
        <f t="shared" ref="I30:J30" si="36">A30</f>
        <v>28</v>
      </c>
      <c r="J30" s="3" t="str">
        <f t="shared" si="36"/>
        <v>México</v>
      </c>
      <c r="K30" s="3">
        <v>2</v>
      </c>
      <c r="L30" s="3" t="str">
        <f t="shared" si="2"/>
        <v>x</v>
      </c>
      <c r="M30" s="3">
        <v>2</v>
      </c>
      <c r="N30" s="3" t="str">
        <f t="shared" si="3"/>
        <v>Coreia do Sul</v>
      </c>
      <c r="O30" s="3" t="str">
        <f t="shared" si="4"/>
        <v>Empate</v>
      </c>
      <c r="P30" s="3"/>
      <c r="Q30" s="3" t="b">
        <f t="shared" si="5"/>
        <v>0</v>
      </c>
      <c r="R30" s="3" t="b">
        <f t="shared" si="6"/>
        <v>0</v>
      </c>
      <c r="S30" s="3" t="b">
        <f t="shared" si="7"/>
        <v>0</v>
      </c>
      <c r="T30" s="3" t="b">
        <f t="shared" si="8"/>
        <v>0</v>
      </c>
      <c r="U30" s="3" t="b">
        <f t="shared" si="9"/>
        <v>1</v>
      </c>
      <c r="V30" s="3"/>
      <c r="W30" s="3" cm="1">
        <f t="array" ref="W30">IF(OR(J30="Brasil",N30="Brasil"),2*_xlfn.IFS(Q30=TRUE,6,R30=TRUE,4,AND(S30=TRUE,T30=FALSE),3,T30=TRUE,2,U30=TRUE,0),_xlfn.IFS(Q30=TRUE,6,R30=TRUE,4,AND(S30=TRUE,T30=FALSE),3,T30=TRUE,2,U30=TRUE,0))</f>
        <v>0</v>
      </c>
      <c r="X30" s="3"/>
      <c r="Y30" s="3"/>
    </row>
    <row r="31" spans="1:25" ht="14.25" customHeight="1" x14ac:dyDescent="0.3">
      <c r="A31" s="3">
        <f>'Tabela de Jogos'!A31</f>
        <v>29</v>
      </c>
      <c r="B31" s="3" t="str">
        <f>'Tabela de Jogos'!B31</f>
        <v>EUA</v>
      </c>
      <c r="C31" s="3">
        <f>'Tabela de Jogos'!C31</f>
        <v>2</v>
      </c>
      <c r="D31" s="3" t="str">
        <f>'Tabela de Jogos'!D31</f>
        <v>x</v>
      </c>
      <c r="E31" s="3">
        <f>'Tabela de Jogos'!E31</f>
        <v>0</v>
      </c>
      <c r="F31" s="3" t="str">
        <f>'Tabela de Jogos'!F31</f>
        <v>Austrália</v>
      </c>
      <c r="G31" s="3" t="str">
        <f>'Tabela de Jogos'!G31</f>
        <v>EUA</v>
      </c>
      <c r="H31" s="3"/>
      <c r="I31" s="3">
        <f t="shared" ref="I31:J31" si="37">A31</f>
        <v>29</v>
      </c>
      <c r="J31" s="3" t="str">
        <f t="shared" si="37"/>
        <v>EUA</v>
      </c>
      <c r="K31" s="3">
        <v>2</v>
      </c>
      <c r="L31" s="3" t="str">
        <f t="shared" si="2"/>
        <v>x</v>
      </c>
      <c r="M31" s="3">
        <v>1</v>
      </c>
      <c r="N31" s="3" t="str">
        <f t="shared" si="3"/>
        <v>Austrália</v>
      </c>
      <c r="O31" s="3" t="str">
        <f t="shared" si="4"/>
        <v>EUA</v>
      </c>
      <c r="P31" s="3"/>
      <c r="Q31" s="3" t="b">
        <f t="shared" si="5"/>
        <v>0</v>
      </c>
      <c r="R31" s="3" t="b">
        <f t="shared" si="6"/>
        <v>1</v>
      </c>
      <c r="S31" s="3" t="b">
        <f t="shared" si="7"/>
        <v>0</v>
      </c>
      <c r="T31" s="3" t="b">
        <f t="shared" si="8"/>
        <v>0</v>
      </c>
      <c r="U31" s="3" t="b">
        <f t="shared" si="9"/>
        <v>0</v>
      </c>
      <c r="V31" s="3"/>
      <c r="W31" s="3" cm="1">
        <f t="array" ref="W31">IF(OR(J31="Brasil",N31="Brasil"),2*_xlfn.IFS(Q31=TRUE,6,R31=TRUE,4,AND(S31=TRUE,T31=FALSE),3,T31=TRUE,2,U31=TRUE,0),_xlfn.IFS(Q31=TRUE,6,R31=TRUE,4,AND(S31=TRUE,T31=FALSE),3,T31=TRUE,2,U31=TRUE,0))</f>
        <v>4</v>
      </c>
      <c r="X31" s="3"/>
      <c r="Y31" s="3"/>
    </row>
    <row r="32" spans="1:25" ht="14.25" customHeight="1" x14ac:dyDescent="0.3">
      <c r="A32" s="3">
        <f>'Tabela de Jogos'!A32</f>
        <v>30</v>
      </c>
      <c r="B32" s="3" t="str">
        <f>'Tabela de Jogos'!B32</f>
        <v>Escócia</v>
      </c>
      <c r="C32" s="3">
        <f>'Tabela de Jogos'!C32</f>
        <v>0</v>
      </c>
      <c r="D32" s="3" t="str">
        <f>'Tabela de Jogos'!D32</f>
        <v>x</v>
      </c>
      <c r="E32" s="3">
        <f>'Tabela de Jogos'!E32</f>
        <v>1</v>
      </c>
      <c r="F32" s="3" t="str">
        <f>'Tabela de Jogos'!F32</f>
        <v>Marrocos</v>
      </c>
      <c r="G32" s="3" t="str">
        <f>'Tabela de Jogos'!G32</f>
        <v>Marrocos</v>
      </c>
      <c r="H32" s="3"/>
      <c r="I32" s="3">
        <f t="shared" ref="I32:J32" si="38">A32</f>
        <v>30</v>
      </c>
      <c r="J32" s="3" t="str">
        <f t="shared" si="38"/>
        <v>Escócia</v>
      </c>
      <c r="K32" s="3">
        <v>0</v>
      </c>
      <c r="L32" s="3" t="str">
        <f t="shared" si="2"/>
        <v>x</v>
      </c>
      <c r="M32" s="3">
        <v>2</v>
      </c>
      <c r="N32" s="3" t="str">
        <f t="shared" si="3"/>
        <v>Marrocos</v>
      </c>
      <c r="O32" s="3" t="str">
        <f t="shared" si="4"/>
        <v>Marrocos</v>
      </c>
      <c r="P32" s="3"/>
      <c r="Q32" s="3" t="b">
        <f t="shared" si="5"/>
        <v>0</v>
      </c>
      <c r="R32" s="3" t="b">
        <f t="shared" si="6"/>
        <v>0</v>
      </c>
      <c r="S32" s="3" t="b">
        <f t="shared" si="7"/>
        <v>0</v>
      </c>
      <c r="T32" s="3" t="b">
        <f t="shared" si="8"/>
        <v>1</v>
      </c>
      <c r="U32" s="3" t="b">
        <f t="shared" si="9"/>
        <v>0</v>
      </c>
      <c r="V32" s="3"/>
      <c r="W32" s="3" cm="1">
        <f t="array" ref="W32">IF(OR(J32="Brasil",N32="Brasil"),2*_xlfn.IFS(Q32=TRUE,6,R32=TRUE,4,AND(S32=TRUE,T32=FALSE),3,T32=TRUE,2,U32=TRUE,0),_xlfn.IFS(Q32=TRUE,6,R32=TRUE,4,AND(S32=TRUE,T32=FALSE),3,T32=TRUE,2,U32=TRUE,0))</f>
        <v>2</v>
      </c>
      <c r="X32" s="3"/>
      <c r="Y32" s="3"/>
    </row>
    <row r="33" spans="1:25" ht="14.25" customHeight="1" x14ac:dyDescent="0.3">
      <c r="A33" s="3">
        <f>'Tabela de Jogos'!A33</f>
        <v>31</v>
      </c>
      <c r="B33" s="3" t="str">
        <f>'Tabela de Jogos'!B33</f>
        <v>Brasil</v>
      </c>
      <c r="C33" s="3">
        <f>'Tabela de Jogos'!C33</f>
        <v>3</v>
      </c>
      <c r="D33" s="3" t="str">
        <f>'Tabela de Jogos'!D33</f>
        <v>x</v>
      </c>
      <c r="E33" s="3">
        <f>'Tabela de Jogos'!E33</f>
        <v>0</v>
      </c>
      <c r="F33" s="3" t="str">
        <f>'Tabela de Jogos'!F33</f>
        <v>Haiti</v>
      </c>
      <c r="G33" s="3" t="str">
        <f>'Tabela de Jogos'!G33</f>
        <v>Brasil</v>
      </c>
      <c r="H33" s="3"/>
      <c r="I33" s="3">
        <f t="shared" ref="I33:J33" si="39">A33</f>
        <v>31</v>
      </c>
      <c r="J33" s="3" t="str">
        <f t="shared" si="39"/>
        <v>Brasil</v>
      </c>
      <c r="K33" s="3">
        <v>4</v>
      </c>
      <c r="L33" s="3" t="str">
        <f t="shared" si="2"/>
        <v>x</v>
      </c>
      <c r="M33" s="3">
        <v>0</v>
      </c>
      <c r="N33" s="3" t="str">
        <f t="shared" si="3"/>
        <v>Haiti</v>
      </c>
      <c r="O33" s="3" t="str">
        <f t="shared" si="4"/>
        <v>Brasil</v>
      </c>
      <c r="P33" s="3"/>
      <c r="Q33" s="3" t="b">
        <f t="shared" si="5"/>
        <v>0</v>
      </c>
      <c r="R33" s="3" t="b">
        <f t="shared" si="6"/>
        <v>0</v>
      </c>
      <c r="S33" s="3" t="b">
        <f t="shared" si="7"/>
        <v>0</v>
      </c>
      <c r="T33" s="3" t="b">
        <f t="shared" si="8"/>
        <v>1</v>
      </c>
      <c r="U33" s="3" t="b">
        <f t="shared" si="9"/>
        <v>0</v>
      </c>
      <c r="V33" s="3"/>
      <c r="W33" s="3" cm="1">
        <f t="array" ref="W33">IF(OR(J33="Brasil",N33="Brasil"),2*_xlfn.IFS(Q33=TRUE,6,R33=TRUE,4,AND(S33=TRUE,T33=FALSE),3,T33=TRUE,2,U33=TRUE,0),_xlfn.IFS(Q33=TRUE,6,R33=TRUE,4,AND(S33=TRUE,T33=FALSE),3,T33=TRUE,2,U33=TRUE,0))</f>
        <v>4</v>
      </c>
      <c r="X33" s="3"/>
      <c r="Y33" s="3"/>
    </row>
    <row r="34" spans="1:25" ht="14.25" customHeight="1" x14ac:dyDescent="0.3">
      <c r="A34" s="3">
        <f>'Tabela de Jogos'!A34</f>
        <v>32</v>
      </c>
      <c r="B34" s="3" t="str">
        <f>'Tabela de Jogos'!B34</f>
        <v>Turquia</v>
      </c>
      <c r="C34" s="3">
        <f>'Tabela de Jogos'!C34</f>
        <v>0</v>
      </c>
      <c r="D34" s="3" t="str">
        <f>'Tabela de Jogos'!D34</f>
        <v>x</v>
      </c>
      <c r="E34" s="3">
        <f>'Tabela de Jogos'!E34</f>
        <v>1</v>
      </c>
      <c r="F34" s="3" t="str">
        <f>'Tabela de Jogos'!F34</f>
        <v>Paraguai</v>
      </c>
      <c r="G34" s="3" t="str">
        <f>'Tabela de Jogos'!G34</f>
        <v>Paraguai</v>
      </c>
      <c r="H34" s="3"/>
      <c r="I34" s="3">
        <f t="shared" ref="I34:J34" si="40">A34</f>
        <v>32</v>
      </c>
      <c r="J34" s="3" t="str">
        <f t="shared" si="40"/>
        <v>Turquia</v>
      </c>
      <c r="K34" s="3">
        <v>2</v>
      </c>
      <c r="L34" s="3" t="str">
        <f t="shared" si="2"/>
        <v>x</v>
      </c>
      <c r="M34" s="3">
        <v>2</v>
      </c>
      <c r="N34" s="3" t="str">
        <f t="shared" si="3"/>
        <v>Paraguai</v>
      </c>
      <c r="O34" s="3" t="str">
        <f t="shared" si="4"/>
        <v>Empate</v>
      </c>
      <c r="P34" s="3"/>
      <c r="Q34" s="3" t="b">
        <f t="shared" si="5"/>
        <v>0</v>
      </c>
      <c r="R34" s="3" t="b">
        <f t="shared" si="6"/>
        <v>0</v>
      </c>
      <c r="S34" s="3" t="b">
        <f t="shared" si="7"/>
        <v>0</v>
      </c>
      <c r="T34" s="3" t="b">
        <f t="shared" si="8"/>
        <v>0</v>
      </c>
      <c r="U34" s="3" t="b">
        <f t="shared" si="9"/>
        <v>1</v>
      </c>
      <c r="V34" s="3"/>
      <c r="W34" s="3" cm="1">
        <f t="array" ref="W34">IF(OR(J34="Brasil",N34="Brasil"),2*_xlfn.IFS(Q34=TRUE,6,R34=TRUE,4,AND(S34=TRUE,T34=FALSE),3,T34=TRUE,2,U34=TRUE,0),_xlfn.IFS(Q34=TRUE,6,R34=TRUE,4,AND(S34=TRUE,T34=FALSE),3,T34=TRUE,2,U34=TRUE,0))</f>
        <v>0</v>
      </c>
      <c r="X34" s="3"/>
      <c r="Y34" s="3"/>
    </row>
    <row r="35" spans="1:25" ht="14.25" customHeight="1" x14ac:dyDescent="0.3">
      <c r="A35" s="3">
        <f>'Tabela de Jogos'!A35</f>
        <v>33</v>
      </c>
      <c r="B35" s="3" t="str">
        <f>'Tabela de Jogos'!B35</f>
        <v>Holanda</v>
      </c>
      <c r="C35" s="3">
        <f>'Tabela de Jogos'!C35</f>
        <v>5</v>
      </c>
      <c r="D35" s="3" t="str">
        <f>'Tabela de Jogos'!D35</f>
        <v>x</v>
      </c>
      <c r="E35" s="3">
        <f>'Tabela de Jogos'!E35</f>
        <v>1</v>
      </c>
      <c r="F35" s="3" t="str">
        <f>'Tabela de Jogos'!F35</f>
        <v>Suécia</v>
      </c>
      <c r="G35" s="3" t="str">
        <f>'Tabela de Jogos'!G35</f>
        <v>Holanda</v>
      </c>
      <c r="H35" s="3"/>
      <c r="I35" s="3">
        <f t="shared" ref="I35:J35" si="41">A35</f>
        <v>33</v>
      </c>
      <c r="J35" s="3" t="str">
        <f t="shared" si="41"/>
        <v>Holanda</v>
      </c>
      <c r="K35" s="3"/>
      <c r="L35" s="3" t="str">
        <f t="shared" si="2"/>
        <v>x</v>
      </c>
      <c r="M35" s="3"/>
      <c r="N35" s="3" t="str">
        <f t="shared" si="3"/>
        <v>Suécia</v>
      </c>
      <c r="O35" s="3" t="str">
        <f t="shared" si="4"/>
        <v>-</v>
      </c>
      <c r="P35" s="3"/>
      <c r="Q35" s="3" t="b">
        <f t="shared" si="5"/>
        <v>0</v>
      </c>
      <c r="R35" s="3" t="b">
        <f t="shared" si="6"/>
        <v>0</v>
      </c>
      <c r="S35" s="3" t="b">
        <f t="shared" si="7"/>
        <v>0</v>
      </c>
      <c r="T35" s="3" t="b">
        <f t="shared" si="8"/>
        <v>0</v>
      </c>
      <c r="U35" s="3" t="b">
        <f t="shared" si="9"/>
        <v>1</v>
      </c>
      <c r="V35" s="3"/>
      <c r="W35" s="3" cm="1">
        <f t="array" ref="W35">IF(OR(J35="Brasil",N35="Brasil"),2*_xlfn.IFS(Q35=TRUE,6,R35=TRUE,4,AND(S35=TRUE,T35=FALSE),3,T35=TRUE,2,U35=TRUE,0),_xlfn.IFS(Q35=TRUE,6,R35=TRUE,4,AND(S35=TRUE,T35=FALSE),3,T35=TRUE,2,U35=TRUE,0))</f>
        <v>0</v>
      </c>
      <c r="X35" s="3"/>
      <c r="Y35" s="3"/>
    </row>
    <row r="36" spans="1:25" ht="14.25" customHeight="1" x14ac:dyDescent="0.3">
      <c r="A36" s="3">
        <f>'Tabela de Jogos'!A36</f>
        <v>34</v>
      </c>
      <c r="B36" s="3" t="str">
        <f>'Tabela de Jogos'!B36</f>
        <v>Alemanha</v>
      </c>
      <c r="C36" s="3">
        <f>'Tabela de Jogos'!C36</f>
        <v>2</v>
      </c>
      <c r="D36" s="3" t="str">
        <f>'Tabela de Jogos'!D36</f>
        <v>x</v>
      </c>
      <c r="E36" s="3">
        <f>'Tabela de Jogos'!E36</f>
        <v>1</v>
      </c>
      <c r="F36" s="3" t="str">
        <f>'Tabela de Jogos'!F36</f>
        <v>Costa do Marfim</v>
      </c>
      <c r="G36" s="3" t="str">
        <f>'Tabela de Jogos'!G36</f>
        <v>Alemanha</v>
      </c>
      <c r="H36" s="3"/>
      <c r="I36" s="3">
        <f t="shared" ref="I36:J36" si="42">A36</f>
        <v>34</v>
      </c>
      <c r="J36" s="3" t="str">
        <f t="shared" si="42"/>
        <v>Alemanha</v>
      </c>
      <c r="K36" s="3">
        <v>2</v>
      </c>
      <c r="L36" s="3" t="str">
        <f t="shared" si="2"/>
        <v>x</v>
      </c>
      <c r="M36" s="3">
        <v>1</v>
      </c>
      <c r="N36" s="3" t="str">
        <f t="shared" si="3"/>
        <v>Costa do Marfim</v>
      </c>
      <c r="O36" s="3" t="str">
        <f t="shared" si="4"/>
        <v>Alemanha</v>
      </c>
      <c r="P36" s="3"/>
      <c r="Q36" s="3" t="b">
        <f t="shared" si="5"/>
        <v>1</v>
      </c>
      <c r="R36" s="3" t="b">
        <f t="shared" si="6"/>
        <v>0</v>
      </c>
      <c r="S36" s="3" t="b">
        <f t="shared" si="7"/>
        <v>0</v>
      </c>
      <c r="T36" s="3" t="b">
        <f t="shared" si="8"/>
        <v>0</v>
      </c>
      <c r="U36" s="3" t="b">
        <f t="shared" si="9"/>
        <v>0</v>
      </c>
      <c r="V36" s="3"/>
      <c r="W36" s="3" cm="1">
        <f t="array" ref="W36">IF(OR(J36="Brasil",N36="Brasil"),2*_xlfn.IFS(Q36=TRUE,6,R36=TRUE,4,AND(S36=TRUE,T36=FALSE),3,T36=TRUE,2,U36=TRUE,0),_xlfn.IFS(Q36=TRUE,6,R36=TRUE,4,AND(S36=TRUE,T36=FALSE),3,T36=TRUE,2,U36=TRUE,0))</f>
        <v>6</v>
      </c>
      <c r="X36" s="3"/>
      <c r="Y36" s="3"/>
    </row>
    <row r="37" spans="1:25" ht="14.25" customHeight="1" x14ac:dyDescent="0.3">
      <c r="A37" s="3">
        <f>'Tabela de Jogos'!A37</f>
        <v>35</v>
      </c>
      <c r="B37" s="3" t="str">
        <f>'Tabela de Jogos'!B37</f>
        <v>Equador</v>
      </c>
      <c r="C37" s="3">
        <f>'Tabela de Jogos'!C37</f>
        <v>0</v>
      </c>
      <c r="D37" s="3" t="str">
        <f>'Tabela de Jogos'!D37</f>
        <v>x</v>
      </c>
      <c r="E37" s="3">
        <f>'Tabela de Jogos'!E37</f>
        <v>0</v>
      </c>
      <c r="F37" s="3" t="str">
        <f>'Tabela de Jogos'!F37</f>
        <v>Curaçao</v>
      </c>
      <c r="G37" s="3" t="str">
        <f>'Tabela de Jogos'!G37</f>
        <v>Empate</v>
      </c>
      <c r="H37" s="3"/>
      <c r="I37" s="3">
        <f t="shared" ref="I37:J37" si="43">A37</f>
        <v>35</v>
      </c>
      <c r="J37" s="3" t="str">
        <f t="shared" si="43"/>
        <v>Equador</v>
      </c>
      <c r="K37" s="3">
        <v>2</v>
      </c>
      <c r="L37" s="3" t="str">
        <f t="shared" si="2"/>
        <v>x</v>
      </c>
      <c r="M37" s="3">
        <v>0</v>
      </c>
      <c r="N37" s="3" t="str">
        <f t="shared" si="3"/>
        <v>Curaçao</v>
      </c>
      <c r="O37" s="3" t="str">
        <f t="shared" si="4"/>
        <v>Equador</v>
      </c>
      <c r="P37" s="3"/>
      <c r="Q37" s="3" t="b">
        <f t="shared" si="5"/>
        <v>0</v>
      </c>
      <c r="R37" s="3" t="b">
        <f t="shared" si="6"/>
        <v>0</v>
      </c>
      <c r="S37" s="3" t="b">
        <f t="shared" si="7"/>
        <v>0</v>
      </c>
      <c r="T37" s="3" t="b">
        <f t="shared" si="8"/>
        <v>0</v>
      </c>
      <c r="U37" s="3" t="b">
        <f t="shared" si="9"/>
        <v>1</v>
      </c>
      <c r="V37" s="3"/>
      <c r="W37" s="3" cm="1">
        <f t="array" ref="W37">IF(OR(J37="Brasil",N37="Brasil"),2*_xlfn.IFS(Q37=TRUE,6,R37=TRUE,4,AND(S37=TRUE,T37=FALSE),3,T37=TRUE,2,U37=TRUE,0),_xlfn.IFS(Q37=TRUE,6,R37=TRUE,4,AND(S37=TRUE,T37=FALSE),3,T37=TRUE,2,U37=TRUE,0))</f>
        <v>0</v>
      </c>
      <c r="X37" s="3"/>
      <c r="Y37" s="3"/>
    </row>
    <row r="38" spans="1:25" ht="14.25" customHeight="1" x14ac:dyDescent="0.3">
      <c r="A38" s="3">
        <f>'Tabela de Jogos'!A38</f>
        <v>36</v>
      </c>
      <c r="B38" s="3" t="str">
        <f>'Tabela de Jogos'!B38</f>
        <v>Tunísia</v>
      </c>
      <c r="C38" s="3">
        <f>'Tabela de Jogos'!C38</f>
        <v>0</v>
      </c>
      <c r="D38" s="3" t="str">
        <f>'Tabela de Jogos'!D38</f>
        <v>x</v>
      </c>
      <c r="E38" s="3">
        <f>'Tabela de Jogos'!E38</f>
        <v>4</v>
      </c>
      <c r="F38" s="3" t="str">
        <f>'Tabela de Jogos'!F38</f>
        <v>Japão</v>
      </c>
      <c r="G38" s="3" t="str">
        <f>'Tabela de Jogos'!G38</f>
        <v>Japão</v>
      </c>
      <c r="H38" s="3"/>
      <c r="I38" s="3">
        <f t="shared" ref="I38:J38" si="44">A38</f>
        <v>36</v>
      </c>
      <c r="J38" s="3" t="str">
        <f t="shared" si="44"/>
        <v>Tunísia</v>
      </c>
      <c r="K38" s="3">
        <v>0</v>
      </c>
      <c r="L38" s="3" t="str">
        <f t="shared" si="2"/>
        <v>x</v>
      </c>
      <c r="M38" s="3">
        <v>2</v>
      </c>
      <c r="N38" s="3" t="str">
        <f t="shared" si="3"/>
        <v>Japão</v>
      </c>
      <c r="O38" s="3" t="str">
        <f t="shared" si="4"/>
        <v>Japão</v>
      </c>
      <c r="P38" s="3"/>
      <c r="Q38" s="3" t="b">
        <f t="shared" si="5"/>
        <v>0</v>
      </c>
      <c r="R38" s="3" t="b">
        <f t="shared" si="6"/>
        <v>0</v>
      </c>
      <c r="S38" s="3" t="b">
        <f t="shared" si="7"/>
        <v>0</v>
      </c>
      <c r="T38" s="3" t="b">
        <f t="shared" si="8"/>
        <v>1</v>
      </c>
      <c r="U38" s="3" t="b">
        <f t="shared" si="9"/>
        <v>0</v>
      </c>
      <c r="V38" s="3"/>
      <c r="W38" s="3" cm="1">
        <f t="array" ref="W38">IF(OR(J38="Brasil",N38="Brasil"),2*_xlfn.IFS(Q38=TRUE,6,R38=TRUE,4,AND(S38=TRUE,T38=FALSE),3,T38=TRUE,2,U38=TRUE,0),_xlfn.IFS(Q38=TRUE,6,R38=TRUE,4,AND(S38=TRUE,T38=FALSE),3,T38=TRUE,2,U38=TRUE,0))</f>
        <v>2</v>
      </c>
      <c r="X38" s="3"/>
      <c r="Y38" s="3"/>
    </row>
    <row r="39" spans="1:25" ht="14.25" customHeight="1" x14ac:dyDescent="0.3">
      <c r="A39" s="3">
        <f>'Tabela de Jogos'!A39</f>
        <v>37</v>
      </c>
      <c r="B39" s="3" t="str">
        <f>'Tabela de Jogos'!B39</f>
        <v>Espanha</v>
      </c>
      <c r="C39" s="3">
        <f>'Tabela de Jogos'!C39</f>
        <v>4</v>
      </c>
      <c r="D39" s="3" t="str">
        <f>'Tabela de Jogos'!D39</f>
        <v>x</v>
      </c>
      <c r="E39" s="3">
        <f>'Tabela de Jogos'!E39</f>
        <v>0</v>
      </c>
      <c r="F39" s="3" t="str">
        <f>'Tabela de Jogos'!F39</f>
        <v>Arábia Saudita</v>
      </c>
      <c r="G39" s="3" t="str">
        <f>'Tabela de Jogos'!G39</f>
        <v>Espanha</v>
      </c>
      <c r="H39" s="3"/>
      <c r="I39" s="3">
        <f t="shared" ref="I39:J39" si="45">A39</f>
        <v>37</v>
      </c>
      <c r="J39" s="3" t="str">
        <f t="shared" si="45"/>
        <v>Espanha</v>
      </c>
      <c r="K39" s="3">
        <v>3</v>
      </c>
      <c r="L39" s="3" t="str">
        <f t="shared" si="2"/>
        <v>x</v>
      </c>
      <c r="M39" s="3">
        <v>0</v>
      </c>
      <c r="N39" s="3" t="str">
        <f t="shared" si="3"/>
        <v>Arábia Saudita</v>
      </c>
      <c r="O39" s="3" t="str">
        <f t="shared" si="4"/>
        <v>Espanha</v>
      </c>
      <c r="P39" s="3"/>
      <c r="Q39" s="3" t="b">
        <f t="shared" si="5"/>
        <v>0</v>
      </c>
      <c r="R39" s="3" t="b">
        <f t="shared" si="6"/>
        <v>0</v>
      </c>
      <c r="S39" s="3" t="b">
        <f t="shared" si="7"/>
        <v>0</v>
      </c>
      <c r="T39" s="3" t="b">
        <f t="shared" si="8"/>
        <v>1</v>
      </c>
      <c r="U39" s="3" t="b">
        <f t="shared" si="9"/>
        <v>0</v>
      </c>
      <c r="V39" s="3"/>
      <c r="W39" s="3" cm="1">
        <f t="array" ref="W39">IF(OR(J39="Brasil",N39="Brasil"),2*_xlfn.IFS(Q39=TRUE,6,R39=TRUE,4,AND(S39=TRUE,T39=FALSE),3,T39=TRUE,2,U39=TRUE,0),_xlfn.IFS(Q39=TRUE,6,R39=TRUE,4,AND(S39=TRUE,T39=FALSE),3,T39=TRUE,2,U39=TRUE,0))</f>
        <v>2</v>
      </c>
      <c r="X39" s="3"/>
      <c r="Y39" s="3"/>
    </row>
    <row r="40" spans="1:25" ht="14.25" customHeight="1" x14ac:dyDescent="0.3">
      <c r="A40" s="3">
        <f>'Tabela de Jogos'!A40</f>
        <v>38</v>
      </c>
      <c r="B40" s="3" t="str">
        <f>'Tabela de Jogos'!B40</f>
        <v>Bélgica</v>
      </c>
      <c r="C40" s="3">
        <f>'Tabela de Jogos'!C40</f>
        <v>0</v>
      </c>
      <c r="D40" s="3" t="str">
        <f>'Tabela de Jogos'!D40</f>
        <v>x</v>
      </c>
      <c r="E40" s="3">
        <f>'Tabela de Jogos'!E40</f>
        <v>0</v>
      </c>
      <c r="F40" s="3" t="str">
        <f>'Tabela de Jogos'!F40</f>
        <v>Irã</v>
      </c>
      <c r="G40" s="3" t="str">
        <f>'Tabela de Jogos'!G40</f>
        <v>Empate</v>
      </c>
      <c r="H40" s="3"/>
      <c r="I40" s="3">
        <f t="shared" ref="I40:J40" si="46">A40</f>
        <v>38</v>
      </c>
      <c r="J40" s="3" t="str">
        <f t="shared" si="46"/>
        <v>Bélgica</v>
      </c>
      <c r="K40" s="3">
        <v>2</v>
      </c>
      <c r="L40" s="3" t="str">
        <f t="shared" si="2"/>
        <v>x</v>
      </c>
      <c r="M40" s="3">
        <v>0</v>
      </c>
      <c r="N40" s="3" t="str">
        <f t="shared" si="3"/>
        <v>Irã</v>
      </c>
      <c r="O40" s="3" t="str">
        <f t="shared" si="4"/>
        <v>Bélgica</v>
      </c>
      <c r="P40" s="3"/>
      <c r="Q40" s="3" t="b">
        <f t="shared" si="5"/>
        <v>0</v>
      </c>
      <c r="R40" s="3" t="b">
        <f t="shared" si="6"/>
        <v>0</v>
      </c>
      <c r="S40" s="3" t="b">
        <f t="shared" si="7"/>
        <v>0</v>
      </c>
      <c r="T40" s="3" t="b">
        <f t="shared" si="8"/>
        <v>0</v>
      </c>
      <c r="U40" s="3" t="b">
        <f t="shared" si="9"/>
        <v>1</v>
      </c>
      <c r="V40" s="3"/>
      <c r="W40" s="3" cm="1">
        <f t="array" ref="W40">IF(OR(J40="Brasil",N40="Brasil"),2*_xlfn.IFS(Q40=TRUE,6,R40=TRUE,4,AND(S40=TRUE,T40=FALSE),3,T40=TRUE,2,U40=TRUE,0),_xlfn.IFS(Q40=TRUE,6,R40=TRUE,4,AND(S40=TRUE,T40=FALSE),3,T40=TRUE,2,U40=TRUE,0))</f>
        <v>0</v>
      </c>
      <c r="X40" s="3"/>
      <c r="Y40" s="3"/>
    </row>
    <row r="41" spans="1:25" ht="14.25" customHeight="1" x14ac:dyDescent="0.3">
      <c r="A41" s="3">
        <f>'Tabela de Jogos'!A41</f>
        <v>39</v>
      </c>
      <c r="B41" s="3" t="str">
        <f>'Tabela de Jogos'!B41</f>
        <v>Uruguai</v>
      </c>
      <c r="C41" s="3">
        <f>'Tabela de Jogos'!C41</f>
        <v>2</v>
      </c>
      <c r="D41" s="3" t="str">
        <f>'Tabela de Jogos'!D41</f>
        <v>x</v>
      </c>
      <c r="E41" s="3">
        <f>'Tabela de Jogos'!E41</f>
        <v>2</v>
      </c>
      <c r="F41" s="3" t="str">
        <f>'Tabela de Jogos'!F41</f>
        <v>Cabo Verde</v>
      </c>
      <c r="G41" s="3" t="str">
        <f>'Tabela de Jogos'!G41</f>
        <v>Empate</v>
      </c>
      <c r="H41" s="3"/>
      <c r="I41" s="3">
        <f t="shared" ref="I41:J41" si="47">A41</f>
        <v>39</v>
      </c>
      <c r="J41" s="3" t="str">
        <f t="shared" si="47"/>
        <v>Uruguai</v>
      </c>
      <c r="K41" s="3">
        <v>1</v>
      </c>
      <c r="L41" s="3" t="str">
        <f t="shared" si="2"/>
        <v>x</v>
      </c>
      <c r="M41" s="3">
        <v>0</v>
      </c>
      <c r="N41" s="3" t="str">
        <f t="shared" si="3"/>
        <v>Cabo Verde</v>
      </c>
      <c r="O41" s="3" t="str">
        <f t="shared" si="4"/>
        <v>Uruguai</v>
      </c>
      <c r="P41" s="3"/>
      <c r="Q41" s="3" t="b">
        <f t="shared" si="5"/>
        <v>0</v>
      </c>
      <c r="R41" s="3" t="b">
        <f t="shared" si="6"/>
        <v>0</v>
      </c>
      <c r="S41" s="3" t="b">
        <f t="shared" si="7"/>
        <v>0</v>
      </c>
      <c r="T41" s="3" t="b">
        <f t="shared" si="8"/>
        <v>0</v>
      </c>
      <c r="U41" s="3" t="b">
        <f t="shared" si="9"/>
        <v>1</v>
      </c>
      <c r="V41" s="3"/>
      <c r="W41" s="3" cm="1">
        <f t="array" ref="W41">IF(OR(J41="Brasil",N41="Brasil"),2*_xlfn.IFS(Q41=TRUE,6,R41=TRUE,4,AND(S41=TRUE,T41=FALSE),3,T41=TRUE,2,U41=TRUE,0),_xlfn.IFS(Q41=TRUE,6,R41=TRUE,4,AND(S41=TRUE,T41=FALSE),3,T41=TRUE,2,U41=TRUE,0))</f>
        <v>0</v>
      </c>
      <c r="X41" s="3"/>
      <c r="Y41" s="3"/>
    </row>
    <row r="42" spans="1:25" ht="14.25" customHeight="1" x14ac:dyDescent="0.3">
      <c r="A42" s="3">
        <f>'Tabela de Jogos'!A42</f>
        <v>40</v>
      </c>
      <c r="B42" s="3" t="str">
        <f>'Tabela de Jogos'!B42</f>
        <v>Nova Zelândia</v>
      </c>
      <c r="C42" s="3">
        <f>'Tabela de Jogos'!C42</f>
        <v>1</v>
      </c>
      <c r="D42" s="3" t="str">
        <f>'Tabela de Jogos'!D42</f>
        <v>x</v>
      </c>
      <c r="E42" s="3">
        <f>'Tabela de Jogos'!E42</f>
        <v>3</v>
      </c>
      <c r="F42" s="3" t="str">
        <f>'Tabela de Jogos'!F42</f>
        <v>Egito</v>
      </c>
      <c r="G42" s="3" t="str">
        <f>'Tabela de Jogos'!G42</f>
        <v>Egito</v>
      </c>
      <c r="H42" s="3"/>
      <c r="I42" s="3">
        <f t="shared" ref="I42:J42" si="48">A42</f>
        <v>40</v>
      </c>
      <c r="J42" s="3" t="str">
        <f t="shared" si="48"/>
        <v>Nova Zelândia</v>
      </c>
      <c r="K42" s="3">
        <v>0</v>
      </c>
      <c r="L42" s="3" t="str">
        <f t="shared" si="2"/>
        <v>x</v>
      </c>
      <c r="M42" s="3">
        <v>2</v>
      </c>
      <c r="N42" s="3" t="str">
        <f t="shared" si="3"/>
        <v>Egito</v>
      </c>
      <c r="O42" s="3" t="str">
        <f t="shared" si="4"/>
        <v>Egito</v>
      </c>
      <c r="P42" s="3"/>
      <c r="Q42" s="3" t="b">
        <f t="shared" si="5"/>
        <v>0</v>
      </c>
      <c r="R42" s="3" t="b">
        <f t="shared" si="6"/>
        <v>0</v>
      </c>
      <c r="S42" s="3" t="b">
        <f t="shared" si="7"/>
        <v>1</v>
      </c>
      <c r="T42" s="3" t="b">
        <f t="shared" si="8"/>
        <v>0</v>
      </c>
      <c r="U42" s="3" t="b">
        <f t="shared" si="9"/>
        <v>0</v>
      </c>
      <c r="V42" s="3"/>
      <c r="W42" s="3" cm="1">
        <f t="array" ref="W42">IF(OR(J42="Brasil",N42="Brasil"),2*_xlfn.IFS(Q42=TRUE,6,R42=TRUE,4,AND(S42=TRUE,T42=FALSE),3,T42=TRUE,2,U42=TRUE,0),_xlfn.IFS(Q42=TRUE,6,R42=TRUE,4,AND(S42=TRUE,T42=FALSE),3,T42=TRUE,2,U42=TRUE,0))</f>
        <v>3</v>
      </c>
      <c r="X42" s="3"/>
      <c r="Y42" s="3"/>
    </row>
    <row r="43" spans="1:25" ht="14.25" customHeight="1" x14ac:dyDescent="0.3">
      <c r="A43" s="3">
        <f>'Tabela de Jogos'!A43</f>
        <v>41</v>
      </c>
      <c r="B43" s="3" t="str">
        <f>'Tabela de Jogos'!B43</f>
        <v>Argentina</v>
      </c>
      <c r="C43" s="3">
        <f>'Tabela de Jogos'!C43</f>
        <v>2</v>
      </c>
      <c r="D43" s="3" t="str">
        <f>'Tabela de Jogos'!D43</f>
        <v>x</v>
      </c>
      <c r="E43" s="3">
        <f>'Tabela de Jogos'!E43</f>
        <v>0</v>
      </c>
      <c r="F43" s="3" t="str">
        <f>'Tabela de Jogos'!F43</f>
        <v>Áustria</v>
      </c>
      <c r="G43" s="3" t="str">
        <f>'Tabela de Jogos'!G43</f>
        <v>Argentina</v>
      </c>
      <c r="H43" s="3"/>
      <c r="I43" s="3">
        <f t="shared" ref="I43:J43" si="49">A43</f>
        <v>41</v>
      </c>
      <c r="J43" s="3" t="str">
        <f t="shared" si="49"/>
        <v>Argentina</v>
      </c>
      <c r="K43" s="3">
        <v>2</v>
      </c>
      <c r="L43" s="3" t="str">
        <f t="shared" si="2"/>
        <v>x</v>
      </c>
      <c r="M43" s="3">
        <v>0</v>
      </c>
      <c r="N43" s="3" t="str">
        <f t="shared" si="3"/>
        <v>Áustria</v>
      </c>
      <c r="O43" s="3" t="str">
        <f t="shared" si="4"/>
        <v>Argentina</v>
      </c>
      <c r="P43" s="3"/>
      <c r="Q43" s="3" t="b">
        <f t="shared" si="5"/>
        <v>1</v>
      </c>
      <c r="R43" s="3" t="b">
        <f t="shared" si="6"/>
        <v>0</v>
      </c>
      <c r="S43" s="3" t="b">
        <f t="shared" si="7"/>
        <v>0</v>
      </c>
      <c r="T43" s="3" t="b">
        <f t="shared" si="8"/>
        <v>0</v>
      </c>
      <c r="U43" s="3" t="b">
        <f t="shared" si="9"/>
        <v>0</v>
      </c>
      <c r="V43" s="3"/>
      <c r="W43" s="3" cm="1">
        <f t="array" ref="W43">IF(OR(J43="Brasil",N43="Brasil"),2*_xlfn.IFS(Q43=TRUE,6,R43=TRUE,4,AND(S43=TRUE,T43=FALSE),3,T43=TRUE,2,U43=TRUE,0),_xlfn.IFS(Q43=TRUE,6,R43=TRUE,4,AND(S43=TRUE,T43=FALSE),3,T43=TRUE,2,U43=TRUE,0))</f>
        <v>6</v>
      </c>
      <c r="X43" s="3"/>
      <c r="Y43" s="3"/>
    </row>
    <row r="44" spans="1:25" ht="14.25" customHeight="1" x14ac:dyDescent="0.3">
      <c r="A44" s="3">
        <f>'Tabela de Jogos'!A44</f>
        <v>42</v>
      </c>
      <c r="B44" s="3" t="str">
        <f>'Tabela de Jogos'!B44</f>
        <v>França</v>
      </c>
      <c r="C44" s="3">
        <f>'Tabela de Jogos'!C44</f>
        <v>3</v>
      </c>
      <c r="D44" s="3" t="str">
        <f>'Tabela de Jogos'!D44</f>
        <v>x</v>
      </c>
      <c r="E44" s="3">
        <f>'Tabela de Jogos'!E44</f>
        <v>0</v>
      </c>
      <c r="F44" s="3" t="str">
        <f>'Tabela de Jogos'!F44</f>
        <v>Iraque</v>
      </c>
      <c r="G44" s="3" t="str">
        <f>'Tabela de Jogos'!G44</f>
        <v>França</v>
      </c>
      <c r="H44" s="3"/>
      <c r="I44" s="3">
        <f t="shared" ref="I44:J44" si="50">A44</f>
        <v>42</v>
      </c>
      <c r="J44" s="3" t="str">
        <f t="shared" si="50"/>
        <v>França</v>
      </c>
      <c r="K44" s="3">
        <v>3</v>
      </c>
      <c r="L44" s="3" t="str">
        <f t="shared" si="2"/>
        <v>x</v>
      </c>
      <c r="M44" s="3">
        <v>0</v>
      </c>
      <c r="N44" s="3" t="str">
        <f t="shared" si="3"/>
        <v>Iraque</v>
      </c>
      <c r="O44" s="3" t="str">
        <f t="shared" si="4"/>
        <v>França</v>
      </c>
      <c r="P44" s="3"/>
      <c r="Q44" s="3" t="b">
        <f t="shared" si="5"/>
        <v>1</v>
      </c>
      <c r="R44" s="3" t="b">
        <f t="shared" si="6"/>
        <v>0</v>
      </c>
      <c r="S44" s="3" t="b">
        <f t="shared" si="7"/>
        <v>0</v>
      </c>
      <c r="T44" s="3" t="b">
        <f t="shared" si="8"/>
        <v>0</v>
      </c>
      <c r="U44" s="3" t="b">
        <f t="shared" si="9"/>
        <v>0</v>
      </c>
      <c r="V44" s="3"/>
      <c r="W44" s="3" cm="1">
        <f t="array" ref="W44">IF(OR(J44="Brasil",N44="Brasil"),2*_xlfn.IFS(Q44=TRUE,6,R44=TRUE,4,AND(S44=TRUE,T44=FALSE),3,T44=TRUE,2,U44=TRUE,0),_xlfn.IFS(Q44=TRUE,6,R44=TRUE,4,AND(S44=TRUE,T44=FALSE),3,T44=TRUE,2,U44=TRUE,0))</f>
        <v>6</v>
      </c>
      <c r="X44" s="3"/>
      <c r="Y44" s="3"/>
    </row>
    <row r="45" spans="1:25" ht="14.25" customHeight="1" x14ac:dyDescent="0.3">
      <c r="A45" s="3">
        <f>'Tabela de Jogos'!A45</f>
        <v>43</v>
      </c>
      <c r="B45" s="3" t="str">
        <f>'Tabela de Jogos'!B45</f>
        <v>Noruega</v>
      </c>
      <c r="C45" s="3">
        <f>'Tabela de Jogos'!C45</f>
        <v>3</v>
      </c>
      <c r="D45" s="3" t="str">
        <f>'Tabela de Jogos'!D45</f>
        <v>x</v>
      </c>
      <c r="E45" s="3">
        <f>'Tabela de Jogos'!E45</f>
        <v>2</v>
      </c>
      <c r="F45" s="3" t="str">
        <f>'Tabela de Jogos'!F45</f>
        <v>Senegal</v>
      </c>
      <c r="G45" s="3" t="str">
        <f>'Tabela de Jogos'!G45</f>
        <v>Noruega</v>
      </c>
      <c r="H45" s="3"/>
      <c r="I45" s="3">
        <f t="shared" ref="I45:J45" si="51">A45</f>
        <v>43</v>
      </c>
      <c r="J45" s="3" t="str">
        <f t="shared" si="51"/>
        <v>Noruega</v>
      </c>
      <c r="K45" s="3">
        <v>3</v>
      </c>
      <c r="L45" s="3" t="str">
        <f t="shared" si="2"/>
        <v>x</v>
      </c>
      <c r="M45" s="3">
        <v>1</v>
      </c>
      <c r="N45" s="3" t="str">
        <f t="shared" si="3"/>
        <v>Senegal</v>
      </c>
      <c r="O45" s="3" t="str">
        <f t="shared" si="4"/>
        <v>Noruega</v>
      </c>
      <c r="P45" s="3"/>
      <c r="Q45" s="3" t="b">
        <f t="shared" si="5"/>
        <v>0</v>
      </c>
      <c r="R45" s="3" t="b">
        <f t="shared" si="6"/>
        <v>1</v>
      </c>
      <c r="S45" s="3" t="b">
        <f t="shared" si="7"/>
        <v>0</v>
      </c>
      <c r="T45" s="3" t="b">
        <f t="shared" si="8"/>
        <v>0</v>
      </c>
      <c r="U45" s="3" t="b">
        <f t="shared" si="9"/>
        <v>0</v>
      </c>
      <c r="V45" s="3"/>
      <c r="W45" s="3" cm="1">
        <f t="array" ref="W45">IF(OR(J45="Brasil",N45="Brasil"),2*_xlfn.IFS(Q45=TRUE,6,R45=TRUE,4,AND(S45=TRUE,T45=FALSE),3,T45=TRUE,2,U45=TRUE,0),_xlfn.IFS(Q45=TRUE,6,R45=TRUE,4,AND(S45=TRUE,T45=FALSE),3,T45=TRUE,2,U45=TRUE,0))</f>
        <v>4</v>
      </c>
      <c r="X45" s="3"/>
      <c r="Y45" s="3"/>
    </row>
    <row r="46" spans="1:25" ht="14.25" customHeight="1" x14ac:dyDescent="0.3">
      <c r="A46" s="3">
        <f>'Tabela de Jogos'!A46</f>
        <v>44</v>
      </c>
      <c r="B46" s="3" t="str">
        <f>'Tabela de Jogos'!B46</f>
        <v>Jordânia</v>
      </c>
      <c r="C46" s="3">
        <f>'Tabela de Jogos'!C46</f>
        <v>1</v>
      </c>
      <c r="D46" s="3" t="str">
        <f>'Tabela de Jogos'!D46</f>
        <v>x</v>
      </c>
      <c r="E46" s="3">
        <f>'Tabela de Jogos'!E46</f>
        <v>2</v>
      </c>
      <c r="F46" s="3" t="str">
        <f>'Tabela de Jogos'!F46</f>
        <v>Argélia</v>
      </c>
      <c r="G46" s="3" t="str">
        <f>'Tabela de Jogos'!G46</f>
        <v>Argélia</v>
      </c>
      <c r="H46" s="3"/>
      <c r="I46" s="3">
        <f t="shared" ref="I46:J46" si="52">A46</f>
        <v>44</v>
      </c>
      <c r="J46" s="3" t="str">
        <f t="shared" si="52"/>
        <v>Jordânia</v>
      </c>
      <c r="K46" s="3">
        <v>2</v>
      </c>
      <c r="L46" s="3" t="str">
        <f t="shared" si="2"/>
        <v>x</v>
      </c>
      <c r="M46" s="3">
        <v>2</v>
      </c>
      <c r="N46" s="3" t="str">
        <f t="shared" si="3"/>
        <v>Argélia</v>
      </c>
      <c r="O46" s="3" t="str">
        <f t="shared" si="4"/>
        <v>Empate</v>
      </c>
      <c r="P46" s="3"/>
      <c r="Q46" s="3" t="b">
        <f t="shared" si="5"/>
        <v>0</v>
      </c>
      <c r="R46" s="3" t="b">
        <f t="shared" si="6"/>
        <v>0</v>
      </c>
      <c r="S46" s="3" t="b">
        <f t="shared" si="7"/>
        <v>0</v>
      </c>
      <c r="T46" s="3" t="b">
        <f t="shared" si="8"/>
        <v>0</v>
      </c>
      <c r="U46" s="3" t="b">
        <f t="shared" si="9"/>
        <v>1</v>
      </c>
      <c r="V46" s="3"/>
      <c r="W46" s="3" cm="1">
        <f t="array" ref="W46">IF(OR(J46="Brasil",N46="Brasil"),2*_xlfn.IFS(Q46=TRUE,6,R46=TRUE,4,AND(S46=TRUE,T46=FALSE),3,T46=TRUE,2,U46=TRUE,0),_xlfn.IFS(Q46=TRUE,6,R46=TRUE,4,AND(S46=TRUE,T46=FALSE),3,T46=TRUE,2,U46=TRUE,0))</f>
        <v>0</v>
      </c>
      <c r="X46" s="3"/>
      <c r="Y46" s="3"/>
    </row>
    <row r="47" spans="1:25" ht="14.25" customHeight="1" x14ac:dyDescent="0.3">
      <c r="A47" s="3">
        <f>'Tabela de Jogos'!A47</f>
        <v>45</v>
      </c>
      <c r="B47" s="3" t="str">
        <f>'Tabela de Jogos'!B47</f>
        <v>Portugal</v>
      </c>
      <c r="C47" s="3">
        <f>'Tabela de Jogos'!C47</f>
        <v>5</v>
      </c>
      <c r="D47" s="3" t="str">
        <f>'Tabela de Jogos'!D47</f>
        <v>x</v>
      </c>
      <c r="E47" s="3">
        <f>'Tabela de Jogos'!E47</f>
        <v>0</v>
      </c>
      <c r="F47" s="3" t="str">
        <f>'Tabela de Jogos'!F47</f>
        <v>Uzbequistão</v>
      </c>
      <c r="G47" s="3" t="str">
        <f>'Tabela de Jogos'!G47</f>
        <v>Portugal</v>
      </c>
      <c r="H47" s="3"/>
      <c r="I47" s="3">
        <f t="shared" ref="I47:J47" si="53">A47</f>
        <v>45</v>
      </c>
      <c r="J47" s="3" t="str">
        <f t="shared" si="53"/>
        <v>Portugal</v>
      </c>
      <c r="K47" s="3">
        <v>2</v>
      </c>
      <c r="L47" s="3" t="str">
        <f t="shared" si="2"/>
        <v>x</v>
      </c>
      <c r="M47" s="3">
        <v>0</v>
      </c>
      <c r="N47" s="3" t="str">
        <f t="shared" si="3"/>
        <v>Uzbequistão</v>
      </c>
      <c r="O47" s="3" t="str">
        <f t="shared" si="4"/>
        <v>Portugal</v>
      </c>
      <c r="P47" s="3"/>
      <c r="Q47" s="3" t="b">
        <f t="shared" si="5"/>
        <v>0</v>
      </c>
      <c r="R47" s="3" t="b">
        <f t="shared" si="6"/>
        <v>0</v>
      </c>
      <c r="S47" s="3" t="b">
        <f t="shared" si="7"/>
        <v>0</v>
      </c>
      <c r="T47" s="3" t="b">
        <f t="shared" si="8"/>
        <v>1</v>
      </c>
      <c r="U47" s="3" t="b">
        <f t="shared" si="9"/>
        <v>0</v>
      </c>
      <c r="V47" s="3"/>
      <c r="W47" s="3" cm="1">
        <f t="array" ref="W47">IF(OR(J47="Brasil",N47="Brasil"),2*_xlfn.IFS(Q47=TRUE,6,R47=TRUE,4,AND(S47=TRUE,T47=FALSE),3,T47=TRUE,2,U47=TRUE,0),_xlfn.IFS(Q47=TRUE,6,R47=TRUE,4,AND(S47=TRUE,T47=FALSE),3,T47=TRUE,2,U47=TRUE,0))</f>
        <v>2</v>
      </c>
      <c r="X47" s="3"/>
      <c r="Y47" s="3"/>
    </row>
    <row r="48" spans="1:25" ht="14.25" customHeight="1" x14ac:dyDescent="0.3">
      <c r="A48" s="3">
        <f>'Tabela de Jogos'!A48</f>
        <v>46</v>
      </c>
      <c r="B48" s="3" t="str">
        <f>'Tabela de Jogos'!B48</f>
        <v>Inglaterra</v>
      </c>
      <c r="C48" s="3">
        <f>'Tabela de Jogos'!C48</f>
        <v>0</v>
      </c>
      <c r="D48" s="3" t="str">
        <f>'Tabela de Jogos'!D48</f>
        <v>x</v>
      </c>
      <c r="E48" s="3">
        <f>'Tabela de Jogos'!E48</f>
        <v>0</v>
      </c>
      <c r="F48" s="3" t="str">
        <f>'Tabela de Jogos'!F48</f>
        <v>Gana</v>
      </c>
      <c r="G48" s="3" t="str">
        <f>'Tabela de Jogos'!G48</f>
        <v>Empate</v>
      </c>
      <c r="H48" s="3"/>
      <c r="I48" s="3">
        <f t="shared" ref="I48:J48" si="54">A48</f>
        <v>46</v>
      </c>
      <c r="J48" s="3" t="str">
        <f t="shared" si="54"/>
        <v>Inglaterra</v>
      </c>
      <c r="K48" s="3">
        <v>3</v>
      </c>
      <c r="L48" s="3" t="str">
        <f t="shared" si="2"/>
        <v>x</v>
      </c>
      <c r="M48" s="3">
        <v>1</v>
      </c>
      <c r="N48" s="3" t="str">
        <f t="shared" si="3"/>
        <v>Gana</v>
      </c>
      <c r="O48" s="3" t="str">
        <f t="shared" si="4"/>
        <v>Inglaterra</v>
      </c>
      <c r="P48" s="3"/>
      <c r="Q48" s="3" t="b">
        <f t="shared" si="5"/>
        <v>0</v>
      </c>
      <c r="R48" s="3" t="b">
        <f t="shared" si="6"/>
        <v>0</v>
      </c>
      <c r="S48" s="3" t="b">
        <f t="shared" si="7"/>
        <v>0</v>
      </c>
      <c r="T48" s="3" t="b">
        <f t="shared" si="8"/>
        <v>0</v>
      </c>
      <c r="U48" s="3" t="b">
        <f t="shared" si="9"/>
        <v>1</v>
      </c>
      <c r="V48" s="3"/>
      <c r="W48" s="3" cm="1">
        <f t="array" ref="W48">IF(OR(J48="Brasil",N48="Brasil"),2*_xlfn.IFS(Q48=TRUE,6,R48=TRUE,4,AND(S48=TRUE,T48=FALSE),3,T48=TRUE,2,U48=TRUE,0),_xlfn.IFS(Q48=TRUE,6,R48=TRUE,4,AND(S48=TRUE,T48=FALSE),3,T48=TRUE,2,U48=TRUE,0))</f>
        <v>0</v>
      </c>
      <c r="X48" s="3"/>
      <c r="Y48" s="3"/>
    </row>
    <row r="49" spans="1:25" ht="14.25" customHeight="1" x14ac:dyDescent="0.3">
      <c r="A49" s="3">
        <f>'Tabela de Jogos'!A49</f>
        <v>47</v>
      </c>
      <c r="B49" s="3" t="str">
        <f>'Tabela de Jogos'!B49</f>
        <v>Panamá</v>
      </c>
      <c r="C49" s="3">
        <f>'Tabela de Jogos'!C49</f>
        <v>0</v>
      </c>
      <c r="D49" s="3" t="str">
        <f>'Tabela de Jogos'!D49</f>
        <v>x</v>
      </c>
      <c r="E49" s="3">
        <f>'Tabela de Jogos'!E49</f>
        <v>1</v>
      </c>
      <c r="F49" s="3" t="str">
        <f>'Tabela de Jogos'!F49</f>
        <v>Croácia</v>
      </c>
      <c r="G49" s="3" t="str">
        <f>'Tabela de Jogos'!G49</f>
        <v>Croácia</v>
      </c>
      <c r="H49" s="3"/>
      <c r="I49" s="3">
        <f t="shared" ref="I49:J49" si="55">A49</f>
        <v>47</v>
      </c>
      <c r="J49" s="3" t="str">
        <f t="shared" si="55"/>
        <v>Panamá</v>
      </c>
      <c r="K49" s="3">
        <v>0</v>
      </c>
      <c r="L49" s="3" t="str">
        <f t="shared" si="2"/>
        <v>x</v>
      </c>
      <c r="M49" s="3">
        <v>2</v>
      </c>
      <c r="N49" s="3" t="str">
        <f t="shared" si="3"/>
        <v>Croácia</v>
      </c>
      <c r="O49" s="3" t="str">
        <f t="shared" si="4"/>
        <v>Croácia</v>
      </c>
      <c r="P49" s="3"/>
      <c r="Q49" s="3" t="b">
        <f t="shared" si="5"/>
        <v>0</v>
      </c>
      <c r="R49" s="3" t="b">
        <f t="shared" si="6"/>
        <v>0</v>
      </c>
      <c r="S49" s="3" t="b">
        <f t="shared" si="7"/>
        <v>0</v>
      </c>
      <c r="T49" s="3" t="b">
        <f t="shared" si="8"/>
        <v>1</v>
      </c>
      <c r="U49" s="3" t="b">
        <f t="shared" si="9"/>
        <v>0</v>
      </c>
      <c r="V49" s="3"/>
      <c r="W49" s="3" cm="1">
        <f t="array" ref="W49">IF(OR(J49="Brasil",N49="Brasil"),2*_xlfn.IFS(Q49=TRUE,6,R49=TRUE,4,AND(S49=TRUE,T49=FALSE),3,T49=TRUE,2,U49=TRUE,0),_xlfn.IFS(Q49=TRUE,6,R49=TRUE,4,AND(S49=TRUE,T49=FALSE),3,T49=TRUE,2,U49=TRUE,0))</f>
        <v>2</v>
      </c>
      <c r="X49" s="3"/>
      <c r="Y49" s="3"/>
    </row>
    <row r="50" spans="1:25" ht="14.25" customHeight="1" x14ac:dyDescent="0.3">
      <c r="A50" s="3">
        <f>'Tabela de Jogos'!A50</f>
        <v>48</v>
      </c>
      <c r="B50" s="3" t="str">
        <f>'Tabela de Jogos'!B50</f>
        <v>Colômbia</v>
      </c>
      <c r="C50" s="3">
        <f>'Tabela de Jogos'!C50</f>
        <v>1</v>
      </c>
      <c r="D50" s="3" t="str">
        <f>'Tabela de Jogos'!D50</f>
        <v>x</v>
      </c>
      <c r="E50" s="3">
        <f>'Tabela de Jogos'!E50</f>
        <v>0</v>
      </c>
      <c r="F50" s="3" t="str">
        <f>'Tabela de Jogos'!F50</f>
        <v>RD Congo</v>
      </c>
      <c r="G50" s="3" t="str">
        <f>'Tabela de Jogos'!G50</f>
        <v>Colômbia</v>
      </c>
      <c r="H50" s="3"/>
      <c r="I50" s="3">
        <f t="shared" ref="I50:J50" si="56">A50</f>
        <v>48</v>
      </c>
      <c r="J50" s="3" t="str">
        <f t="shared" si="56"/>
        <v>Colômbia</v>
      </c>
      <c r="K50" s="3">
        <v>2</v>
      </c>
      <c r="L50" s="3" t="str">
        <f t="shared" si="2"/>
        <v>x</v>
      </c>
      <c r="M50" s="3">
        <v>1</v>
      </c>
      <c r="N50" s="3" t="str">
        <f t="shared" si="3"/>
        <v>RD Congo</v>
      </c>
      <c r="O50" s="3" t="str">
        <f t="shared" si="4"/>
        <v>Colômbia</v>
      </c>
      <c r="P50" s="3"/>
      <c r="Q50" s="3" t="b">
        <f t="shared" si="5"/>
        <v>0</v>
      </c>
      <c r="R50" s="3" t="b">
        <f t="shared" si="6"/>
        <v>0</v>
      </c>
      <c r="S50" s="3" t="b">
        <f t="shared" si="7"/>
        <v>1</v>
      </c>
      <c r="T50" s="3" t="b">
        <f t="shared" si="8"/>
        <v>0</v>
      </c>
      <c r="U50" s="3" t="b">
        <f t="shared" si="9"/>
        <v>0</v>
      </c>
      <c r="V50" s="3"/>
      <c r="W50" s="3" cm="1">
        <f t="array" ref="W50">IF(OR(J50="Brasil",N50="Brasil"),2*_xlfn.IFS(Q50=TRUE,6,R50=TRUE,4,AND(S50=TRUE,T50=FALSE),3,T50=TRUE,2,U50=TRUE,0),_xlfn.IFS(Q50=TRUE,6,R50=TRUE,4,AND(S50=TRUE,T50=FALSE),3,T50=TRUE,2,U50=TRUE,0))</f>
        <v>3</v>
      </c>
      <c r="X50" s="3"/>
      <c r="Y50" s="3"/>
    </row>
    <row r="51" spans="1:25" ht="14.25" customHeight="1" x14ac:dyDescent="0.3">
      <c r="A51" s="3">
        <f>'Tabela de Jogos'!A51</f>
        <v>49</v>
      </c>
      <c r="B51" s="3" t="str">
        <f>'Tabela de Jogos'!B51</f>
        <v>Suíça</v>
      </c>
      <c r="C51" s="3">
        <f>'Tabela de Jogos'!C51</f>
        <v>2</v>
      </c>
      <c r="D51" s="3" t="str">
        <f>'Tabela de Jogos'!D51</f>
        <v>x</v>
      </c>
      <c r="E51" s="3">
        <f>'Tabela de Jogos'!E51</f>
        <v>1</v>
      </c>
      <c r="F51" s="3" t="str">
        <f>'Tabela de Jogos'!F51</f>
        <v>Canadá</v>
      </c>
      <c r="G51" s="3" t="str">
        <f>'Tabela de Jogos'!G51</f>
        <v>Suíça</v>
      </c>
      <c r="H51" s="3"/>
      <c r="I51" s="3">
        <f t="shared" ref="I51:J51" si="57">A51</f>
        <v>49</v>
      </c>
      <c r="J51" s="3" t="str">
        <f t="shared" si="57"/>
        <v>Suíça</v>
      </c>
      <c r="K51" s="4">
        <v>2</v>
      </c>
      <c r="L51" s="3" t="str">
        <f t="shared" si="2"/>
        <v>x</v>
      </c>
      <c r="M51" s="4">
        <v>1</v>
      </c>
      <c r="N51" s="3" t="str">
        <f t="shared" si="3"/>
        <v>Canadá</v>
      </c>
      <c r="O51" s="3" t="str">
        <f t="shared" si="4"/>
        <v>Suíça</v>
      </c>
      <c r="P51" s="3"/>
      <c r="Q51" s="3" t="b">
        <f t="shared" si="5"/>
        <v>1</v>
      </c>
      <c r="R51" s="3" t="b">
        <f t="shared" si="6"/>
        <v>0</v>
      </c>
      <c r="S51" s="3" t="b">
        <f t="shared" si="7"/>
        <v>0</v>
      </c>
      <c r="T51" s="3" t="b">
        <f t="shared" si="8"/>
        <v>0</v>
      </c>
      <c r="U51" s="3" t="b">
        <f t="shared" si="9"/>
        <v>0</v>
      </c>
      <c r="V51" s="3"/>
      <c r="W51" s="3" cm="1">
        <f t="array" ref="W51">IF(OR(J51="Brasil",N51="Brasil"),2*_xlfn.IFS(Q51=TRUE,6,R51=TRUE,4,AND(S51=TRUE,T51=FALSE),3,T51=TRUE,2,U51=TRUE,0),_xlfn.IFS(Q51=TRUE,6,R51=TRUE,4,AND(S51=TRUE,T51=FALSE),3,T51=TRUE,2,U51=TRUE,0))</f>
        <v>6</v>
      </c>
      <c r="X51" s="3"/>
      <c r="Y51" s="3"/>
    </row>
    <row r="52" spans="1:25" ht="14.25" customHeight="1" x14ac:dyDescent="0.3">
      <c r="A52" s="3">
        <f>'Tabela de Jogos'!A52</f>
        <v>50</v>
      </c>
      <c r="B52" s="3" t="str">
        <f>'Tabela de Jogos'!B52</f>
        <v>Bósnia</v>
      </c>
      <c r="C52" s="3">
        <f>'Tabela de Jogos'!C52</f>
        <v>3</v>
      </c>
      <c r="D52" s="3" t="str">
        <f>'Tabela de Jogos'!D52</f>
        <v>x</v>
      </c>
      <c r="E52" s="3">
        <f>'Tabela de Jogos'!E52</f>
        <v>1</v>
      </c>
      <c r="F52" s="3" t="str">
        <f>'Tabela de Jogos'!F52</f>
        <v>Catar</v>
      </c>
      <c r="G52" s="3" t="str">
        <f>'Tabela de Jogos'!G52</f>
        <v>Bósnia</v>
      </c>
      <c r="H52" s="3"/>
      <c r="I52" s="3">
        <f t="shared" ref="I52:J52" si="58">A52</f>
        <v>50</v>
      </c>
      <c r="J52" s="3" t="str">
        <f t="shared" si="58"/>
        <v>Bósnia</v>
      </c>
      <c r="K52" s="4">
        <v>2</v>
      </c>
      <c r="L52" s="3" t="str">
        <f t="shared" si="2"/>
        <v>x</v>
      </c>
      <c r="M52" s="4">
        <v>0</v>
      </c>
      <c r="N52" s="3" t="str">
        <f t="shared" si="3"/>
        <v>Catar</v>
      </c>
      <c r="O52" s="3" t="str">
        <f t="shared" si="4"/>
        <v>Bósnia</v>
      </c>
      <c r="P52" s="3"/>
      <c r="Q52" s="3" t="b">
        <f t="shared" si="5"/>
        <v>0</v>
      </c>
      <c r="R52" s="3" t="b">
        <f t="shared" si="6"/>
        <v>0</v>
      </c>
      <c r="S52" s="3" t="b">
        <f t="shared" si="7"/>
        <v>1</v>
      </c>
      <c r="T52" s="3" t="b">
        <f t="shared" si="8"/>
        <v>0</v>
      </c>
      <c r="U52" s="3" t="b">
        <f t="shared" si="9"/>
        <v>0</v>
      </c>
      <c r="V52" s="3"/>
      <c r="W52" s="3" cm="1">
        <f t="array" ref="W52">IF(OR(J52="Brasil",N52="Brasil"),2*_xlfn.IFS(Q52=TRUE,6,R52=TRUE,4,AND(S52=TRUE,T52=FALSE),3,T52=TRUE,2,U52=TRUE,0),_xlfn.IFS(Q52=TRUE,6,R52=TRUE,4,AND(S52=TRUE,T52=FALSE),3,T52=TRUE,2,U52=TRUE,0))</f>
        <v>3</v>
      </c>
      <c r="X52" s="3"/>
      <c r="Y52" s="3"/>
    </row>
    <row r="53" spans="1:25" ht="14.25" customHeight="1" x14ac:dyDescent="0.3">
      <c r="A53" s="3">
        <f>'Tabela de Jogos'!A53</f>
        <v>51</v>
      </c>
      <c r="B53" s="3" t="str">
        <f>'Tabela de Jogos'!B53</f>
        <v>Marrocos</v>
      </c>
      <c r="C53" s="3">
        <f>'Tabela de Jogos'!C53</f>
        <v>4</v>
      </c>
      <c r="D53" s="3" t="str">
        <f>'Tabela de Jogos'!D53</f>
        <v>x</v>
      </c>
      <c r="E53" s="3">
        <f>'Tabela de Jogos'!E53</f>
        <v>2</v>
      </c>
      <c r="F53" s="3" t="str">
        <f>'Tabela de Jogos'!F53</f>
        <v>Haiti</v>
      </c>
      <c r="G53" s="3" t="str">
        <f>'Tabela de Jogos'!G53</f>
        <v>Marrocos</v>
      </c>
      <c r="H53" s="3"/>
      <c r="I53" s="3">
        <f t="shared" ref="I53:J53" si="59">A53</f>
        <v>51</v>
      </c>
      <c r="J53" s="3" t="str">
        <f t="shared" si="59"/>
        <v>Marrocos</v>
      </c>
      <c r="K53" s="4">
        <v>3</v>
      </c>
      <c r="L53" s="3" t="str">
        <f t="shared" si="2"/>
        <v>x</v>
      </c>
      <c r="M53" s="4">
        <v>0</v>
      </c>
      <c r="N53" s="3" t="str">
        <f t="shared" si="3"/>
        <v>Haiti</v>
      </c>
      <c r="O53" s="3" t="str">
        <f t="shared" si="4"/>
        <v>Marrocos</v>
      </c>
      <c r="P53" s="3"/>
      <c r="Q53" s="3" t="b">
        <f t="shared" si="5"/>
        <v>0</v>
      </c>
      <c r="R53" s="3" t="b">
        <f t="shared" si="6"/>
        <v>0</v>
      </c>
      <c r="S53" s="3" t="b">
        <f t="shared" si="7"/>
        <v>0</v>
      </c>
      <c r="T53" s="3" t="b">
        <f t="shared" si="8"/>
        <v>1</v>
      </c>
      <c r="U53" s="3" t="b">
        <f t="shared" si="9"/>
        <v>0</v>
      </c>
      <c r="V53" s="3"/>
      <c r="W53" s="3" cm="1">
        <f t="array" ref="W53">IF(OR(J53="Brasil",N53="Brasil"),2*_xlfn.IFS(Q53=TRUE,6,R53=TRUE,4,AND(S53=TRUE,T53=FALSE),3,T53=TRUE,2,U53=TRUE,0),_xlfn.IFS(Q53=TRUE,6,R53=TRUE,4,AND(S53=TRUE,T53=FALSE),3,T53=TRUE,2,U53=TRUE,0))</f>
        <v>2</v>
      </c>
      <c r="X53" s="3"/>
      <c r="Y53" s="3"/>
    </row>
    <row r="54" spans="1:25" ht="14.25" customHeight="1" x14ac:dyDescent="0.3">
      <c r="A54" s="3">
        <f>'Tabela de Jogos'!A54</f>
        <v>52</v>
      </c>
      <c r="B54" s="3" t="str">
        <f>'Tabela de Jogos'!B54</f>
        <v>Escócia</v>
      </c>
      <c r="C54" s="3">
        <f>'Tabela de Jogos'!C54</f>
        <v>0</v>
      </c>
      <c r="D54" s="3" t="str">
        <f>'Tabela de Jogos'!D54</f>
        <v>x</v>
      </c>
      <c r="E54" s="3">
        <f>'Tabela de Jogos'!E54</f>
        <v>3</v>
      </c>
      <c r="F54" s="3" t="str">
        <f>'Tabela de Jogos'!F54</f>
        <v>Brasil</v>
      </c>
      <c r="G54" s="3" t="str">
        <f>'Tabela de Jogos'!G54</f>
        <v>Brasil</v>
      </c>
      <c r="H54" s="3"/>
      <c r="I54" s="3">
        <f t="shared" ref="I54:J54" si="60">A54</f>
        <v>52</v>
      </c>
      <c r="J54" s="3" t="str">
        <f t="shared" si="60"/>
        <v>Escócia</v>
      </c>
      <c r="K54" s="4">
        <v>0</v>
      </c>
      <c r="L54" s="3" t="str">
        <f t="shared" si="2"/>
        <v>x</v>
      </c>
      <c r="M54" s="4">
        <v>2</v>
      </c>
      <c r="N54" s="3" t="str">
        <f t="shared" si="3"/>
        <v>Brasil</v>
      </c>
      <c r="O54" s="3" t="str">
        <f t="shared" si="4"/>
        <v>Brasil</v>
      </c>
      <c r="P54" s="3"/>
      <c r="Q54" s="3" t="b">
        <f t="shared" si="5"/>
        <v>0</v>
      </c>
      <c r="R54" s="3" t="b">
        <f t="shared" si="6"/>
        <v>0</v>
      </c>
      <c r="S54" s="3" t="b">
        <f t="shared" si="7"/>
        <v>0</v>
      </c>
      <c r="T54" s="3" t="b">
        <f t="shared" si="8"/>
        <v>1</v>
      </c>
      <c r="U54" s="3" t="b">
        <f t="shared" si="9"/>
        <v>0</v>
      </c>
      <c r="V54" s="3"/>
      <c r="W54" s="3" cm="1">
        <f t="array" ref="W54">IF(OR(J54="Brasil",N54="Brasil"),2*_xlfn.IFS(Q54=TRUE,6,R54=TRUE,4,AND(S54=TRUE,T54=FALSE),3,T54=TRUE,2,U54=TRUE,0),_xlfn.IFS(Q54=TRUE,6,R54=TRUE,4,AND(S54=TRUE,T54=FALSE),3,T54=TRUE,2,U54=TRUE,0))</f>
        <v>4</v>
      </c>
      <c r="X54" s="3"/>
      <c r="Y54" s="3"/>
    </row>
    <row r="55" spans="1:25" ht="14.25" customHeight="1" x14ac:dyDescent="0.3">
      <c r="A55" s="3">
        <f>'Tabela de Jogos'!A55</f>
        <v>53</v>
      </c>
      <c r="B55" s="3" t="str">
        <f>'Tabela de Jogos'!B55</f>
        <v>África do Sul</v>
      </c>
      <c r="C55" s="3">
        <f>'Tabela de Jogos'!C55</f>
        <v>1</v>
      </c>
      <c r="D55" s="3" t="str">
        <f>'Tabela de Jogos'!D55</f>
        <v>x</v>
      </c>
      <c r="E55" s="3">
        <f>'Tabela de Jogos'!E55</f>
        <v>0</v>
      </c>
      <c r="F55" s="3" t="str">
        <f>'Tabela de Jogos'!F55</f>
        <v>Coreia do Sul</v>
      </c>
      <c r="G55" s="3" t="str">
        <f>'Tabela de Jogos'!G55</f>
        <v>África do Sul</v>
      </c>
      <c r="H55" s="3"/>
      <c r="I55" s="3">
        <f t="shared" ref="I55:J55" si="61">A55</f>
        <v>53</v>
      </c>
      <c r="J55" s="3" t="str">
        <f t="shared" si="61"/>
        <v>África do Sul</v>
      </c>
      <c r="K55" s="4">
        <v>0</v>
      </c>
      <c r="L55" s="3" t="str">
        <f t="shared" si="2"/>
        <v>x</v>
      </c>
      <c r="M55" s="4">
        <v>2</v>
      </c>
      <c r="N55" s="3" t="str">
        <f t="shared" si="3"/>
        <v>Coreia do Sul</v>
      </c>
      <c r="O55" s="3" t="str">
        <f t="shared" si="4"/>
        <v>Coreia do Sul</v>
      </c>
      <c r="P55" s="3"/>
      <c r="Q55" s="3" t="b">
        <f t="shared" si="5"/>
        <v>0</v>
      </c>
      <c r="R55" s="3" t="b">
        <f t="shared" si="6"/>
        <v>0</v>
      </c>
      <c r="S55" s="3" t="b">
        <f t="shared" si="7"/>
        <v>0</v>
      </c>
      <c r="T55" s="3" t="b">
        <f t="shared" si="8"/>
        <v>0</v>
      </c>
      <c r="U55" s="3" t="b">
        <f t="shared" si="9"/>
        <v>1</v>
      </c>
      <c r="V55" s="3"/>
      <c r="W55" s="3" cm="1">
        <f t="array" ref="W55">IF(OR(J55="Brasil",N55="Brasil"),2*_xlfn.IFS(Q55=TRUE,6,R55=TRUE,4,AND(S55=TRUE,T55=FALSE),3,T55=TRUE,2,U55=TRUE,0),_xlfn.IFS(Q55=TRUE,6,R55=TRUE,4,AND(S55=TRUE,T55=FALSE),3,T55=TRUE,2,U55=TRUE,0))</f>
        <v>0</v>
      </c>
      <c r="X55" s="3"/>
      <c r="Y55" s="3"/>
    </row>
    <row r="56" spans="1:25" ht="14.25" customHeight="1" x14ac:dyDescent="0.3">
      <c r="A56" s="3">
        <f>'Tabela de Jogos'!A56</f>
        <v>54</v>
      </c>
      <c r="B56" s="3" t="str">
        <f>'Tabela de Jogos'!B56</f>
        <v>Tchéquia</v>
      </c>
      <c r="C56" s="3">
        <f>'Tabela de Jogos'!C56</f>
        <v>0</v>
      </c>
      <c r="D56" s="3" t="str">
        <f>'Tabela de Jogos'!D56</f>
        <v>x</v>
      </c>
      <c r="E56" s="3">
        <f>'Tabela de Jogos'!E56</f>
        <v>3</v>
      </c>
      <c r="F56" s="3" t="str">
        <f>'Tabela de Jogos'!F56</f>
        <v>México</v>
      </c>
      <c r="G56" s="3" t="str">
        <f>'Tabela de Jogos'!G56</f>
        <v>México</v>
      </c>
      <c r="H56" s="3"/>
      <c r="I56" s="3">
        <f t="shared" ref="I56:J56" si="62">A56</f>
        <v>54</v>
      </c>
      <c r="J56" s="3" t="str">
        <f t="shared" si="62"/>
        <v>Tchéquia</v>
      </c>
      <c r="K56" s="4">
        <v>1</v>
      </c>
      <c r="L56" s="3" t="str">
        <f t="shared" si="2"/>
        <v>x</v>
      </c>
      <c r="M56" s="4">
        <v>2</v>
      </c>
      <c r="N56" s="3" t="str">
        <f t="shared" si="3"/>
        <v>México</v>
      </c>
      <c r="O56" s="3" t="str">
        <f t="shared" si="4"/>
        <v>México</v>
      </c>
      <c r="P56" s="3"/>
      <c r="Q56" s="3" t="b">
        <f t="shared" si="5"/>
        <v>0</v>
      </c>
      <c r="R56" s="3" t="b">
        <f t="shared" si="6"/>
        <v>0</v>
      </c>
      <c r="S56" s="3" t="b">
        <f t="shared" si="7"/>
        <v>0</v>
      </c>
      <c r="T56" s="3" t="b">
        <f t="shared" si="8"/>
        <v>1</v>
      </c>
      <c r="U56" s="3" t="b">
        <f t="shared" si="9"/>
        <v>0</v>
      </c>
      <c r="V56" s="3"/>
      <c r="W56" s="3" cm="1">
        <f t="array" ref="W56">IF(OR(J56="Brasil",N56="Brasil"),2*_xlfn.IFS(Q56=TRUE,6,R56=TRUE,4,AND(S56=TRUE,T56=FALSE),3,T56=TRUE,2,U56=TRUE,0),_xlfn.IFS(Q56=TRUE,6,R56=TRUE,4,AND(S56=TRUE,T56=FALSE),3,T56=TRUE,2,U56=TRUE,0))</f>
        <v>2</v>
      </c>
      <c r="X56" s="3"/>
      <c r="Y56" s="3"/>
    </row>
    <row r="57" spans="1:25" ht="14.25" customHeight="1" x14ac:dyDescent="0.3">
      <c r="A57" s="3">
        <f>'Tabela de Jogos'!A57</f>
        <v>55</v>
      </c>
      <c r="B57" s="3" t="str">
        <f>'Tabela de Jogos'!B57</f>
        <v>Curaçao</v>
      </c>
      <c r="C57" s="3">
        <f>'Tabela de Jogos'!C57</f>
        <v>0</v>
      </c>
      <c r="D57" s="3" t="str">
        <f>'Tabela de Jogos'!D57</f>
        <v>x</v>
      </c>
      <c r="E57" s="3">
        <f>'Tabela de Jogos'!E57</f>
        <v>2</v>
      </c>
      <c r="F57" s="3" t="str">
        <f>'Tabela de Jogos'!F57</f>
        <v>Costa do Marfim</v>
      </c>
      <c r="G57" s="3" t="str">
        <f>'Tabela de Jogos'!G57</f>
        <v>Costa do Marfim</v>
      </c>
      <c r="H57" s="3"/>
      <c r="I57" s="3">
        <f t="shared" ref="I57:J57" si="63">A57</f>
        <v>55</v>
      </c>
      <c r="J57" s="3" t="str">
        <f t="shared" si="63"/>
        <v>Curaçao</v>
      </c>
      <c r="K57" s="3">
        <v>0</v>
      </c>
      <c r="L57" s="3" t="str">
        <f t="shared" si="2"/>
        <v>x</v>
      </c>
      <c r="M57" s="3">
        <v>2</v>
      </c>
      <c r="N57" s="3" t="str">
        <f t="shared" si="3"/>
        <v>Costa do Marfim</v>
      </c>
      <c r="O57" s="3" t="str">
        <f t="shared" si="4"/>
        <v>Costa do Marfim</v>
      </c>
      <c r="P57" s="3"/>
      <c r="Q57" s="3" t="b">
        <f t="shared" si="5"/>
        <v>1</v>
      </c>
      <c r="R57" s="3" t="b">
        <f t="shared" si="6"/>
        <v>0</v>
      </c>
      <c r="S57" s="3" t="b">
        <f t="shared" si="7"/>
        <v>0</v>
      </c>
      <c r="T57" s="3" t="b">
        <f t="shared" si="8"/>
        <v>0</v>
      </c>
      <c r="U57" s="3" t="b">
        <f t="shared" si="9"/>
        <v>0</v>
      </c>
      <c r="V57" s="3"/>
      <c r="W57" s="3" cm="1">
        <f t="array" ref="W57">IF(OR(J57="Brasil",N57="Brasil"),2*_xlfn.IFS(Q57=TRUE,6,R57=TRUE,4,AND(S57=TRUE,T57=FALSE),3,T57=TRUE,2,U57=TRUE,0),_xlfn.IFS(Q57=TRUE,6,R57=TRUE,4,AND(S57=TRUE,T57=FALSE),3,T57=TRUE,2,U57=TRUE,0))</f>
        <v>6</v>
      </c>
      <c r="X57" s="3"/>
      <c r="Y57" s="3"/>
    </row>
    <row r="58" spans="1:25" ht="14.25" customHeight="1" x14ac:dyDescent="0.3">
      <c r="A58" s="3">
        <f>'Tabela de Jogos'!A58</f>
        <v>56</v>
      </c>
      <c r="B58" s="3" t="str">
        <f>'Tabela de Jogos'!B58</f>
        <v>Equador</v>
      </c>
      <c r="C58" s="3">
        <f>'Tabela de Jogos'!C58</f>
        <v>2</v>
      </c>
      <c r="D58" s="3" t="str">
        <f>'Tabela de Jogos'!D58</f>
        <v>x</v>
      </c>
      <c r="E58" s="3">
        <f>'Tabela de Jogos'!E58</f>
        <v>1</v>
      </c>
      <c r="F58" s="3" t="str">
        <f>'Tabela de Jogos'!F58</f>
        <v>Alemanha</v>
      </c>
      <c r="G58" s="3" t="str">
        <f>'Tabela de Jogos'!G58</f>
        <v>Equador</v>
      </c>
      <c r="H58" s="3"/>
      <c r="I58" s="3">
        <f t="shared" ref="I58:J58" si="64">A58</f>
        <v>56</v>
      </c>
      <c r="J58" s="3" t="str">
        <f t="shared" si="64"/>
        <v>Equador</v>
      </c>
      <c r="K58" s="3">
        <v>1</v>
      </c>
      <c r="L58" s="3" t="str">
        <f t="shared" si="2"/>
        <v>x</v>
      </c>
      <c r="M58" s="3">
        <v>3</v>
      </c>
      <c r="N58" s="3" t="str">
        <f t="shared" si="3"/>
        <v>Alemanha</v>
      </c>
      <c r="O58" s="3" t="str">
        <f t="shared" si="4"/>
        <v>Alemanha</v>
      </c>
      <c r="P58" s="3"/>
      <c r="Q58" s="3" t="b">
        <f t="shared" si="5"/>
        <v>0</v>
      </c>
      <c r="R58" s="3" t="b">
        <f t="shared" si="6"/>
        <v>0</v>
      </c>
      <c r="S58" s="3" t="b">
        <f t="shared" si="7"/>
        <v>0</v>
      </c>
      <c r="T58" s="3" t="b">
        <f t="shared" si="8"/>
        <v>0</v>
      </c>
      <c r="U58" s="3" t="b">
        <f t="shared" si="9"/>
        <v>1</v>
      </c>
      <c r="V58" s="3"/>
      <c r="W58" s="3" cm="1">
        <f t="array" ref="W58">IF(OR(J58="Brasil",N58="Brasil"),2*_xlfn.IFS(Q58=TRUE,6,R58=TRUE,4,AND(S58=TRUE,T58=FALSE),3,T58=TRUE,2,U58=TRUE,0),_xlfn.IFS(Q58=TRUE,6,R58=TRUE,4,AND(S58=TRUE,T58=FALSE),3,T58=TRUE,2,U58=TRUE,0))</f>
        <v>0</v>
      </c>
      <c r="X58" s="3"/>
      <c r="Y58" s="3"/>
    </row>
    <row r="59" spans="1:25" ht="14.25" customHeight="1" x14ac:dyDescent="0.3">
      <c r="A59" s="3">
        <f>'Tabela de Jogos'!A59</f>
        <v>57</v>
      </c>
      <c r="B59" s="3" t="str">
        <f>'Tabela de Jogos'!B59</f>
        <v>Tunísia</v>
      </c>
      <c r="C59" s="3">
        <f>'Tabela de Jogos'!C59</f>
        <v>1</v>
      </c>
      <c r="D59" s="3" t="str">
        <f>'Tabela de Jogos'!D59</f>
        <v>x</v>
      </c>
      <c r="E59" s="3">
        <f>'Tabela de Jogos'!E59</f>
        <v>3</v>
      </c>
      <c r="F59" s="3" t="str">
        <f>'Tabela de Jogos'!F59</f>
        <v>Holanda</v>
      </c>
      <c r="G59" s="3" t="str">
        <f>'Tabela de Jogos'!G59</f>
        <v>Holanda</v>
      </c>
      <c r="H59" s="3"/>
      <c r="I59" s="3">
        <f t="shared" ref="I59:J59" si="65">A59</f>
        <v>57</v>
      </c>
      <c r="J59" s="3" t="str">
        <f t="shared" si="65"/>
        <v>Tunísia</v>
      </c>
      <c r="K59" s="3">
        <v>0</v>
      </c>
      <c r="L59" s="3" t="str">
        <f t="shared" si="2"/>
        <v>x</v>
      </c>
      <c r="M59" s="3">
        <v>3</v>
      </c>
      <c r="N59" s="3" t="str">
        <f t="shared" si="3"/>
        <v>Holanda</v>
      </c>
      <c r="O59" s="3" t="str">
        <f t="shared" si="4"/>
        <v>Holanda</v>
      </c>
      <c r="P59" s="3"/>
      <c r="Q59" s="3" t="b">
        <f t="shared" si="5"/>
        <v>0</v>
      </c>
      <c r="R59" s="3" t="b">
        <f t="shared" si="6"/>
        <v>1</v>
      </c>
      <c r="S59" s="3" t="b">
        <f t="shared" si="7"/>
        <v>0</v>
      </c>
      <c r="T59" s="3" t="b">
        <f t="shared" si="8"/>
        <v>0</v>
      </c>
      <c r="U59" s="3" t="b">
        <f t="shared" si="9"/>
        <v>0</v>
      </c>
      <c r="V59" s="3"/>
      <c r="W59" s="3" cm="1">
        <f t="array" ref="W59">IF(OR(J59="Brasil",N59="Brasil"),2*_xlfn.IFS(Q59=TRUE,6,R59=TRUE,4,AND(S59=TRUE,T59=FALSE),3,T59=TRUE,2,U59=TRUE,0),_xlfn.IFS(Q59=TRUE,6,R59=TRUE,4,AND(S59=TRUE,T59=FALSE),3,T59=TRUE,2,U59=TRUE,0))</f>
        <v>4</v>
      </c>
      <c r="X59" s="3"/>
      <c r="Y59" s="3"/>
    </row>
    <row r="60" spans="1:25" ht="14.25" customHeight="1" x14ac:dyDescent="0.3">
      <c r="A60" s="3">
        <f>'Tabela de Jogos'!A60</f>
        <v>58</v>
      </c>
      <c r="B60" s="3" t="str">
        <f>'Tabela de Jogos'!B60</f>
        <v>Japão</v>
      </c>
      <c r="C60" s="3">
        <f>'Tabela de Jogos'!C60</f>
        <v>1</v>
      </c>
      <c r="D60" s="3" t="str">
        <f>'Tabela de Jogos'!D60</f>
        <v>x</v>
      </c>
      <c r="E60" s="3">
        <f>'Tabela de Jogos'!E60</f>
        <v>1</v>
      </c>
      <c r="F60" s="3" t="str">
        <f>'Tabela de Jogos'!F60</f>
        <v>Suécia</v>
      </c>
      <c r="G60" s="3" t="str">
        <f>'Tabela de Jogos'!G60</f>
        <v>Empate</v>
      </c>
      <c r="H60" s="3"/>
      <c r="I60" s="3">
        <f t="shared" ref="I60:J60" si="66">A60</f>
        <v>58</v>
      </c>
      <c r="J60" s="3" t="str">
        <f t="shared" si="66"/>
        <v>Japão</v>
      </c>
      <c r="K60" s="3">
        <v>2</v>
      </c>
      <c r="L60" s="3" t="str">
        <f t="shared" si="2"/>
        <v>x</v>
      </c>
      <c r="M60" s="3">
        <v>1</v>
      </c>
      <c r="N60" s="3" t="str">
        <f t="shared" si="3"/>
        <v>Suécia</v>
      </c>
      <c r="O60" s="3" t="str">
        <f t="shared" si="4"/>
        <v>Japão</v>
      </c>
      <c r="P60" s="3"/>
      <c r="Q60" s="3" t="b">
        <f t="shared" si="5"/>
        <v>0</v>
      </c>
      <c r="R60" s="3" t="b">
        <f t="shared" si="6"/>
        <v>0</v>
      </c>
      <c r="S60" s="3" t="b">
        <f t="shared" si="7"/>
        <v>0</v>
      </c>
      <c r="T60" s="3" t="b">
        <f t="shared" si="8"/>
        <v>0</v>
      </c>
      <c r="U60" s="3" t="b">
        <f t="shared" si="9"/>
        <v>1</v>
      </c>
      <c r="V60" s="3"/>
      <c r="W60" s="3" cm="1">
        <f t="array" ref="W60">IF(OR(J60="Brasil",N60="Brasil"),2*_xlfn.IFS(Q60=TRUE,6,R60=TRUE,4,AND(S60=TRUE,T60=FALSE),3,T60=TRUE,2,U60=TRUE,0),_xlfn.IFS(Q60=TRUE,6,R60=TRUE,4,AND(S60=TRUE,T60=FALSE),3,T60=TRUE,2,U60=TRUE,0))</f>
        <v>0</v>
      </c>
      <c r="X60" s="3"/>
      <c r="Y60" s="3"/>
    </row>
    <row r="61" spans="1:25" ht="14.25" customHeight="1" x14ac:dyDescent="0.3">
      <c r="A61" s="3">
        <f>'Tabela de Jogos'!A61</f>
        <v>59</v>
      </c>
      <c r="B61" s="3" t="str">
        <f>'Tabela de Jogos'!B61</f>
        <v>Turquia</v>
      </c>
      <c r="C61" s="3">
        <f>'Tabela de Jogos'!C61</f>
        <v>0</v>
      </c>
      <c r="D61" s="3" t="str">
        <f>'Tabela de Jogos'!D61</f>
        <v>x</v>
      </c>
      <c r="E61" s="3">
        <f>'Tabela de Jogos'!E61</f>
        <v>0</v>
      </c>
      <c r="F61" s="3" t="str">
        <f>'Tabela de Jogos'!F61</f>
        <v>EUA</v>
      </c>
      <c r="G61" s="3" t="str">
        <f>'Tabela de Jogos'!G61</f>
        <v>-</v>
      </c>
      <c r="H61" s="3"/>
      <c r="I61" s="3">
        <f t="shared" ref="I61:J61" si="67">A61</f>
        <v>59</v>
      </c>
      <c r="J61" s="3" t="str">
        <f t="shared" si="67"/>
        <v>Turquia</v>
      </c>
      <c r="K61" s="3">
        <v>1</v>
      </c>
      <c r="L61" s="3" t="str">
        <f t="shared" si="2"/>
        <v>x</v>
      </c>
      <c r="M61" s="3">
        <v>3</v>
      </c>
      <c r="N61" s="3" t="str">
        <f t="shared" si="3"/>
        <v>EUA</v>
      </c>
      <c r="O61" s="3" t="str">
        <f t="shared" si="4"/>
        <v>EUA</v>
      </c>
      <c r="P61" s="3"/>
      <c r="Q61" s="3" t="b">
        <f t="shared" si="5"/>
        <v>0</v>
      </c>
      <c r="R61" s="3" t="b">
        <f t="shared" si="6"/>
        <v>0</v>
      </c>
      <c r="S61" s="3" t="b">
        <f t="shared" si="7"/>
        <v>0</v>
      </c>
      <c r="T61" s="3" t="b">
        <f t="shared" si="8"/>
        <v>0</v>
      </c>
      <c r="U61" s="3" t="b">
        <f t="shared" si="9"/>
        <v>1</v>
      </c>
      <c r="V61" s="3"/>
      <c r="W61" s="3" cm="1">
        <f t="array" ref="W61">IF(OR(J61="Brasil",N61="Brasil"),2*_xlfn.IFS(Q61=TRUE,6,R61=TRUE,4,AND(S61=TRUE,T61=FALSE),3,T61=TRUE,2,U61=TRUE,0),_xlfn.IFS(Q61=TRUE,6,R61=TRUE,4,AND(S61=TRUE,T61=FALSE),3,T61=TRUE,2,U61=TRUE,0))</f>
        <v>0</v>
      </c>
      <c r="X61" s="3"/>
      <c r="Y61" s="3"/>
    </row>
    <row r="62" spans="1:25" ht="14.25" customHeight="1" x14ac:dyDescent="0.3">
      <c r="A62" s="3">
        <f>'Tabela de Jogos'!A62</f>
        <v>60</v>
      </c>
      <c r="B62" s="3" t="str">
        <f>'Tabela de Jogos'!B62</f>
        <v>Paraguai</v>
      </c>
      <c r="C62" s="3">
        <f>'Tabela de Jogos'!C62</f>
        <v>0</v>
      </c>
      <c r="D62" s="3" t="str">
        <f>'Tabela de Jogos'!D62</f>
        <v>x</v>
      </c>
      <c r="E62" s="3">
        <f>'Tabela de Jogos'!E62</f>
        <v>0</v>
      </c>
      <c r="F62" s="3" t="str">
        <f>'Tabela de Jogos'!F62</f>
        <v>Austrália</v>
      </c>
      <c r="G62" s="3" t="str">
        <f>'Tabela de Jogos'!G62</f>
        <v>-</v>
      </c>
      <c r="H62" s="3"/>
      <c r="I62" s="3">
        <f t="shared" ref="I62:J62" si="68">A62</f>
        <v>60</v>
      </c>
      <c r="J62" s="3" t="str">
        <f t="shared" si="68"/>
        <v>Paraguai</v>
      </c>
      <c r="K62" s="3">
        <v>1</v>
      </c>
      <c r="L62" s="3" t="str">
        <f t="shared" si="2"/>
        <v>x</v>
      </c>
      <c r="M62" s="3">
        <v>2</v>
      </c>
      <c r="N62" s="3" t="str">
        <f t="shared" si="3"/>
        <v>Austrália</v>
      </c>
      <c r="O62" s="3" t="str">
        <f t="shared" si="4"/>
        <v>Austrália</v>
      </c>
      <c r="P62" s="3"/>
      <c r="Q62" s="3" t="b">
        <f t="shared" si="5"/>
        <v>0</v>
      </c>
      <c r="R62" s="3" t="b">
        <f t="shared" si="6"/>
        <v>0</v>
      </c>
      <c r="S62" s="3" t="b">
        <f t="shared" si="7"/>
        <v>0</v>
      </c>
      <c r="T62" s="3" t="b">
        <f t="shared" si="8"/>
        <v>0</v>
      </c>
      <c r="U62" s="3" t="b">
        <f t="shared" si="9"/>
        <v>1</v>
      </c>
      <c r="V62" s="3"/>
      <c r="W62" s="3" cm="1">
        <f t="array" ref="W62">IF(OR(J62="Brasil",N62="Brasil"),2*_xlfn.IFS(Q62=TRUE,6,R62=TRUE,4,AND(S62=TRUE,T62=FALSE),3,T62=TRUE,2,U62=TRUE,0),_xlfn.IFS(Q62=TRUE,6,R62=TRUE,4,AND(S62=TRUE,T62=FALSE),3,T62=TRUE,2,U62=TRUE,0))</f>
        <v>0</v>
      </c>
      <c r="X62" s="3"/>
      <c r="Y62" s="3"/>
    </row>
    <row r="63" spans="1:25" ht="14.25" customHeight="1" x14ac:dyDescent="0.3">
      <c r="A63" s="3">
        <f>'Tabela de Jogos'!A63</f>
        <v>61</v>
      </c>
      <c r="B63" s="3" t="str">
        <f>'Tabela de Jogos'!B63</f>
        <v>Noruega</v>
      </c>
      <c r="C63" s="3">
        <f>'Tabela de Jogos'!C63</f>
        <v>0</v>
      </c>
      <c r="D63" s="3" t="str">
        <f>'Tabela de Jogos'!D63</f>
        <v>x</v>
      </c>
      <c r="E63" s="3">
        <f>'Tabela de Jogos'!E63</f>
        <v>0</v>
      </c>
      <c r="F63" s="3" t="str">
        <f>'Tabela de Jogos'!F63</f>
        <v>França</v>
      </c>
      <c r="G63" s="3" t="str">
        <f>'Tabela de Jogos'!G63</f>
        <v>-</v>
      </c>
      <c r="H63" s="3"/>
      <c r="I63" s="3">
        <f t="shared" ref="I63:J63" si="69">A63</f>
        <v>61</v>
      </c>
      <c r="J63" s="3" t="str">
        <f t="shared" si="69"/>
        <v>Noruega</v>
      </c>
      <c r="K63" s="3"/>
      <c r="L63" s="3" t="str">
        <f t="shared" si="2"/>
        <v>x</v>
      </c>
      <c r="M63" s="3"/>
      <c r="N63" s="3" t="str">
        <f t="shared" si="3"/>
        <v>França</v>
      </c>
      <c r="O63" s="3" t="str">
        <f t="shared" si="4"/>
        <v>-</v>
      </c>
      <c r="P63" s="3"/>
      <c r="Q63" s="3" t="b">
        <f t="shared" si="5"/>
        <v>0</v>
      </c>
      <c r="R63" s="3" t="b">
        <f t="shared" si="6"/>
        <v>0</v>
      </c>
      <c r="S63" s="3" t="b">
        <f t="shared" si="7"/>
        <v>0</v>
      </c>
      <c r="T63" s="3" t="b">
        <f t="shared" si="8"/>
        <v>0</v>
      </c>
      <c r="U63" s="3" t="b">
        <f t="shared" si="9"/>
        <v>1</v>
      </c>
      <c r="V63" s="3"/>
      <c r="W63" s="3" cm="1">
        <f t="array" ref="W63">IF(OR(J63="Brasil",N63="Brasil"),2*_xlfn.IFS(Q63=TRUE,6,R63=TRUE,4,AND(S63=TRUE,T63=FALSE),3,T63=TRUE,2,U63=TRUE,0),_xlfn.IFS(Q63=TRUE,6,R63=TRUE,4,AND(S63=TRUE,T63=FALSE),3,T63=TRUE,2,U63=TRUE,0))</f>
        <v>0</v>
      </c>
      <c r="X63" s="3"/>
      <c r="Y63" s="3"/>
    </row>
    <row r="64" spans="1:25" ht="14.25" customHeight="1" x14ac:dyDescent="0.3">
      <c r="A64" s="3">
        <f>'Tabela de Jogos'!A64</f>
        <v>62</v>
      </c>
      <c r="B64" s="3" t="str">
        <f>'Tabela de Jogos'!B64</f>
        <v>Senegal</v>
      </c>
      <c r="C64" s="3">
        <f>'Tabela de Jogos'!C64</f>
        <v>0</v>
      </c>
      <c r="D64" s="3" t="str">
        <f>'Tabela de Jogos'!D64</f>
        <v>x</v>
      </c>
      <c r="E64" s="3">
        <f>'Tabela de Jogos'!E64</f>
        <v>0</v>
      </c>
      <c r="F64" s="3" t="str">
        <f>'Tabela de Jogos'!F64</f>
        <v>Iraque</v>
      </c>
      <c r="G64" s="3" t="str">
        <f>'Tabela de Jogos'!G64</f>
        <v>-</v>
      </c>
      <c r="H64" s="3"/>
      <c r="I64" s="3">
        <f t="shared" ref="I64:J64" si="70">A64</f>
        <v>62</v>
      </c>
      <c r="J64" s="3" t="str">
        <f t="shared" si="70"/>
        <v>Senegal</v>
      </c>
      <c r="K64" s="3"/>
      <c r="L64" s="3" t="str">
        <f t="shared" si="2"/>
        <v>x</v>
      </c>
      <c r="M64" s="3"/>
      <c r="N64" s="3" t="str">
        <f t="shared" si="3"/>
        <v>Iraque</v>
      </c>
      <c r="O64" s="3" t="str">
        <f t="shared" si="4"/>
        <v>-</v>
      </c>
      <c r="P64" s="3"/>
      <c r="Q64" s="3" t="b">
        <f t="shared" si="5"/>
        <v>0</v>
      </c>
      <c r="R64" s="3" t="b">
        <f t="shared" si="6"/>
        <v>0</v>
      </c>
      <c r="S64" s="3" t="b">
        <f t="shared" si="7"/>
        <v>0</v>
      </c>
      <c r="T64" s="3" t="b">
        <f t="shared" si="8"/>
        <v>0</v>
      </c>
      <c r="U64" s="3" t="b">
        <f t="shared" si="9"/>
        <v>1</v>
      </c>
      <c r="V64" s="3"/>
      <c r="W64" s="3" cm="1">
        <f t="array" ref="W64">IF(OR(J64="Brasil",N64="Brasil"),2*_xlfn.IFS(Q64=TRUE,6,R64=TRUE,4,AND(S64=TRUE,T64=FALSE),3,T64=TRUE,2,U64=TRUE,0),_xlfn.IFS(Q64=TRUE,6,R64=TRUE,4,AND(S64=TRUE,T64=FALSE),3,T64=TRUE,2,U64=TRUE,0))</f>
        <v>0</v>
      </c>
      <c r="X64" s="3"/>
      <c r="Y64" s="3"/>
    </row>
    <row r="65" spans="1:25" ht="14.25" customHeight="1" x14ac:dyDescent="0.3">
      <c r="A65" s="3">
        <f>'Tabela de Jogos'!A65</f>
        <v>63</v>
      </c>
      <c r="B65" s="3" t="str">
        <f>'Tabela de Jogos'!B65</f>
        <v>Cabo Verde</v>
      </c>
      <c r="C65" s="3">
        <f>'Tabela de Jogos'!C65</f>
        <v>0</v>
      </c>
      <c r="D65" s="3" t="str">
        <f>'Tabela de Jogos'!D65</f>
        <v>x</v>
      </c>
      <c r="E65" s="3">
        <f>'Tabela de Jogos'!E65</f>
        <v>0</v>
      </c>
      <c r="F65" s="3" t="str">
        <f>'Tabela de Jogos'!F65</f>
        <v>Arábia Saudita</v>
      </c>
      <c r="G65" s="3" t="str">
        <f>'Tabela de Jogos'!G65</f>
        <v>-</v>
      </c>
      <c r="H65" s="3"/>
      <c r="I65" s="3">
        <f t="shared" ref="I65:J65" si="71">A65</f>
        <v>63</v>
      </c>
      <c r="J65" s="3" t="str">
        <f t="shared" si="71"/>
        <v>Cabo Verde</v>
      </c>
      <c r="K65" s="3"/>
      <c r="L65" s="3" t="str">
        <f t="shared" si="2"/>
        <v>x</v>
      </c>
      <c r="M65" s="3"/>
      <c r="N65" s="3" t="str">
        <f t="shared" si="3"/>
        <v>Arábia Saudita</v>
      </c>
      <c r="O65" s="3" t="str">
        <f t="shared" si="4"/>
        <v>-</v>
      </c>
      <c r="P65" s="3"/>
      <c r="Q65" s="3" t="b">
        <f t="shared" si="5"/>
        <v>0</v>
      </c>
      <c r="R65" s="3" t="b">
        <f t="shared" si="6"/>
        <v>0</v>
      </c>
      <c r="S65" s="3" t="b">
        <f t="shared" si="7"/>
        <v>0</v>
      </c>
      <c r="T65" s="3" t="b">
        <f t="shared" si="8"/>
        <v>0</v>
      </c>
      <c r="U65" s="3" t="b">
        <f t="shared" si="9"/>
        <v>1</v>
      </c>
      <c r="V65" s="3"/>
      <c r="W65" s="3" cm="1">
        <f t="array" ref="W65">IF(OR(J65="Brasil",N65="Brasil"),2*_xlfn.IFS(Q65=TRUE,6,R65=TRUE,4,AND(S65=TRUE,T65=FALSE),3,T65=TRUE,2,U65=TRUE,0),_xlfn.IFS(Q65=TRUE,6,R65=TRUE,4,AND(S65=TRUE,T65=FALSE),3,T65=TRUE,2,U65=TRUE,0))</f>
        <v>0</v>
      </c>
      <c r="X65" s="3"/>
      <c r="Y65" s="3"/>
    </row>
    <row r="66" spans="1:25" ht="14.25" customHeight="1" x14ac:dyDescent="0.3">
      <c r="A66" s="3">
        <f>'Tabela de Jogos'!A66</f>
        <v>64</v>
      </c>
      <c r="B66" s="3" t="str">
        <f>'Tabela de Jogos'!B66</f>
        <v>Uruguai</v>
      </c>
      <c r="C66" s="3">
        <f>'Tabela de Jogos'!C66</f>
        <v>0</v>
      </c>
      <c r="D66" s="3" t="str">
        <f>'Tabela de Jogos'!D66</f>
        <v>x</v>
      </c>
      <c r="E66" s="3">
        <f>'Tabela de Jogos'!E66</f>
        <v>0</v>
      </c>
      <c r="F66" s="3" t="str">
        <f>'Tabela de Jogos'!F66</f>
        <v>Espanha</v>
      </c>
      <c r="G66" s="3" t="str">
        <f>'Tabela de Jogos'!G66</f>
        <v>-</v>
      </c>
      <c r="H66" s="3"/>
      <c r="I66" s="3">
        <f t="shared" ref="I66:J66" si="72">A66</f>
        <v>64</v>
      </c>
      <c r="J66" s="3" t="str">
        <f t="shared" si="72"/>
        <v>Uruguai</v>
      </c>
      <c r="K66" s="3"/>
      <c r="L66" s="3" t="str">
        <f t="shared" si="2"/>
        <v>x</v>
      </c>
      <c r="M66" s="3"/>
      <c r="N66" s="3" t="str">
        <f t="shared" si="3"/>
        <v>Espanha</v>
      </c>
      <c r="O66" s="3" t="str">
        <f t="shared" si="4"/>
        <v>-</v>
      </c>
      <c r="P66" s="3"/>
      <c r="Q66" s="3" t="b">
        <f t="shared" si="5"/>
        <v>0</v>
      </c>
      <c r="R66" s="3" t="b">
        <f t="shared" si="6"/>
        <v>0</v>
      </c>
      <c r="S66" s="3" t="b">
        <f t="shared" si="7"/>
        <v>0</v>
      </c>
      <c r="T66" s="3" t="b">
        <f t="shared" si="8"/>
        <v>0</v>
      </c>
      <c r="U66" s="3" t="b">
        <f t="shared" si="9"/>
        <v>1</v>
      </c>
      <c r="V66" s="3"/>
      <c r="W66" s="3" cm="1">
        <f t="array" ref="W66">IF(OR(J66="Brasil",N66="Brasil"),2*_xlfn.IFS(Q66=TRUE,6,R66=TRUE,4,AND(S66=TRUE,T66=FALSE),3,T66=TRUE,2,U66=TRUE,0),_xlfn.IFS(Q66=TRUE,6,R66=TRUE,4,AND(S66=TRUE,T66=FALSE),3,T66=TRUE,2,U66=TRUE,0))</f>
        <v>0</v>
      </c>
      <c r="X66" s="3"/>
      <c r="Y66" s="3"/>
    </row>
    <row r="67" spans="1:25" ht="14.25" customHeight="1" x14ac:dyDescent="0.3">
      <c r="A67" s="3">
        <f>'Tabela de Jogos'!A67</f>
        <v>65</v>
      </c>
      <c r="B67" s="3" t="str">
        <f>'Tabela de Jogos'!B67</f>
        <v>Nova Zelândia</v>
      </c>
      <c r="C67" s="3">
        <f>'Tabela de Jogos'!C67</f>
        <v>0</v>
      </c>
      <c r="D67" s="3" t="str">
        <f>'Tabela de Jogos'!D67</f>
        <v>x</v>
      </c>
      <c r="E67" s="3">
        <f>'Tabela de Jogos'!E67</f>
        <v>0</v>
      </c>
      <c r="F67" s="3" t="str">
        <f>'Tabela de Jogos'!F67</f>
        <v>Bélgica</v>
      </c>
      <c r="G67" s="3" t="str">
        <f>'Tabela de Jogos'!G67</f>
        <v>-</v>
      </c>
      <c r="H67" s="3"/>
      <c r="I67" s="3">
        <f t="shared" ref="I67:J67" si="73">A67</f>
        <v>65</v>
      </c>
      <c r="J67" s="3" t="str">
        <f t="shared" si="73"/>
        <v>Nova Zelândia</v>
      </c>
      <c r="K67" s="3"/>
      <c r="L67" s="3" t="str">
        <f t="shared" si="2"/>
        <v>x</v>
      </c>
      <c r="M67" s="3"/>
      <c r="N67" s="3" t="str">
        <f t="shared" si="3"/>
        <v>Bélgica</v>
      </c>
      <c r="O67" s="3" t="str">
        <f t="shared" si="4"/>
        <v>-</v>
      </c>
      <c r="P67" s="3"/>
      <c r="Q67" s="3" t="b">
        <f t="shared" si="5"/>
        <v>0</v>
      </c>
      <c r="R67" s="3" t="b">
        <f t="shared" si="6"/>
        <v>0</v>
      </c>
      <c r="S67" s="3" t="b">
        <f t="shared" si="7"/>
        <v>0</v>
      </c>
      <c r="T67" s="3" t="b">
        <f t="shared" si="8"/>
        <v>0</v>
      </c>
      <c r="U67" s="3" t="b">
        <f t="shared" si="9"/>
        <v>1</v>
      </c>
      <c r="V67" s="3"/>
      <c r="W67" s="3" cm="1">
        <f t="array" ref="W67">IF(OR(J67="Brasil",N67="Brasil"),2*_xlfn.IFS(Q67=TRUE,6,R67=TRUE,4,AND(S67=TRUE,T67=FALSE),3,T67=TRUE,2,U67=TRUE,0),_xlfn.IFS(Q67=TRUE,6,R67=TRUE,4,AND(S67=TRUE,T67=FALSE),3,T67=TRUE,2,U67=TRUE,0))</f>
        <v>0</v>
      </c>
      <c r="X67" s="3"/>
      <c r="Y67" s="3"/>
    </row>
    <row r="68" spans="1:25" ht="14.25" customHeight="1" x14ac:dyDescent="0.3">
      <c r="A68" s="3">
        <f>'Tabela de Jogos'!A68</f>
        <v>66</v>
      </c>
      <c r="B68" s="3" t="str">
        <f>'Tabela de Jogos'!B68</f>
        <v>Egito</v>
      </c>
      <c r="C68" s="3">
        <f>'Tabela de Jogos'!C68</f>
        <v>0</v>
      </c>
      <c r="D68" s="3" t="str">
        <f>'Tabela de Jogos'!D68</f>
        <v>x</v>
      </c>
      <c r="E68" s="3">
        <f>'Tabela de Jogos'!E68</f>
        <v>0</v>
      </c>
      <c r="F68" s="3" t="str">
        <f>'Tabela de Jogos'!F68</f>
        <v>Irã</v>
      </c>
      <c r="G68" s="3" t="str">
        <f>'Tabela de Jogos'!G68</f>
        <v>-</v>
      </c>
      <c r="H68" s="3"/>
      <c r="I68" s="3">
        <f t="shared" ref="I68:J68" si="74">A68</f>
        <v>66</v>
      </c>
      <c r="J68" s="3" t="str">
        <f t="shared" si="74"/>
        <v>Egito</v>
      </c>
      <c r="K68" s="3"/>
      <c r="L68" s="3" t="str">
        <f t="shared" si="2"/>
        <v>x</v>
      </c>
      <c r="M68" s="3"/>
      <c r="N68" s="3" t="str">
        <f t="shared" si="3"/>
        <v>Irã</v>
      </c>
      <c r="O68" s="3" t="str">
        <f t="shared" si="4"/>
        <v>-</v>
      </c>
      <c r="P68" s="3"/>
      <c r="Q68" s="3" t="b">
        <f t="shared" si="5"/>
        <v>0</v>
      </c>
      <c r="R68" s="3" t="b">
        <f t="shared" si="6"/>
        <v>0</v>
      </c>
      <c r="S68" s="3" t="b">
        <f t="shared" si="7"/>
        <v>0</v>
      </c>
      <c r="T68" s="3" t="b">
        <f t="shared" si="8"/>
        <v>0</v>
      </c>
      <c r="U68" s="3" t="b">
        <f t="shared" si="9"/>
        <v>1</v>
      </c>
      <c r="V68" s="3"/>
      <c r="W68" s="3" cm="1">
        <f t="array" ref="W68">IF(OR(J68="Brasil",N68="Brasil"),2*_xlfn.IFS(Q68=TRUE,6,R68=TRUE,4,AND(S68=TRUE,T68=FALSE),3,T68=TRUE,2,U68=TRUE,0),_xlfn.IFS(Q68=TRUE,6,R68=TRUE,4,AND(S68=TRUE,T68=FALSE),3,T68=TRUE,2,U68=TRUE,0))</f>
        <v>0</v>
      </c>
      <c r="X68" s="3"/>
      <c r="Y68" s="3"/>
    </row>
    <row r="69" spans="1:25" ht="14.25" customHeight="1" x14ac:dyDescent="0.3">
      <c r="A69" s="3">
        <f>'Tabela de Jogos'!A69</f>
        <v>67</v>
      </c>
      <c r="B69" s="3" t="str">
        <f>'Tabela de Jogos'!B69</f>
        <v>Panamá</v>
      </c>
      <c r="C69" s="3">
        <f>'Tabela de Jogos'!C69</f>
        <v>0</v>
      </c>
      <c r="D69" s="3" t="str">
        <f>'Tabela de Jogos'!D69</f>
        <v>x</v>
      </c>
      <c r="E69" s="3">
        <f>'Tabela de Jogos'!E69</f>
        <v>0</v>
      </c>
      <c r="F69" s="3" t="str">
        <f>'Tabela de Jogos'!F69</f>
        <v>Inglaterra</v>
      </c>
      <c r="G69" s="3" t="str">
        <f>'Tabela de Jogos'!G69</f>
        <v>-</v>
      </c>
      <c r="H69" s="3"/>
      <c r="I69" s="3">
        <f t="shared" ref="I69:J69" si="75">A69</f>
        <v>67</v>
      </c>
      <c r="J69" s="3" t="str">
        <f t="shared" si="75"/>
        <v>Panamá</v>
      </c>
      <c r="K69" s="3"/>
      <c r="L69" s="3" t="str">
        <f t="shared" si="2"/>
        <v>x</v>
      </c>
      <c r="M69" s="3"/>
      <c r="N69" s="3" t="str">
        <f t="shared" si="3"/>
        <v>Inglaterra</v>
      </c>
      <c r="O69" s="3" t="str">
        <f t="shared" si="4"/>
        <v>-</v>
      </c>
      <c r="P69" s="3"/>
      <c r="Q69" s="3" t="b">
        <f t="shared" si="5"/>
        <v>0</v>
      </c>
      <c r="R69" s="3" t="b">
        <f t="shared" si="6"/>
        <v>0</v>
      </c>
      <c r="S69" s="3" t="b">
        <f t="shared" si="7"/>
        <v>0</v>
      </c>
      <c r="T69" s="3" t="b">
        <f t="shared" si="8"/>
        <v>0</v>
      </c>
      <c r="U69" s="3" t="b">
        <f t="shared" si="9"/>
        <v>1</v>
      </c>
      <c r="V69" s="3"/>
      <c r="W69" s="3" cm="1">
        <f t="array" ref="W69">IF(OR(J69="Brasil",N69="Brasil"),2*_xlfn.IFS(Q69=TRUE,6,R69=TRUE,4,AND(S69=TRUE,T69=FALSE),3,T69=TRUE,2,U69=TRUE,0),_xlfn.IFS(Q69=TRUE,6,R69=TRUE,4,AND(S69=TRUE,T69=FALSE),3,T69=TRUE,2,U69=TRUE,0))</f>
        <v>0</v>
      </c>
      <c r="X69" s="3"/>
      <c r="Y69" s="3"/>
    </row>
    <row r="70" spans="1:25" ht="14.25" customHeight="1" x14ac:dyDescent="0.3">
      <c r="A70" s="3">
        <f>'Tabela de Jogos'!A70</f>
        <v>68</v>
      </c>
      <c r="B70" s="3" t="str">
        <f>'Tabela de Jogos'!B70</f>
        <v>Croácia</v>
      </c>
      <c r="C70" s="3">
        <f>'Tabela de Jogos'!C70</f>
        <v>0</v>
      </c>
      <c r="D70" s="3" t="str">
        <f>'Tabela de Jogos'!D70</f>
        <v>x</v>
      </c>
      <c r="E70" s="3">
        <f>'Tabela de Jogos'!E70</f>
        <v>0</v>
      </c>
      <c r="F70" s="3" t="str">
        <f>'Tabela de Jogos'!F70</f>
        <v>Gana</v>
      </c>
      <c r="G70" s="3" t="str">
        <f>'Tabela de Jogos'!G70</f>
        <v>-</v>
      </c>
      <c r="H70" s="3"/>
      <c r="I70" s="3">
        <f t="shared" ref="I70:J70" si="76">A70</f>
        <v>68</v>
      </c>
      <c r="J70" s="3" t="str">
        <f t="shared" si="76"/>
        <v>Croácia</v>
      </c>
      <c r="K70" s="3"/>
      <c r="L70" s="3" t="str">
        <f t="shared" si="2"/>
        <v>x</v>
      </c>
      <c r="M70" s="3"/>
      <c r="N70" s="3" t="str">
        <f t="shared" si="3"/>
        <v>Gana</v>
      </c>
      <c r="O70" s="3" t="str">
        <f t="shared" si="4"/>
        <v>-</v>
      </c>
      <c r="P70" s="3"/>
      <c r="Q70" s="3" t="b">
        <f t="shared" si="5"/>
        <v>0</v>
      </c>
      <c r="R70" s="3" t="b">
        <f t="shared" si="6"/>
        <v>0</v>
      </c>
      <c r="S70" s="3" t="b">
        <f t="shared" si="7"/>
        <v>0</v>
      </c>
      <c r="T70" s="3" t="b">
        <f t="shared" si="8"/>
        <v>0</v>
      </c>
      <c r="U70" s="3" t="b">
        <f t="shared" si="9"/>
        <v>1</v>
      </c>
      <c r="V70" s="3"/>
      <c r="W70" s="3" cm="1">
        <f t="array" ref="W70">IF(OR(J70="Brasil",N70="Brasil"),2*_xlfn.IFS(Q70=TRUE,6,R70=TRUE,4,AND(S70=TRUE,T70=FALSE),3,T70=TRUE,2,U70=TRUE,0),_xlfn.IFS(Q70=TRUE,6,R70=TRUE,4,AND(S70=TRUE,T70=FALSE),3,T70=TRUE,2,U70=TRUE,0))</f>
        <v>0</v>
      </c>
      <c r="X70" s="3"/>
      <c r="Y70" s="3"/>
    </row>
    <row r="71" spans="1:25" ht="14.25" customHeight="1" x14ac:dyDescent="0.3">
      <c r="A71" s="3">
        <f>'Tabela de Jogos'!A71</f>
        <v>69</v>
      </c>
      <c r="B71" s="3" t="str">
        <f>'Tabela de Jogos'!B71</f>
        <v>Colômbia</v>
      </c>
      <c r="C71" s="3">
        <f>'Tabela de Jogos'!C71</f>
        <v>0</v>
      </c>
      <c r="D71" s="3" t="str">
        <f>'Tabela de Jogos'!D71</f>
        <v>x</v>
      </c>
      <c r="E71" s="3">
        <f>'Tabela de Jogos'!E71</f>
        <v>0</v>
      </c>
      <c r="F71" s="3" t="str">
        <f>'Tabela de Jogos'!F71</f>
        <v>Portugal</v>
      </c>
      <c r="G71" s="3" t="str">
        <f>'Tabela de Jogos'!G71</f>
        <v>-</v>
      </c>
      <c r="H71" s="3"/>
      <c r="I71" s="3">
        <f t="shared" ref="I71:J71" si="77">A71</f>
        <v>69</v>
      </c>
      <c r="J71" s="3" t="str">
        <f t="shared" si="77"/>
        <v>Colômbia</v>
      </c>
      <c r="K71" s="3"/>
      <c r="L71" s="3" t="str">
        <f t="shared" si="2"/>
        <v>x</v>
      </c>
      <c r="M71" s="3"/>
      <c r="N71" s="3" t="str">
        <f t="shared" si="3"/>
        <v>Portugal</v>
      </c>
      <c r="O71" s="3" t="str">
        <f t="shared" si="4"/>
        <v>-</v>
      </c>
      <c r="P71" s="3"/>
      <c r="Q71" s="3" t="b">
        <f t="shared" si="5"/>
        <v>0</v>
      </c>
      <c r="R71" s="3" t="b">
        <f t="shared" si="6"/>
        <v>0</v>
      </c>
      <c r="S71" s="3" t="b">
        <f t="shared" si="7"/>
        <v>0</v>
      </c>
      <c r="T71" s="3" t="b">
        <f t="shared" si="8"/>
        <v>0</v>
      </c>
      <c r="U71" s="3" t="b">
        <f t="shared" si="9"/>
        <v>1</v>
      </c>
      <c r="V71" s="3"/>
      <c r="W71" s="3" cm="1">
        <f t="array" ref="W71">IF(OR(J71="Brasil",N71="Brasil"),2*_xlfn.IFS(Q71=TRUE,6,R71=TRUE,4,AND(S71=TRUE,T71=FALSE),3,T71=TRUE,2,U71=TRUE,0),_xlfn.IFS(Q71=TRUE,6,R71=TRUE,4,AND(S71=TRUE,T71=FALSE),3,T71=TRUE,2,U71=TRUE,0))</f>
        <v>0</v>
      </c>
      <c r="X71" s="3"/>
      <c r="Y71" s="3"/>
    </row>
    <row r="72" spans="1:25" ht="14.25" customHeight="1" x14ac:dyDescent="0.3">
      <c r="A72" s="3">
        <f>'Tabela de Jogos'!A72</f>
        <v>70</v>
      </c>
      <c r="B72" s="3" t="str">
        <f>'Tabela de Jogos'!B72</f>
        <v>RD Congo</v>
      </c>
      <c r="C72" s="3">
        <f>'Tabela de Jogos'!C72</f>
        <v>0</v>
      </c>
      <c r="D72" s="3" t="str">
        <f>'Tabela de Jogos'!D72</f>
        <v>x</v>
      </c>
      <c r="E72" s="3">
        <f>'Tabela de Jogos'!E72</f>
        <v>0</v>
      </c>
      <c r="F72" s="3" t="str">
        <f>'Tabela de Jogos'!F72</f>
        <v>Uzbequistão</v>
      </c>
      <c r="G72" s="3" t="str">
        <f>'Tabela de Jogos'!G72</f>
        <v>-</v>
      </c>
      <c r="H72" s="3"/>
      <c r="I72" s="3">
        <f t="shared" ref="I72:J72" si="78">A72</f>
        <v>70</v>
      </c>
      <c r="J72" s="3" t="str">
        <f t="shared" si="78"/>
        <v>RD Congo</v>
      </c>
      <c r="K72" s="3"/>
      <c r="L72" s="3" t="str">
        <f t="shared" si="2"/>
        <v>x</v>
      </c>
      <c r="M72" s="3"/>
      <c r="N72" s="3" t="str">
        <f t="shared" si="3"/>
        <v>Uzbequistão</v>
      </c>
      <c r="O72" s="3" t="str">
        <f t="shared" si="4"/>
        <v>-</v>
      </c>
      <c r="P72" s="3"/>
      <c r="Q72" s="3" t="b">
        <f t="shared" si="5"/>
        <v>0</v>
      </c>
      <c r="R72" s="3" t="b">
        <f t="shared" si="6"/>
        <v>0</v>
      </c>
      <c r="S72" s="3" t="b">
        <f t="shared" si="7"/>
        <v>0</v>
      </c>
      <c r="T72" s="3" t="b">
        <f t="shared" si="8"/>
        <v>0</v>
      </c>
      <c r="U72" s="3" t="b">
        <f t="shared" si="9"/>
        <v>1</v>
      </c>
      <c r="V72" s="3"/>
      <c r="W72" s="3" cm="1">
        <f t="array" ref="W72">IF(OR(J72="Brasil",N72="Brasil"),2*_xlfn.IFS(Q72=TRUE,6,R72=TRUE,4,AND(S72=TRUE,T72=FALSE),3,T72=TRUE,2,U72=TRUE,0),_xlfn.IFS(Q72=TRUE,6,R72=TRUE,4,AND(S72=TRUE,T72=FALSE),3,T72=TRUE,2,U72=TRUE,0))</f>
        <v>0</v>
      </c>
      <c r="X72" s="3"/>
      <c r="Y72" s="3"/>
    </row>
    <row r="73" spans="1:25" ht="14.25" customHeight="1" x14ac:dyDescent="0.3">
      <c r="A73" s="3">
        <f>'Tabela de Jogos'!A73</f>
        <v>71</v>
      </c>
      <c r="B73" s="3" t="str">
        <f>'Tabela de Jogos'!B73</f>
        <v>Argélia</v>
      </c>
      <c r="C73" s="3">
        <f>'Tabela de Jogos'!C73</f>
        <v>0</v>
      </c>
      <c r="D73" s="3" t="str">
        <f>'Tabela de Jogos'!D73</f>
        <v>x</v>
      </c>
      <c r="E73" s="3">
        <f>'Tabela de Jogos'!E73</f>
        <v>0</v>
      </c>
      <c r="F73" s="3" t="str">
        <f>'Tabela de Jogos'!F73</f>
        <v>Áustria</v>
      </c>
      <c r="G73" s="3" t="str">
        <f>'Tabela de Jogos'!G73</f>
        <v>-</v>
      </c>
      <c r="H73" s="3"/>
      <c r="I73" s="3">
        <f t="shared" ref="I73:J73" si="79">A73</f>
        <v>71</v>
      </c>
      <c r="J73" s="3" t="str">
        <f t="shared" si="79"/>
        <v>Argélia</v>
      </c>
      <c r="K73" s="3"/>
      <c r="L73" s="3" t="str">
        <f t="shared" si="2"/>
        <v>x</v>
      </c>
      <c r="M73" s="3"/>
      <c r="N73" s="3" t="str">
        <f t="shared" si="3"/>
        <v>Áustria</v>
      </c>
      <c r="O73" s="3" t="str">
        <f t="shared" si="4"/>
        <v>-</v>
      </c>
      <c r="P73" s="3"/>
      <c r="Q73" s="3" t="b">
        <f t="shared" si="5"/>
        <v>0</v>
      </c>
      <c r="R73" s="3" t="b">
        <f t="shared" si="6"/>
        <v>0</v>
      </c>
      <c r="S73" s="3" t="b">
        <f t="shared" si="7"/>
        <v>0</v>
      </c>
      <c r="T73" s="3" t="b">
        <f t="shared" si="8"/>
        <v>0</v>
      </c>
      <c r="U73" s="3" t="b">
        <f t="shared" si="9"/>
        <v>1</v>
      </c>
      <c r="V73" s="3"/>
      <c r="W73" s="3" cm="1">
        <f t="array" ref="W73">IF(OR(J73="Brasil",N73="Brasil"),2*_xlfn.IFS(Q73=TRUE,6,R73=TRUE,4,AND(S73=TRUE,T73=FALSE),3,T73=TRUE,2,U73=TRUE,0),_xlfn.IFS(Q73=TRUE,6,R73=TRUE,4,AND(S73=TRUE,T73=FALSE),3,T73=TRUE,2,U73=TRUE,0))</f>
        <v>0</v>
      </c>
      <c r="X73" s="3"/>
      <c r="Y73" s="3"/>
    </row>
    <row r="74" spans="1:25" ht="14.25" customHeight="1" x14ac:dyDescent="0.3">
      <c r="A74" s="3">
        <f>'Tabela de Jogos'!A74</f>
        <v>72</v>
      </c>
      <c r="B74" s="3" t="str">
        <f>'Tabela de Jogos'!B74</f>
        <v>Jordânia</v>
      </c>
      <c r="C74" s="3">
        <f>'Tabela de Jogos'!C74</f>
        <v>0</v>
      </c>
      <c r="D74" s="3" t="str">
        <f>'Tabela de Jogos'!D74</f>
        <v>x</v>
      </c>
      <c r="E74" s="3">
        <f>'Tabela de Jogos'!E74</f>
        <v>0</v>
      </c>
      <c r="F74" s="3" t="str">
        <f>'Tabela de Jogos'!F74</f>
        <v>Argentina</v>
      </c>
      <c r="G74" s="3" t="str">
        <f>'Tabela de Jogos'!G74</f>
        <v>-</v>
      </c>
      <c r="H74" s="3"/>
      <c r="I74" s="3">
        <f t="shared" ref="I74:J74" si="80">A74</f>
        <v>72</v>
      </c>
      <c r="J74" s="3" t="str">
        <f t="shared" si="80"/>
        <v>Jordânia</v>
      </c>
      <c r="K74" s="3"/>
      <c r="L74" s="3" t="str">
        <f t="shared" si="2"/>
        <v>x</v>
      </c>
      <c r="M74" s="3"/>
      <c r="N74" s="3" t="str">
        <f t="shared" si="3"/>
        <v>Argentina</v>
      </c>
      <c r="O74" s="3" t="str">
        <f t="shared" si="4"/>
        <v>-</v>
      </c>
      <c r="P74" s="3"/>
      <c r="Q74" s="3" t="b">
        <f t="shared" si="5"/>
        <v>0</v>
      </c>
      <c r="R74" s="3" t="b">
        <f t="shared" si="6"/>
        <v>0</v>
      </c>
      <c r="S74" s="3" t="b">
        <f t="shared" si="7"/>
        <v>0</v>
      </c>
      <c r="T74" s="3" t="b">
        <f t="shared" si="8"/>
        <v>0</v>
      </c>
      <c r="U74" s="3" t="b">
        <f t="shared" si="9"/>
        <v>1</v>
      </c>
      <c r="V74" s="3"/>
      <c r="W74" s="3" cm="1">
        <f t="array" ref="W74">IF(OR(J74="Brasil",N74="Brasil"),2*_xlfn.IFS(Q74=TRUE,6,R74=TRUE,4,AND(S74=TRUE,T74=FALSE),3,T74=TRUE,2,U74=TRUE,0),_xlfn.IFS(Q74=TRUE,6,R74=TRUE,4,AND(S74=TRUE,T74=FALSE),3,T74=TRUE,2,U74=TRUE,0))</f>
        <v>0</v>
      </c>
      <c r="X74" s="3"/>
      <c r="Y74" s="3"/>
    </row>
    <row r="75" spans="1:25" ht="14.25" customHeight="1" x14ac:dyDescent="0.3">
      <c r="A75" s="3">
        <f>'Tabela de Jogos'!A75</f>
        <v>73</v>
      </c>
      <c r="B75" s="3">
        <f>'Tabela de Jogos'!B75</f>
        <v>0</v>
      </c>
      <c r="C75" s="3">
        <f>'Tabela de Jogos'!C75</f>
        <v>0</v>
      </c>
      <c r="D75" s="3" t="str">
        <f>'Tabela de Jogos'!D75</f>
        <v>x</v>
      </c>
      <c r="E75" s="3">
        <f>'Tabela de Jogos'!E75</f>
        <v>0</v>
      </c>
      <c r="F75" s="3">
        <f>'Tabela de Jogos'!F75</f>
        <v>0</v>
      </c>
      <c r="G75" s="3" t="str">
        <f>'Tabela de Jogos'!G75</f>
        <v>-</v>
      </c>
      <c r="H75" s="3"/>
      <c r="I75" s="3">
        <f t="shared" ref="I75:J75" si="81">A75</f>
        <v>73</v>
      </c>
      <c r="J75" s="3">
        <f t="shared" si="81"/>
        <v>0</v>
      </c>
      <c r="K75" s="3"/>
      <c r="L75" s="3" t="str">
        <f t="shared" si="2"/>
        <v>x</v>
      </c>
      <c r="M75" s="3"/>
      <c r="N75" s="3">
        <f t="shared" si="3"/>
        <v>0</v>
      </c>
      <c r="O75" s="3" t="str">
        <f t="shared" si="4"/>
        <v>-</v>
      </c>
      <c r="P75" s="3"/>
      <c r="Q75" s="3" t="b">
        <f t="shared" si="5"/>
        <v>0</v>
      </c>
      <c r="R75" s="3" t="b">
        <f t="shared" si="6"/>
        <v>0</v>
      </c>
      <c r="S75" s="3" t="b">
        <f t="shared" si="7"/>
        <v>0</v>
      </c>
      <c r="T75" s="3" t="b">
        <f t="shared" si="8"/>
        <v>0</v>
      </c>
      <c r="U75" s="3" t="b">
        <f t="shared" si="9"/>
        <v>1</v>
      </c>
      <c r="V75" s="3"/>
      <c r="W75" s="3" cm="1">
        <f t="array" ref="W75">IF(OR(J75="Brasil",N75="Brasil"),2*_xlfn.IFS(Q75=TRUE,6,R75=TRUE,4,AND(S75=TRUE,T75=FALSE),3,T75=TRUE,2,U75=TRUE,0),_xlfn.IFS(Q75=TRUE,6,R75=TRUE,4,AND(S75=TRUE,T75=FALSE),3,T75=TRUE,2,U75=TRUE,0))</f>
        <v>0</v>
      </c>
      <c r="X75" s="3"/>
      <c r="Y75" s="3"/>
    </row>
    <row r="76" spans="1:25" ht="14.25" customHeight="1" x14ac:dyDescent="0.3">
      <c r="A76" s="3">
        <f>'Tabela de Jogos'!A76</f>
        <v>74</v>
      </c>
      <c r="B76" s="3">
        <f>'Tabela de Jogos'!B76</f>
        <v>0</v>
      </c>
      <c r="C76" s="3">
        <f>'Tabela de Jogos'!C76</f>
        <v>0</v>
      </c>
      <c r="D76" s="3" t="str">
        <f>'Tabela de Jogos'!D76</f>
        <v>x</v>
      </c>
      <c r="E76" s="3">
        <f>'Tabela de Jogos'!E76</f>
        <v>0</v>
      </c>
      <c r="F76" s="3">
        <f>'Tabela de Jogos'!F76</f>
        <v>0</v>
      </c>
      <c r="G76" s="3" t="str">
        <f>'Tabela de Jogos'!G76</f>
        <v>-</v>
      </c>
      <c r="H76" s="3"/>
      <c r="I76" s="3">
        <f t="shared" ref="I76:J76" si="82">A76</f>
        <v>74</v>
      </c>
      <c r="J76" s="3">
        <f t="shared" si="82"/>
        <v>0</v>
      </c>
      <c r="K76" s="3"/>
      <c r="L76" s="3" t="str">
        <f t="shared" si="2"/>
        <v>x</v>
      </c>
      <c r="M76" s="3"/>
      <c r="N76" s="3">
        <f t="shared" si="3"/>
        <v>0</v>
      </c>
      <c r="O76" s="3" t="str">
        <f t="shared" si="4"/>
        <v>-</v>
      </c>
      <c r="P76" s="3"/>
      <c r="Q76" s="3" t="b">
        <f t="shared" si="5"/>
        <v>0</v>
      </c>
      <c r="R76" s="3" t="b">
        <f t="shared" si="6"/>
        <v>0</v>
      </c>
      <c r="S76" s="3" t="b">
        <f t="shared" si="7"/>
        <v>0</v>
      </c>
      <c r="T76" s="3" t="b">
        <f t="shared" si="8"/>
        <v>0</v>
      </c>
      <c r="U76" s="3" t="b">
        <f t="shared" si="9"/>
        <v>1</v>
      </c>
      <c r="V76" s="3"/>
      <c r="W76" s="3" cm="1">
        <f t="array" ref="W76">IF(OR(J76="Brasil",N76="Brasil"),2*_xlfn.IFS(Q76=TRUE,6,R76=TRUE,4,AND(S76=TRUE,T76=FALSE),3,T76=TRUE,2,U76=TRUE,0),_xlfn.IFS(Q76=TRUE,6,R76=TRUE,4,AND(S76=TRUE,T76=FALSE),3,T76=TRUE,2,U76=TRUE,0))</f>
        <v>0</v>
      </c>
      <c r="X76" s="3"/>
      <c r="Y76" s="3"/>
    </row>
    <row r="77" spans="1:25" ht="14.25" customHeight="1" x14ac:dyDescent="0.3">
      <c r="A77" s="3">
        <f>'Tabela de Jogos'!A77</f>
        <v>75</v>
      </c>
      <c r="B77" s="3">
        <f>'Tabela de Jogos'!B77</f>
        <v>0</v>
      </c>
      <c r="C77" s="3">
        <f>'Tabela de Jogos'!C77</f>
        <v>0</v>
      </c>
      <c r="D77" s="3" t="str">
        <f>'Tabela de Jogos'!D77</f>
        <v>x</v>
      </c>
      <c r="E77" s="3">
        <f>'Tabela de Jogos'!E77</f>
        <v>0</v>
      </c>
      <c r="F77" s="3">
        <f>'Tabela de Jogos'!F77</f>
        <v>0</v>
      </c>
      <c r="G77" s="3" t="str">
        <f>'Tabela de Jogos'!G77</f>
        <v>-</v>
      </c>
      <c r="H77" s="3"/>
      <c r="I77" s="3">
        <f t="shared" ref="I77:J77" si="83">A77</f>
        <v>75</v>
      </c>
      <c r="J77" s="3">
        <f t="shared" si="83"/>
        <v>0</v>
      </c>
      <c r="K77" s="3"/>
      <c r="L77" s="3" t="str">
        <f t="shared" si="2"/>
        <v>x</v>
      </c>
      <c r="M77" s="3"/>
      <c r="N77" s="3">
        <f t="shared" si="3"/>
        <v>0</v>
      </c>
      <c r="O77" s="3" t="str">
        <f t="shared" si="4"/>
        <v>-</v>
      </c>
      <c r="P77" s="3"/>
      <c r="Q77" s="3" t="b">
        <f t="shared" si="5"/>
        <v>0</v>
      </c>
      <c r="R77" s="3" t="b">
        <f t="shared" si="6"/>
        <v>0</v>
      </c>
      <c r="S77" s="3" t="b">
        <f t="shared" si="7"/>
        <v>0</v>
      </c>
      <c r="T77" s="3" t="b">
        <f t="shared" si="8"/>
        <v>0</v>
      </c>
      <c r="U77" s="3" t="b">
        <f t="shared" si="9"/>
        <v>1</v>
      </c>
      <c r="V77" s="3"/>
      <c r="W77" s="3" cm="1">
        <f t="array" ref="W77">IF(OR(J77="Brasil",N77="Brasil"),2*_xlfn.IFS(Q77=TRUE,6,R77=TRUE,4,AND(S77=TRUE,T77=FALSE),3,T77=TRUE,2,U77=TRUE,0),_xlfn.IFS(Q77=TRUE,6,R77=TRUE,4,AND(S77=TRUE,T77=FALSE),3,T77=TRUE,2,U77=TRUE,0))</f>
        <v>0</v>
      </c>
      <c r="X77" s="3"/>
      <c r="Y77" s="3"/>
    </row>
    <row r="78" spans="1:25" ht="14.25" customHeight="1" x14ac:dyDescent="0.3">
      <c r="A78" s="3">
        <f>'Tabela de Jogos'!A78</f>
        <v>76</v>
      </c>
      <c r="B78" s="3">
        <f>'Tabela de Jogos'!B78</f>
        <v>0</v>
      </c>
      <c r="C78" s="3">
        <f>'Tabela de Jogos'!C78</f>
        <v>0</v>
      </c>
      <c r="D78" s="3" t="str">
        <f>'Tabela de Jogos'!D78</f>
        <v>x</v>
      </c>
      <c r="E78" s="3">
        <f>'Tabela de Jogos'!E78</f>
        <v>0</v>
      </c>
      <c r="F78" s="3">
        <f>'Tabela de Jogos'!F78</f>
        <v>0</v>
      </c>
      <c r="G78" s="3" t="str">
        <f>'Tabela de Jogos'!G78</f>
        <v>-</v>
      </c>
      <c r="H78" s="3"/>
      <c r="I78" s="3">
        <f t="shared" ref="I78:J78" si="84">A78</f>
        <v>76</v>
      </c>
      <c r="J78" s="3">
        <f t="shared" si="84"/>
        <v>0</v>
      </c>
      <c r="K78" s="3"/>
      <c r="L78" s="3" t="str">
        <f t="shared" si="2"/>
        <v>x</v>
      </c>
      <c r="M78" s="3"/>
      <c r="N78" s="3">
        <f t="shared" si="3"/>
        <v>0</v>
      </c>
      <c r="O78" s="3" t="str">
        <f t="shared" si="4"/>
        <v>-</v>
      </c>
      <c r="P78" s="3"/>
      <c r="Q78" s="3" t="b">
        <f t="shared" si="5"/>
        <v>0</v>
      </c>
      <c r="R78" s="3" t="b">
        <f t="shared" si="6"/>
        <v>0</v>
      </c>
      <c r="S78" s="3" t="b">
        <f t="shared" si="7"/>
        <v>0</v>
      </c>
      <c r="T78" s="3" t="b">
        <f t="shared" si="8"/>
        <v>0</v>
      </c>
      <c r="U78" s="3" t="b">
        <f t="shared" si="9"/>
        <v>1</v>
      </c>
      <c r="V78" s="3"/>
      <c r="W78" s="3" cm="1">
        <f t="array" ref="W78">IF(OR(J78="Brasil",N78="Brasil"),2*_xlfn.IFS(Q78=TRUE,6,R78=TRUE,4,AND(S78=TRUE,T78=FALSE),3,T78=TRUE,2,U78=TRUE,0),_xlfn.IFS(Q78=TRUE,6,R78=TRUE,4,AND(S78=TRUE,T78=FALSE),3,T78=TRUE,2,U78=TRUE,0))</f>
        <v>0</v>
      </c>
      <c r="X78" s="3"/>
      <c r="Y78" s="3"/>
    </row>
    <row r="79" spans="1:25" ht="14.25" customHeight="1" x14ac:dyDescent="0.3">
      <c r="A79" s="3">
        <f>'Tabela de Jogos'!A79</f>
        <v>77</v>
      </c>
      <c r="B79" s="3">
        <f>'Tabela de Jogos'!B79</f>
        <v>0</v>
      </c>
      <c r="C79" s="3">
        <f>'Tabela de Jogos'!C79</f>
        <v>0</v>
      </c>
      <c r="D79" s="3" t="str">
        <f>'Tabela de Jogos'!D79</f>
        <v>x</v>
      </c>
      <c r="E79" s="3">
        <f>'Tabela de Jogos'!E79</f>
        <v>0</v>
      </c>
      <c r="F79" s="3">
        <f>'Tabela de Jogos'!F79</f>
        <v>0</v>
      </c>
      <c r="G79" s="3" t="str">
        <f>'Tabela de Jogos'!G79</f>
        <v>-</v>
      </c>
      <c r="H79" s="3"/>
      <c r="I79" s="3">
        <f t="shared" ref="I79:J79" si="85">A79</f>
        <v>77</v>
      </c>
      <c r="J79" s="3">
        <f t="shared" si="85"/>
        <v>0</v>
      </c>
      <c r="K79" s="3"/>
      <c r="L79" s="3" t="str">
        <f t="shared" si="2"/>
        <v>x</v>
      </c>
      <c r="M79" s="3"/>
      <c r="N79" s="3">
        <f t="shared" si="3"/>
        <v>0</v>
      </c>
      <c r="O79" s="3" t="str">
        <f t="shared" si="4"/>
        <v>-</v>
      </c>
      <c r="P79" s="3"/>
      <c r="Q79" s="3" t="b">
        <f t="shared" si="5"/>
        <v>0</v>
      </c>
      <c r="R79" s="3" t="b">
        <f t="shared" si="6"/>
        <v>0</v>
      </c>
      <c r="S79" s="3" t="b">
        <f t="shared" si="7"/>
        <v>0</v>
      </c>
      <c r="T79" s="3" t="b">
        <f t="shared" si="8"/>
        <v>0</v>
      </c>
      <c r="U79" s="3" t="b">
        <f t="shared" si="9"/>
        <v>1</v>
      </c>
      <c r="V79" s="3"/>
      <c r="W79" s="3" cm="1">
        <f t="array" ref="W79">IF(OR(J79="Brasil",N79="Brasil"),2*_xlfn.IFS(Q79=TRUE,6,R79=TRUE,4,AND(S79=TRUE,T79=FALSE),3,T79=TRUE,2,U79=TRUE,0),_xlfn.IFS(Q79=TRUE,6,R79=TRUE,4,AND(S79=TRUE,T79=FALSE),3,T79=TRUE,2,U79=TRUE,0))</f>
        <v>0</v>
      </c>
      <c r="X79" s="3"/>
      <c r="Y79" s="3"/>
    </row>
    <row r="80" spans="1:25" ht="14.25" customHeight="1" x14ac:dyDescent="0.3">
      <c r="A80" s="3">
        <f>'Tabela de Jogos'!A80</f>
        <v>78</v>
      </c>
      <c r="B80" s="3">
        <f>'Tabela de Jogos'!B80</f>
        <v>0</v>
      </c>
      <c r="C80" s="3">
        <f>'Tabela de Jogos'!C80</f>
        <v>0</v>
      </c>
      <c r="D80" s="3" t="str">
        <f>'Tabela de Jogos'!D80</f>
        <v>x</v>
      </c>
      <c r="E80" s="3">
        <f>'Tabela de Jogos'!E80</f>
        <v>0</v>
      </c>
      <c r="F80" s="3">
        <f>'Tabela de Jogos'!F80</f>
        <v>0</v>
      </c>
      <c r="G80" s="3" t="str">
        <f>'Tabela de Jogos'!G80</f>
        <v>-</v>
      </c>
      <c r="H80" s="3"/>
      <c r="I80" s="3">
        <f t="shared" ref="I80:J80" si="86">A80</f>
        <v>78</v>
      </c>
      <c r="J80" s="3">
        <f t="shared" si="86"/>
        <v>0</v>
      </c>
      <c r="K80" s="3"/>
      <c r="L80" s="3" t="str">
        <f t="shared" si="2"/>
        <v>x</v>
      </c>
      <c r="M80" s="3"/>
      <c r="N80" s="3">
        <f t="shared" si="3"/>
        <v>0</v>
      </c>
      <c r="O80" s="3" t="str">
        <f t="shared" si="4"/>
        <v>-</v>
      </c>
      <c r="P80" s="3"/>
      <c r="Q80" s="3" t="b">
        <f t="shared" si="5"/>
        <v>0</v>
      </c>
      <c r="R80" s="3" t="b">
        <f t="shared" si="6"/>
        <v>0</v>
      </c>
      <c r="S80" s="3" t="b">
        <f t="shared" si="7"/>
        <v>0</v>
      </c>
      <c r="T80" s="3" t="b">
        <f t="shared" si="8"/>
        <v>0</v>
      </c>
      <c r="U80" s="3" t="b">
        <f t="shared" si="9"/>
        <v>1</v>
      </c>
      <c r="V80" s="3"/>
      <c r="W80" s="3" cm="1">
        <f t="array" ref="W80">IF(OR(J80="Brasil",N80="Brasil"),2*_xlfn.IFS(Q80=TRUE,6,R80=TRUE,4,AND(S80=TRUE,T80=FALSE),3,T80=TRUE,2,U80=TRUE,0),_xlfn.IFS(Q80=TRUE,6,R80=TRUE,4,AND(S80=TRUE,T80=FALSE),3,T80=TRUE,2,U80=TRUE,0))</f>
        <v>0</v>
      </c>
      <c r="X80" s="3"/>
      <c r="Y80" s="3"/>
    </row>
    <row r="81" spans="1:25" ht="14.25" customHeight="1" x14ac:dyDescent="0.3">
      <c r="A81" s="3">
        <f>'Tabela de Jogos'!A81</f>
        <v>79</v>
      </c>
      <c r="B81" s="3">
        <f>'Tabela de Jogos'!B81</f>
        <v>0</v>
      </c>
      <c r="C81" s="3">
        <f>'Tabela de Jogos'!C81</f>
        <v>0</v>
      </c>
      <c r="D81" s="3" t="str">
        <f>'Tabela de Jogos'!D81</f>
        <v>x</v>
      </c>
      <c r="E81" s="3">
        <f>'Tabela de Jogos'!E81</f>
        <v>0</v>
      </c>
      <c r="F81" s="3">
        <f>'Tabela de Jogos'!F81</f>
        <v>0</v>
      </c>
      <c r="G81" s="3" t="str">
        <f>'Tabela de Jogos'!G81</f>
        <v>-</v>
      </c>
      <c r="H81" s="3"/>
      <c r="I81" s="3">
        <f t="shared" ref="I81:J81" si="87">A81</f>
        <v>79</v>
      </c>
      <c r="J81" s="3">
        <f t="shared" si="87"/>
        <v>0</v>
      </c>
      <c r="K81" s="3"/>
      <c r="L81" s="3" t="str">
        <f t="shared" si="2"/>
        <v>x</v>
      </c>
      <c r="M81" s="3"/>
      <c r="N81" s="3">
        <f t="shared" si="3"/>
        <v>0</v>
      </c>
      <c r="O81" s="3" t="str">
        <f t="shared" si="4"/>
        <v>-</v>
      </c>
      <c r="P81" s="3"/>
      <c r="Q81" s="3" t="b">
        <f t="shared" si="5"/>
        <v>0</v>
      </c>
      <c r="R81" s="3" t="b">
        <f t="shared" si="6"/>
        <v>0</v>
      </c>
      <c r="S81" s="3" t="b">
        <f t="shared" si="7"/>
        <v>0</v>
      </c>
      <c r="T81" s="3" t="b">
        <f t="shared" si="8"/>
        <v>0</v>
      </c>
      <c r="U81" s="3" t="b">
        <f t="shared" si="9"/>
        <v>1</v>
      </c>
      <c r="V81" s="3"/>
      <c r="W81" s="3" cm="1">
        <f t="array" ref="W81">IF(OR(J81="Brasil",N81="Brasil"),2*_xlfn.IFS(Q81=TRUE,6,R81=TRUE,4,AND(S81=TRUE,T81=FALSE),3,T81=TRUE,2,U81=TRUE,0),_xlfn.IFS(Q81=TRUE,6,R81=TRUE,4,AND(S81=TRUE,T81=FALSE),3,T81=TRUE,2,U81=TRUE,0))</f>
        <v>0</v>
      </c>
      <c r="X81" s="3"/>
      <c r="Y81" s="3"/>
    </row>
    <row r="82" spans="1:25" ht="14.25" customHeight="1" x14ac:dyDescent="0.3">
      <c r="A82" s="3">
        <f>'Tabela de Jogos'!A82</f>
        <v>80</v>
      </c>
      <c r="B82" s="3">
        <f>'Tabela de Jogos'!B82</f>
        <v>0</v>
      </c>
      <c r="C82" s="3">
        <f>'Tabela de Jogos'!C82</f>
        <v>0</v>
      </c>
      <c r="D82" s="3" t="str">
        <f>'Tabela de Jogos'!D82</f>
        <v>x</v>
      </c>
      <c r="E82" s="3">
        <f>'Tabela de Jogos'!E82</f>
        <v>0</v>
      </c>
      <c r="F82" s="3">
        <f>'Tabela de Jogos'!F82</f>
        <v>0</v>
      </c>
      <c r="G82" s="3" t="str">
        <f>'Tabela de Jogos'!G82</f>
        <v>-</v>
      </c>
      <c r="H82" s="3"/>
      <c r="I82" s="3">
        <f t="shared" ref="I82:J82" si="88">A82</f>
        <v>80</v>
      </c>
      <c r="J82" s="3">
        <f t="shared" si="88"/>
        <v>0</v>
      </c>
      <c r="K82" s="3"/>
      <c r="L82" s="3" t="str">
        <f t="shared" si="2"/>
        <v>x</v>
      </c>
      <c r="M82" s="3"/>
      <c r="N82" s="3">
        <f t="shared" si="3"/>
        <v>0</v>
      </c>
      <c r="O82" s="3" t="str">
        <f t="shared" si="4"/>
        <v>-</v>
      </c>
      <c r="P82" s="3"/>
      <c r="Q82" s="3" t="b">
        <f t="shared" si="5"/>
        <v>0</v>
      </c>
      <c r="R82" s="3" t="b">
        <f t="shared" si="6"/>
        <v>0</v>
      </c>
      <c r="S82" s="3" t="b">
        <f t="shared" si="7"/>
        <v>0</v>
      </c>
      <c r="T82" s="3" t="b">
        <f t="shared" si="8"/>
        <v>0</v>
      </c>
      <c r="U82" s="3" t="b">
        <f t="shared" si="9"/>
        <v>1</v>
      </c>
      <c r="V82" s="3"/>
      <c r="W82" s="3" cm="1">
        <f t="array" ref="W82">IF(OR(J82="Brasil",N82="Brasil"),2*_xlfn.IFS(Q82=TRUE,6,R82=TRUE,4,AND(S82=TRUE,T82=FALSE),3,T82=TRUE,2,U82=TRUE,0),_xlfn.IFS(Q82=TRUE,6,R82=TRUE,4,AND(S82=TRUE,T82=FALSE),3,T82=TRUE,2,U82=TRUE,0))</f>
        <v>0</v>
      </c>
      <c r="X82" s="3"/>
      <c r="Y82" s="3"/>
    </row>
    <row r="83" spans="1:25" ht="14.25" customHeight="1" x14ac:dyDescent="0.3">
      <c r="A83" s="3">
        <f>'Tabela de Jogos'!A83</f>
        <v>81</v>
      </c>
      <c r="B83" s="3">
        <f>'Tabela de Jogos'!B83</f>
        <v>0</v>
      </c>
      <c r="C83" s="3">
        <f>'Tabela de Jogos'!C83</f>
        <v>0</v>
      </c>
      <c r="D83" s="3" t="str">
        <f>'Tabela de Jogos'!D83</f>
        <v>x</v>
      </c>
      <c r="E83" s="3">
        <f>'Tabela de Jogos'!E83</f>
        <v>0</v>
      </c>
      <c r="F83" s="3">
        <f>'Tabela de Jogos'!F83</f>
        <v>0</v>
      </c>
      <c r="G83" s="3" t="str">
        <f>'Tabela de Jogos'!G83</f>
        <v>-</v>
      </c>
      <c r="H83" s="3"/>
      <c r="I83" s="3">
        <f t="shared" ref="I83:J83" si="89">A83</f>
        <v>81</v>
      </c>
      <c r="J83" s="3">
        <f t="shared" si="89"/>
        <v>0</v>
      </c>
      <c r="K83" s="3"/>
      <c r="L83" s="3" t="str">
        <f t="shared" si="2"/>
        <v>x</v>
      </c>
      <c r="M83" s="3"/>
      <c r="N83" s="3">
        <f t="shared" si="3"/>
        <v>0</v>
      </c>
      <c r="O83" s="3" t="str">
        <f t="shared" si="4"/>
        <v>-</v>
      </c>
      <c r="P83" s="3"/>
      <c r="Q83" s="3" t="b">
        <f t="shared" si="5"/>
        <v>0</v>
      </c>
      <c r="R83" s="3" t="b">
        <f t="shared" si="6"/>
        <v>0</v>
      </c>
      <c r="S83" s="3" t="b">
        <f t="shared" si="7"/>
        <v>0</v>
      </c>
      <c r="T83" s="3" t="b">
        <f t="shared" si="8"/>
        <v>0</v>
      </c>
      <c r="U83" s="3" t="b">
        <f t="shared" si="9"/>
        <v>1</v>
      </c>
      <c r="V83" s="3"/>
      <c r="W83" s="3" cm="1">
        <f t="array" ref="W83">IF(OR(J83="Brasil",N83="Brasil"),2*_xlfn.IFS(Q83=TRUE,6,R83=TRUE,4,AND(S83=TRUE,T83=FALSE),3,T83=TRUE,2,U83=TRUE,0),_xlfn.IFS(Q83=TRUE,6,R83=TRUE,4,AND(S83=TRUE,T83=FALSE),3,T83=TRUE,2,U83=TRUE,0))</f>
        <v>0</v>
      </c>
      <c r="X83" s="3"/>
      <c r="Y83" s="3"/>
    </row>
    <row r="84" spans="1:25" ht="14.25" customHeight="1" x14ac:dyDescent="0.3">
      <c r="A84" s="3">
        <f>'Tabela de Jogos'!A84</f>
        <v>82</v>
      </c>
      <c r="B84" s="3">
        <f>'Tabela de Jogos'!B84</f>
        <v>0</v>
      </c>
      <c r="C84" s="3">
        <f>'Tabela de Jogos'!C84</f>
        <v>0</v>
      </c>
      <c r="D84" s="3" t="str">
        <f>'Tabela de Jogos'!D84</f>
        <v>x</v>
      </c>
      <c r="E84" s="3">
        <f>'Tabela de Jogos'!E84</f>
        <v>0</v>
      </c>
      <c r="F84" s="3">
        <f>'Tabela de Jogos'!F84</f>
        <v>0</v>
      </c>
      <c r="G84" s="3" t="str">
        <f>'Tabela de Jogos'!G84</f>
        <v>-</v>
      </c>
      <c r="H84" s="3"/>
      <c r="I84" s="3">
        <f t="shared" ref="I84:J84" si="90">A84</f>
        <v>82</v>
      </c>
      <c r="J84" s="3">
        <f t="shared" si="90"/>
        <v>0</v>
      </c>
      <c r="K84" s="3"/>
      <c r="L84" s="3" t="str">
        <f t="shared" si="2"/>
        <v>x</v>
      </c>
      <c r="M84" s="3"/>
      <c r="N84" s="3">
        <f t="shared" si="3"/>
        <v>0</v>
      </c>
      <c r="O84" s="3" t="str">
        <f t="shared" si="4"/>
        <v>-</v>
      </c>
      <c r="P84" s="3"/>
      <c r="Q84" s="3" t="b">
        <f t="shared" si="5"/>
        <v>0</v>
      </c>
      <c r="R84" s="3" t="b">
        <f t="shared" si="6"/>
        <v>0</v>
      </c>
      <c r="S84" s="3" t="b">
        <f t="shared" si="7"/>
        <v>0</v>
      </c>
      <c r="T84" s="3" t="b">
        <f t="shared" si="8"/>
        <v>0</v>
      </c>
      <c r="U84" s="3" t="b">
        <f t="shared" si="9"/>
        <v>1</v>
      </c>
      <c r="V84" s="3"/>
      <c r="W84" s="3" cm="1">
        <f t="array" ref="W84">IF(OR(J84="Brasil",N84="Brasil"),2*_xlfn.IFS(Q84=TRUE,6,R84=TRUE,4,AND(S84=TRUE,T84=FALSE),3,T84=TRUE,2,U84=TRUE,0),_xlfn.IFS(Q84=TRUE,6,R84=TRUE,4,AND(S84=TRUE,T84=FALSE),3,T84=TRUE,2,U84=TRUE,0))</f>
        <v>0</v>
      </c>
      <c r="X84" s="3"/>
      <c r="Y84" s="3"/>
    </row>
    <row r="85" spans="1:25" ht="14.25" customHeight="1" x14ac:dyDescent="0.3">
      <c r="A85" s="3">
        <f>'Tabela de Jogos'!A85</f>
        <v>83</v>
      </c>
      <c r="B85" s="3">
        <f>'Tabela de Jogos'!B85</f>
        <v>0</v>
      </c>
      <c r="C85" s="3">
        <f>'Tabela de Jogos'!C85</f>
        <v>0</v>
      </c>
      <c r="D85" s="3" t="str">
        <f>'Tabela de Jogos'!D85</f>
        <v>x</v>
      </c>
      <c r="E85" s="3">
        <f>'Tabela de Jogos'!E85</f>
        <v>0</v>
      </c>
      <c r="F85" s="3">
        <f>'Tabela de Jogos'!F85</f>
        <v>0</v>
      </c>
      <c r="G85" s="3" t="str">
        <f>'Tabela de Jogos'!G85</f>
        <v>-</v>
      </c>
      <c r="H85" s="3"/>
      <c r="I85" s="3">
        <f t="shared" ref="I85:J85" si="91">A85</f>
        <v>83</v>
      </c>
      <c r="J85" s="3">
        <f t="shared" si="91"/>
        <v>0</v>
      </c>
      <c r="K85" s="3"/>
      <c r="L85" s="3" t="str">
        <f t="shared" si="2"/>
        <v>x</v>
      </c>
      <c r="M85" s="3"/>
      <c r="N85" s="3">
        <f t="shared" si="3"/>
        <v>0</v>
      </c>
      <c r="O85" s="3" t="str">
        <f t="shared" si="4"/>
        <v>-</v>
      </c>
      <c r="P85" s="3"/>
      <c r="Q85" s="3" t="b">
        <f t="shared" si="5"/>
        <v>0</v>
      </c>
      <c r="R85" s="3" t="b">
        <f t="shared" si="6"/>
        <v>0</v>
      </c>
      <c r="S85" s="3" t="b">
        <f t="shared" si="7"/>
        <v>0</v>
      </c>
      <c r="T85" s="3" t="b">
        <f t="shared" si="8"/>
        <v>0</v>
      </c>
      <c r="U85" s="3" t="b">
        <f t="shared" si="9"/>
        <v>1</v>
      </c>
      <c r="V85" s="3"/>
      <c r="W85" s="3" cm="1">
        <f t="array" ref="W85">IF(OR(J85="Brasil",N85="Brasil"),2*_xlfn.IFS(Q85=TRUE,6,R85=TRUE,4,AND(S85=TRUE,T85=FALSE),3,T85=TRUE,2,U85=TRUE,0),_xlfn.IFS(Q85=TRUE,6,R85=TRUE,4,AND(S85=TRUE,T85=FALSE),3,T85=TRUE,2,U85=TRUE,0))</f>
        <v>0</v>
      </c>
      <c r="X85" s="3"/>
      <c r="Y85" s="3"/>
    </row>
    <row r="86" spans="1:25" ht="14.25" customHeight="1" x14ac:dyDescent="0.3">
      <c r="A86" s="3">
        <f>'Tabela de Jogos'!A86</f>
        <v>84</v>
      </c>
      <c r="B86" s="3">
        <f>'Tabela de Jogos'!B86</f>
        <v>0</v>
      </c>
      <c r="C86" s="3">
        <f>'Tabela de Jogos'!C86</f>
        <v>0</v>
      </c>
      <c r="D86" s="3" t="str">
        <f>'Tabela de Jogos'!D86</f>
        <v>x</v>
      </c>
      <c r="E86" s="3">
        <f>'Tabela de Jogos'!E86</f>
        <v>0</v>
      </c>
      <c r="F86" s="3">
        <f>'Tabela de Jogos'!F86</f>
        <v>0</v>
      </c>
      <c r="G86" s="3" t="str">
        <f>'Tabela de Jogos'!G86</f>
        <v>-</v>
      </c>
      <c r="H86" s="3"/>
      <c r="I86" s="3">
        <f t="shared" ref="I86:J86" si="92">A86</f>
        <v>84</v>
      </c>
      <c r="J86" s="3">
        <f t="shared" si="92"/>
        <v>0</v>
      </c>
      <c r="K86" s="3"/>
      <c r="L86" s="3" t="str">
        <f t="shared" si="2"/>
        <v>x</v>
      </c>
      <c r="M86" s="3"/>
      <c r="N86" s="3">
        <f t="shared" si="3"/>
        <v>0</v>
      </c>
      <c r="O86" s="3" t="str">
        <f t="shared" si="4"/>
        <v>-</v>
      </c>
      <c r="P86" s="3"/>
      <c r="Q86" s="3" t="b">
        <f t="shared" si="5"/>
        <v>0</v>
      </c>
      <c r="R86" s="3" t="b">
        <f t="shared" si="6"/>
        <v>0</v>
      </c>
      <c r="S86" s="3" t="b">
        <f t="shared" si="7"/>
        <v>0</v>
      </c>
      <c r="T86" s="3" t="b">
        <f t="shared" si="8"/>
        <v>0</v>
      </c>
      <c r="U86" s="3" t="b">
        <f t="shared" si="9"/>
        <v>1</v>
      </c>
      <c r="V86" s="3"/>
      <c r="W86" s="3" cm="1">
        <f t="array" ref="W86">IF(OR(J86="Brasil",N86="Brasil"),2*_xlfn.IFS(Q86=TRUE,6,R86=TRUE,4,AND(S86=TRUE,T86=FALSE),3,T86=TRUE,2,U86=TRUE,0),_xlfn.IFS(Q86=TRUE,6,R86=TRUE,4,AND(S86=TRUE,T86=FALSE),3,T86=TRUE,2,U86=TRUE,0))</f>
        <v>0</v>
      </c>
      <c r="X86" s="3"/>
      <c r="Y86" s="3"/>
    </row>
    <row r="87" spans="1:25" ht="14.25" customHeight="1" x14ac:dyDescent="0.3">
      <c r="A87" s="3">
        <f>'Tabela de Jogos'!A87</f>
        <v>85</v>
      </c>
      <c r="B87" s="3">
        <f>'Tabela de Jogos'!B87</f>
        <v>0</v>
      </c>
      <c r="C87" s="3">
        <f>'Tabela de Jogos'!C87</f>
        <v>0</v>
      </c>
      <c r="D87" s="3" t="str">
        <f>'Tabela de Jogos'!D87</f>
        <v>x</v>
      </c>
      <c r="E87" s="3">
        <f>'Tabela de Jogos'!E87</f>
        <v>0</v>
      </c>
      <c r="F87" s="3">
        <f>'Tabela de Jogos'!F87</f>
        <v>0</v>
      </c>
      <c r="G87" s="3" t="str">
        <f>'Tabela de Jogos'!G87</f>
        <v>-</v>
      </c>
      <c r="H87" s="3"/>
      <c r="I87" s="3">
        <f t="shared" ref="I87:J87" si="93">A87</f>
        <v>85</v>
      </c>
      <c r="J87" s="3">
        <f t="shared" si="93"/>
        <v>0</v>
      </c>
      <c r="K87" s="3"/>
      <c r="L87" s="3" t="str">
        <f t="shared" si="2"/>
        <v>x</v>
      </c>
      <c r="M87" s="3"/>
      <c r="N87" s="3">
        <f t="shared" si="3"/>
        <v>0</v>
      </c>
      <c r="O87" s="3" t="str">
        <f t="shared" si="4"/>
        <v>-</v>
      </c>
      <c r="P87" s="3"/>
      <c r="Q87" s="3" t="b">
        <f t="shared" si="5"/>
        <v>0</v>
      </c>
      <c r="R87" s="3" t="b">
        <f t="shared" si="6"/>
        <v>0</v>
      </c>
      <c r="S87" s="3" t="b">
        <f t="shared" si="7"/>
        <v>0</v>
      </c>
      <c r="T87" s="3" t="b">
        <f t="shared" si="8"/>
        <v>0</v>
      </c>
      <c r="U87" s="3" t="b">
        <f t="shared" si="9"/>
        <v>1</v>
      </c>
      <c r="V87" s="3"/>
      <c r="W87" s="3" cm="1">
        <f t="array" ref="W87">IF(OR(J87="Brasil",N87="Brasil"),2*_xlfn.IFS(Q87=TRUE,6,R87=TRUE,4,AND(S87=TRUE,T87=FALSE),3,T87=TRUE,2,U87=TRUE,0),_xlfn.IFS(Q87=TRUE,6,R87=TRUE,4,AND(S87=TRUE,T87=FALSE),3,T87=TRUE,2,U87=TRUE,0))</f>
        <v>0</v>
      </c>
      <c r="X87" s="3"/>
      <c r="Y87" s="3"/>
    </row>
    <row r="88" spans="1:25" ht="14.25" customHeight="1" x14ac:dyDescent="0.3">
      <c r="A88" s="3">
        <f>'Tabela de Jogos'!A88</f>
        <v>86</v>
      </c>
      <c r="B88" s="3">
        <f>'Tabela de Jogos'!B88</f>
        <v>0</v>
      </c>
      <c r="C88" s="3">
        <f>'Tabela de Jogos'!C88</f>
        <v>0</v>
      </c>
      <c r="D88" s="3" t="str">
        <f>'Tabela de Jogos'!D88</f>
        <v>x</v>
      </c>
      <c r="E88" s="3">
        <f>'Tabela de Jogos'!E88</f>
        <v>0</v>
      </c>
      <c r="F88" s="3">
        <f>'Tabela de Jogos'!F88</f>
        <v>0</v>
      </c>
      <c r="G88" s="3" t="str">
        <f>'Tabela de Jogos'!G88</f>
        <v>-</v>
      </c>
      <c r="H88" s="3"/>
      <c r="I88" s="3">
        <f t="shared" ref="I88:J88" si="94">A88</f>
        <v>86</v>
      </c>
      <c r="J88" s="3">
        <f t="shared" si="94"/>
        <v>0</v>
      </c>
      <c r="K88" s="3"/>
      <c r="L88" s="3" t="str">
        <f t="shared" si="2"/>
        <v>x</v>
      </c>
      <c r="M88" s="3"/>
      <c r="N88" s="3">
        <f t="shared" si="3"/>
        <v>0</v>
      </c>
      <c r="O88" s="3" t="str">
        <f t="shared" si="4"/>
        <v>-</v>
      </c>
      <c r="P88" s="3"/>
      <c r="Q88" s="3" t="b">
        <f t="shared" si="5"/>
        <v>0</v>
      </c>
      <c r="R88" s="3" t="b">
        <f t="shared" si="6"/>
        <v>0</v>
      </c>
      <c r="S88" s="3" t="b">
        <f t="shared" si="7"/>
        <v>0</v>
      </c>
      <c r="T88" s="3" t="b">
        <f t="shared" si="8"/>
        <v>0</v>
      </c>
      <c r="U88" s="3" t="b">
        <f t="shared" si="9"/>
        <v>1</v>
      </c>
      <c r="V88" s="3"/>
      <c r="W88" s="3" cm="1">
        <f t="array" ref="W88">IF(OR(J88="Brasil",N88="Brasil"),2*_xlfn.IFS(Q88=TRUE,6,R88=TRUE,4,AND(S88=TRUE,T88=FALSE),3,T88=TRUE,2,U88=TRUE,0),_xlfn.IFS(Q88=TRUE,6,R88=TRUE,4,AND(S88=TRUE,T88=FALSE),3,T88=TRUE,2,U88=TRUE,0))</f>
        <v>0</v>
      </c>
      <c r="X88" s="3"/>
      <c r="Y88" s="3"/>
    </row>
    <row r="89" spans="1:25" ht="14.25" customHeight="1" x14ac:dyDescent="0.3">
      <c r="A89" s="3">
        <f>'Tabela de Jogos'!A89</f>
        <v>87</v>
      </c>
      <c r="B89" s="3">
        <f>'Tabela de Jogos'!B89</f>
        <v>0</v>
      </c>
      <c r="C89" s="3">
        <f>'Tabela de Jogos'!C89</f>
        <v>0</v>
      </c>
      <c r="D89" s="3" t="str">
        <f>'Tabela de Jogos'!D89</f>
        <v>x</v>
      </c>
      <c r="E89" s="3">
        <f>'Tabela de Jogos'!E89</f>
        <v>0</v>
      </c>
      <c r="F89" s="3">
        <f>'Tabela de Jogos'!F89</f>
        <v>0</v>
      </c>
      <c r="G89" s="3" t="str">
        <f>'Tabela de Jogos'!G89</f>
        <v>-</v>
      </c>
      <c r="H89" s="3"/>
      <c r="I89" s="3">
        <f t="shared" ref="I89:J89" si="95">A89</f>
        <v>87</v>
      </c>
      <c r="J89" s="3">
        <f t="shared" si="95"/>
        <v>0</v>
      </c>
      <c r="K89" s="3"/>
      <c r="L89" s="3" t="str">
        <f t="shared" si="2"/>
        <v>x</v>
      </c>
      <c r="M89" s="3"/>
      <c r="N89" s="3">
        <f t="shared" si="3"/>
        <v>0</v>
      </c>
      <c r="O89" s="3" t="str">
        <f t="shared" si="4"/>
        <v>-</v>
      </c>
      <c r="P89" s="3"/>
      <c r="Q89" s="3" t="b">
        <f t="shared" si="5"/>
        <v>0</v>
      </c>
      <c r="R89" s="3" t="b">
        <f t="shared" si="6"/>
        <v>0</v>
      </c>
      <c r="S89" s="3" t="b">
        <f t="shared" si="7"/>
        <v>0</v>
      </c>
      <c r="T89" s="3" t="b">
        <f t="shared" si="8"/>
        <v>0</v>
      </c>
      <c r="U89" s="3" t="b">
        <f t="shared" si="9"/>
        <v>1</v>
      </c>
      <c r="V89" s="3"/>
      <c r="W89" s="3" cm="1">
        <f t="array" ref="W89">IF(OR(J89="Brasil",N89="Brasil"),2*_xlfn.IFS(Q89=TRUE,6,R89=TRUE,4,AND(S89=TRUE,T89=FALSE),3,T89=TRUE,2,U89=TRUE,0),_xlfn.IFS(Q89=TRUE,6,R89=TRUE,4,AND(S89=TRUE,T89=FALSE),3,T89=TRUE,2,U89=TRUE,0))</f>
        <v>0</v>
      </c>
      <c r="X89" s="3"/>
      <c r="Y89" s="3"/>
    </row>
    <row r="90" spans="1:25" ht="14.25" customHeight="1" x14ac:dyDescent="0.3">
      <c r="A90" s="3">
        <f>'Tabela de Jogos'!A90</f>
        <v>88</v>
      </c>
      <c r="B90" s="3">
        <f>'Tabela de Jogos'!B90</f>
        <v>0</v>
      </c>
      <c r="C90" s="3">
        <f>'Tabela de Jogos'!C90</f>
        <v>0</v>
      </c>
      <c r="D90" s="3" t="str">
        <f>'Tabela de Jogos'!D90</f>
        <v>x</v>
      </c>
      <c r="E90" s="3">
        <f>'Tabela de Jogos'!E90</f>
        <v>0</v>
      </c>
      <c r="F90" s="3">
        <f>'Tabela de Jogos'!F90</f>
        <v>0</v>
      </c>
      <c r="G90" s="3" t="str">
        <f>'Tabela de Jogos'!G90</f>
        <v>-</v>
      </c>
      <c r="H90" s="3"/>
      <c r="I90" s="3">
        <f t="shared" ref="I90:J90" si="96">A90</f>
        <v>88</v>
      </c>
      <c r="J90" s="3">
        <f t="shared" si="96"/>
        <v>0</v>
      </c>
      <c r="K90" s="3"/>
      <c r="L90" s="3" t="str">
        <f t="shared" si="2"/>
        <v>x</v>
      </c>
      <c r="M90" s="3"/>
      <c r="N90" s="3">
        <f t="shared" si="3"/>
        <v>0</v>
      </c>
      <c r="O90" s="3" t="str">
        <f t="shared" si="4"/>
        <v>-</v>
      </c>
      <c r="P90" s="3"/>
      <c r="Q90" s="3" t="b">
        <f t="shared" si="5"/>
        <v>0</v>
      </c>
      <c r="R90" s="3" t="b">
        <f t="shared" si="6"/>
        <v>0</v>
      </c>
      <c r="S90" s="3" t="b">
        <f t="shared" si="7"/>
        <v>0</v>
      </c>
      <c r="T90" s="3" t="b">
        <f t="shared" si="8"/>
        <v>0</v>
      </c>
      <c r="U90" s="3" t="b">
        <f t="shared" si="9"/>
        <v>1</v>
      </c>
      <c r="V90" s="3"/>
      <c r="W90" s="3" cm="1">
        <f t="array" ref="W90">IF(OR(J90="Brasil",N90="Brasil"),2*_xlfn.IFS(Q90=TRUE,6,R90=TRUE,4,AND(S90=TRUE,T90=FALSE),3,T90=TRUE,2,U90=TRUE,0),_xlfn.IFS(Q90=TRUE,6,R90=TRUE,4,AND(S90=TRUE,T90=FALSE),3,T90=TRUE,2,U90=TRUE,0))</f>
        <v>0</v>
      </c>
      <c r="X90" s="3"/>
      <c r="Y90" s="3"/>
    </row>
    <row r="91" spans="1:25" ht="14.25" customHeight="1" x14ac:dyDescent="0.3">
      <c r="A91" s="3">
        <f>'Tabela de Jogos'!A91</f>
        <v>89</v>
      </c>
      <c r="B91" s="3">
        <f>'Tabela de Jogos'!B91</f>
        <v>0</v>
      </c>
      <c r="C91" s="3">
        <f>'Tabela de Jogos'!C91</f>
        <v>0</v>
      </c>
      <c r="D91" s="3" t="str">
        <f>'Tabela de Jogos'!D91</f>
        <v>x</v>
      </c>
      <c r="E91" s="3">
        <f>'Tabela de Jogos'!E91</f>
        <v>0</v>
      </c>
      <c r="F91" s="3">
        <f>'Tabela de Jogos'!F91</f>
        <v>0</v>
      </c>
      <c r="G91" s="3" t="str">
        <f>'Tabela de Jogos'!G91</f>
        <v>-</v>
      </c>
      <c r="H91" s="3"/>
      <c r="I91" s="3">
        <f t="shared" ref="I91:J91" si="97">A91</f>
        <v>89</v>
      </c>
      <c r="J91" s="3">
        <f t="shared" si="97"/>
        <v>0</v>
      </c>
      <c r="K91" s="3"/>
      <c r="L91" s="3" t="str">
        <f t="shared" si="2"/>
        <v>x</v>
      </c>
      <c r="M91" s="3"/>
      <c r="N91" s="3">
        <f t="shared" si="3"/>
        <v>0</v>
      </c>
      <c r="O91" s="3" t="str">
        <f t="shared" si="4"/>
        <v>-</v>
      </c>
      <c r="P91" s="3"/>
      <c r="Q91" s="3" t="b">
        <f t="shared" si="5"/>
        <v>0</v>
      </c>
      <c r="R91" s="3" t="b">
        <f t="shared" si="6"/>
        <v>0</v>
      </c>
      <c r="S91" s="3" t="b">
        <f t="shared" si="7"/>
        <v>0</v>
      </c>
      <c r="T91" s="3" t="b">
        <f t="shared" si="8"/>
        <v>0</v>
      </c>
      <c r="U91" s="3" t="b">
        <f t="shared" si="9"/>
        <v>1</v>
      </c>
      <c r="V91" s="3"/>
      <c r="W91" s="3" cm="1">
        <f t="array" ref="W91">IF(OR(J91="Brasil",N91="Brasil"),2*_xlfn.IFS(Q91=TRUE,6,R91=TRUE,4,AND(S91=TRUE,T91=FALSE),3,T91=TRUE,2,U91=TRUE,0),_xlfn.IFS(Q91=TRUE,6,R91=TRUE,4,AND(S91=TRUE,T91=FALSE),3,T91=TRUE,2,U91=TRUE,0))</f>
        <v>0</v>
      </c>
      <c r="X91" s="3"/>
      <c r="Y91" s="3"/>
    </row>
    <row r="92" spans="1:25" ht="14.25" customHeight="1" x14ac:dyDescent="0.3">
      <c r="A92" s="3">
        <f>'Tabela de Jogos'!A92</f>
        <v>90</v>
      </c>
      <c r="B92" s="3">
        <f>'Tabela de Jogos'!B92</f>
        <v>0</v>
      </c>
      <c r="C92" s="3">
        <f>'Tabela de Jogos'!C92</f>
        <v>0</v>
      </c>
      <c r="D92" s="3" t="str">
        <f>'Tabela de Jogos'!D92</f>
        <v>x</v>
      </c>
      <c r="E92" s="3">
        <f>'Tabela de Jogos'!E92</f>
        <v>0</v>
      </c>
      <c r="F92" s="3">
        <f>'Tabela de Jogos'!F92</f>
        <v>0</v>
      </c>
      <c r="G92" s="3" t="str">
        <f>'Tabela de Jogos'!G92</f>
        <v>-</v>
      </c>
      <c r="H92" s="3"/>
      <c r="I92" s="3">
        <f t="shared" ref="I92:J92" si="98">A92</f>
        <v>90</v>
      </c>
      <c r="J92" s="3">
        <f t="shared" si="98"/>
        <v>0</v>
      </c>
      <c r="K92" s="3"/>
      <c r="L92" s="3" t="str">
        <f t="shared" si="2"/>
        <v>x</v>
      </c>
      <c r="M92" s="3"/>
      <c r="N92" s="3">
        <f t="shared" si="3"/>
        <v>0</v>
      </c>
      <c r="O92" s="3" t="str">
        <f t="shared" si="4"/>
        <v>-</v>
      </c>
      <c r="P92" s="3"/>
      <c r="Q92" s="3" t="b">
        <f t="shared" si="5"/>
        <v>0</v>
      </c>
      <c r="R92" s="3" t="b">
        <f t="shared" si="6"/>
        <v>0</v>
      </c>
      <c r="S92" s="3" t="b">
        <f t="shared" si="7"/>
        <v>0</v>
      </c>
      <c r="T92" s="3" t="b">
        <f t="shared" si="8"/>
        <v>0</v>
      </c>
      <c r="U92" s="3" t="b">
        <f t="shared" si="9"/>
        <v>1</v>
      </c>
      <c r="V92" s="3"/>
      <c r="W92" s="3" cm="1">
        <f t="array" ref="W92">IF(OR(J92="Brasil",N92="Brasil"),2*_xlfn.IFS(Q92=TRUE,6,R92=TRUE,4,AND(S92=TRUE,T92=FALSE),3,T92=TRUE,2,U92=TRUE,0),_xlfn.IFS(Q92=TRUE,6,R92=TRUE,4,AND(S92=TRUE,T92=FALSE),3,T92=TRUE,2,U92=TRUE,0))</f>
        <v>0</v>
      </c>
      <c r="X92" s="3"/>
      <c r="Y92" s="3"/>
    </row>
    <row r="93" spans="1:25" ht="14.25" customHeight="1" x14ac:dyDescent="0.3">
      <c r="A93" s="3">
        <f>'Tabela de Jogos'!A93</f>
        <v>91</v>
      </c>
      <c r="B93" s="3">
        <f>'Tabela de Jogos'!B93</f>
        <v>0</v>
      </c>
      <c r="C93" s="3">
        <f>'Tabela de Jogos'!C93</f>
        <v>0</v>
      </c>
      <c r="D93" s="3" t="str">
        <f>'Tabela de Jogos'!D93</f>
        <v>x</v>
      </c>
      <c r="E93" s="3">
        <f>'Tabela de Jogos'!E93</f>
        <v>0</v>
      </c>
      <c r="F93" s="3">
        <f>'Tabela de Jogos'!F93</f>
        <v>0</v>
      </c>
      <c r="G93" s="3" t="str">
        <f>'Tabela de Jogos'!G93</f>
        <v>-</v>
      </c>
      <c r="H93" s="3"/>
      <c r="I93" s="3">
        <f t="shared" ref="I93:J93" si="99">A93</f>
        <v>91</v>
      </c>
      <c r="J93" s="3">
        <f t="shared" si="99"/>
        <v>0</v>
      </c>
      <c r="K93" s="3"/>
      <c r="L93" s="3" t="str">
        <f t="shared" si="2"/>
        <v>x</v>
      </c>
      <c r="M93" s="3"/>
      <c r="N93" s="3">
        <f t="shared" si="3"/>
        <v>0</v>
      </c>
      <c r="O93" s="3" t="str">
        <f t="shared" si="4"/>
        <v>-</v>
      </c>
      <c r="P93" s="3"/>
      <c r="Q93" s="3" t="b">
        <f t="shared" si="5"/>
        <v>0</v>
      </c>
      <c r="R93" s="3" t="b">
        <f t="shared" si="6"/>
        <v>0</v>
      </c>
      <c r="S93" s="3" t="b">
        <f t="shared" si="7"/>
        <v>0</v>
      </c>
      <c r="T93" s="3" t="b">
        <f t="shared" si="8"/>
        <v>0</v>
      </c>
      <c r="U93" s="3" t="b">
        <f t="shared" si="9"/>
        <v>1</v>
      </c>
      <c r="V93" s="3"/>
      <c r="W93" s="3" cm="1">
        <f t="array" ref="W93">IF(OR(J93="Brasil",N93="Brasil"),2*_xlfn.IFS(Q93=TRUE,6,R93=TRUE,4,AND(S93=TRUE,T93=FALSE),3,T93=TRUE,2,U93=TRUE,0),_xlfn.IFS(Q93=TRUE,6,R93=TRUE,4,AND(S93=TRUE,T93=FALSE),3,T93=TRUE,2,U93=TRUE,0))</f>
        <v>0</v>
      </c>
      <c r="X93" s="3"/>
      <c r="Y93" s="3"/>
    </row>
    <row r="94" spans="1:25" ht="14.25" customHeight="1" x14ac:dyDescent="0.3">
      <c r="A94" s="3">
        <f>'Tabela de Jogos'!A94</f>
        <v>92</v>
      </c>
      <c r="B94" s="3">
        <f>'Tabela de Jogos'!B94</f>
        <v>0</v>
      </c>
      <c r="C94" s="3">
        <f>'Tabela de Jogos'!C94</f>
        <v>0</v>
      </c>
      <c r="D94" s="3" t="str">
        <f>'Tabela de Jogos'!D94</f>
        <v>x</v>
      </c>
      <c r="E94" s="3">
        <f>'Tabela de Jogos'!E94</f>
        <v>0</v>
      </c>
      <c r="F94" s="3">
        <f>'Tabela de Jogos'!F94</f>
        <v>0</v>
      </c>
      <c r="G94" s="3" t="str">
        <f>'Tabela de Jogos'!G94</f>
        <v>-</v>
      </c>
      <c r="H94" s="3"/>
      <c r="I94" s="3">
        <f t="shared" ref="I94:J94" si="100">A94</f>
        <v>92</v>
      </c>
      <c r="J94" s="3">
        <f t="shared" si="100"/>
        <v>0</v>
      </c>
      <c r="K94" s="3"/>
      <c r="L94" s="3" t="str">
        <f t="shared" si="2"/>
        <v>x</v>
      </c>
      <c r="M94" s="3"/>
      <c r="N94" s="3">
        <f t="shared" si="3"/>
        <v>0</v>
      </c>
      <c r="O94" s="3" t="str">
        <f t="shared" si="4"/>
        <v>-</v>
      </c>
      <c r="P94" s="3"/>
      <c r="Q94" s="3" t="b">
        <f t="shared" si="5"/>
        <v>0</v>
      </c>
      <c r="R94" s="3" t="b">
        <f t="shared" si="6"/>
        <v>0</v>
      </c>
      <c r="S94" s="3" t="b">
        <f t="shared" si="7"/>
        <v>0</v>
      </c>
      <c r="T94" s="3" t="b">
        <f t="shared" si="8"/>
        <v>0</v>
      </c>
      <c r="U94" s="3" t="b">
        <f t="shared" si="9"/>
        <v>1</v>
      </c>
      <c r="V94" s="3"/>
      <c r="W94" s="3" cm="1">
        <f t="array" ref="W94">IF(OR(J94="Brasil",N94="Brasil"),2*_xlfn.IFS(Q94=TRUE,6,R94=TRUE,4,AND(S94=TRUE,T94=FALSE),3,T94=TRUE,2,U94=TRUE,0),_xlfn.IFS(Q94=TRUE,6,R94=TRUE,4,AND(S94=TRUE,T94=FALSE),3,T94=TRUE,2,U94=TRUE,0))</f>
        <v>0</v>
      </c>
      <c r="X94" s="3"/>
      <c r="Y94" s="3"/>
    </row>
    <row r="95" spans="1:25" ht="14.25" customHeight="1" x14ac:dyDescent="0.3">
      <c r="A95" s="3">
        <f>'Tabela de Jogos'!A95</f>
        <v>93</v>
      </c>
      <c r="B95" s="3">
        <f>'Tabela de Jogos'!B95</f>
        <v>0</v>
      </c>
      <c r="C95" s="3">
        <f>'Tabela de Jogos'!C95</f>
        <v>0</v>
      </c>
      <c r="D95" s="3" t="str">
        <f>'Tabela de Jogos'!D95</f>
        <v>x</v>
      </c>
      <c r="E95" s="3">
        <f>'Tabela de Jogos'!E95</f>
        <v>0</v>
      </c>
      <c r="F95" s="3">
        <f>'Tabela de Jogos'!F95</f>
        <v>0</v>
      </c>
      <c r="G95" s="3" t="str">
        <f>'Tabela de Jogos'!G95</f>
        <v>-</v>
      </c>
      <c r="H95" s="3"/>
      <c r="I95" s="3">
        <f t="shared" ref="I95:J95" si="101">A95</f>
        <v>93</v>
      </c>
      <c r="J95" s="3">
        <f t="shared" si="101"/>
        <v>0</v>
      </c>
      <c r="K95" s="3"/>
      <c r="L95" s="3" t="str">
        <f t="shared" si="2"/>
        <v>x</v>
      </c>
      <c r="M95" s="3"/>
      <c r="N95" s="3">
        <f t="shared" si="3"/>
        <v>0</v>
      </c>
      <c r="O95" s="3" t="str">
        <f t="shared" si="4"/>
        <v>-</v>
      </c>
      <c r="P95" s="3"/>
      <c r="Q95" s="3" t="b">
        <f t="shared" si="5"/>
        <v>0</v>
      </c>
      <c r="R95" s="3" t="b">
        <f t="shared" si="6"/>
        <v>0</v>
      </c>
      <c r="S95" s="3" t="b">
        <f t="shared" si="7"/>
        <v>0</v>
      </c>
      <c r="T95" s="3" t="b">
        <f t="shared" si="8"/>
        <v>0</v>
      </c>
      <c r="U95" s="3" t="b">
        <f t="shared" si="9"/>
        <v>1</v>
      </c>
      <c r="V95" s="3"/>
      <c r="W95" s="3" cm="1">
        <f t="array" ref="W95">IF(OR(J95="Brasil",N95="Brasil"),2*_xlfn.IFS(Q95=TRUE,6,R95=TRUE,4,AND(S95=TRUE,T95=FALSE),3,T95=TRUE,2,U95=TRUE,0),_xlfn.IFS(Q95=TRUE,6,R95=TRUE,4,AND(S95=TRUE,T95=FALSE),3,T95=TRUE,2,U95=TRUE,0))</f>
        <v>0</v>
      </c>
      <c r="X95" s="3"/>
      <c r="Y95" s="3"/>
    </row>
    <row r="96" spans="1:25" ht="14.25" customHeight="1" x14ac:dyDescent="0.3">
      <c r="A96" s="3">
        <f>'Tabela de Jogos'!A96</f>
        <v>94</v>
      </c>
      <c r="B96" s="3">
        <f>'Tabela de Jogos'!B96</f>
        <v>0</v>
      </c>
      <c r="C96" s="3">
        <f>'Tabela de Jogos'!C96</f>
        <v>0</v>
      </c>
      <c r="D96" s="3" t="str">
        <f>'Tabela de Jogos'!D96</f>
        <v>x</v>
      </c>
      <c r="E96" s="3">
        <f>'Tabela de Jogos'!E96</f>
        <v>0</v>
      </c>
      <c r="F96" s="3">
        <f>'Tabela de Jogos'!F96</f>
        <v>0</v>
      </c>
      <c r="G96" s="3" t="str">
        <f>'Tabela de Jogos'!G96</f>
        <v>-</v>
      </c>
      <c r="H96" s="3"/>
      <c r="I96" s="3">
        <f t="shared" ref="I96:J96" si="102">A96</f>
        <v>94</v>
      </c>
      <c r="J96" s="3">
        <f t="shared" si="102"/>
        <v>0</v>
      </c>
      <c r="K96" s="3"/>
      <c r="L96" s="3" t="str">
        <f t="shared" si="2"/>
        <v>x</v>
      </c>
      <c r="M96" s="3"/>
      <c r="N96" s="3">
        <f t="shared" si="3"/>
        <v>0</v>
      </c>
      <c r="O96" s="3" t="str">
        <f t="shared" si="4"/>
        <v>-</v>
      </c>
      <c r="P96" s="3"/>
      <c r="Q96" s="3" t="b">
        <f t="shared" si="5"/>
        <v>0</v>
      </c>
      <c r="R96" s="3" t="b">
        <f t="shared" si="6"/>
        <v>0</v>
      </c>
      <c r="S96" s="3" t="b">
        <f t="shared" si="7"/>
        <v>0</v>
      </c>
      <c r="T96" s="3" t="b">
        <f t="shared" si="8"/>
        <v>0</v>
      </c>
      <c r="U96" s="3" t="b">
        <f t="shared" si="9"/>
        <v>1</v>
      </c>
      <c r="V96" s="3"/>
      <c r="W96" s="3" cm="1">
        <f t="array" ref="W96">IF(OR(J96="Brasil",N96="Brasil"),2*_xlfn.IFS(Q96=TRUE,6,R96=TRUE,4,AND(S96=TRUE,T96=FALSE),3,T96=TRUE,2,U96=TRUE,0),_xlfn.IFS(Q96=TRUE,6,R96=TRUE,4,AND(S96=TRUE,T96=FALSE),3,T96=TRUE,2,U96=TRUE,0))</f>
        <v>0</v>
      </c>
      <c r="X96" s="3"/>
      <c r="Y96" s="3"/>
    </row>
    <row r="97" spans="1:25" ht="14.25" customHeight="1" x14ac:dyDescent="0.3">
      <c r="A97" s="3">
        <f>'Tabela de Jogos'!A97</f>
        <v>95</v>
      </c>
      <c r="B97" s="3">
        <f>'Tabela de Jogos'!B97</f>
        <v>0</v>
      </c>
      <c r="C97" s="3">
        <f>'Tabela de Jogos'!C97</f>
        <v>0</v>
      </c>
      <c r="D97" s="3" t="str">
        <f>'Tabela de Jogos'!D97</f>
        <v>x</v>
      </c>
      <c r="E97" s="3">
        <f>'Tabela de Jogos'!E97</f>
        <v>0</v>
      </c>
      <c r="F97" s="3">
        <f>'Tabela de Jogos'!F97</f>
        <v>0</v>
      </c>
      <c r="G97" s="3" t="str">
        <f>'Tabela de Jogos'!G97</f>
        <v>-</v>
      </c>
      <c r="H97" s="3"/>
      <c r="I97" s="3">
        <f t="shared" ref="I97:J97" si="103">A97</f>
        <v>95</v>
      </c>
      <c r="J97" s="3">
        <f t="shared" si="103"/>
        <v>0</v>
      </c>
      <c r="K97" s="3"/>
      <c r="L97" s="3" t="str">
        <f t="shared" si="2"/>
        <v>x</v>
      </c>
      <c r="M97" s="3"/>
      <c r="N97" s="3">
        <f t="shared" si="3"/>
        <v>0</v>
      </c>
      <c r="O97" s="3" t="str">
        <f t="shared" si="4"/>
        <v>-</v>
      </c>
      <c r="P97" s="3"/>
      <c r="Q97" s="3" t="b">
        <f t="shared" si="5"/>
        <v>0</v>
      </c>
      <c r="R97" s="3" t="b">
        <f t="shared" si="6"/>
        <v>0</v>
      </c>
      <c r="S97" s="3" t="b">
        <f t="shared" si="7"/>
        <v>0</v>
      </c>
      <c r="T97" s="3" t="b">
        <f t="shared" si="8"/>
        <v>0</v>
      </c>
      <c r="U97" s="3" t="b">
        <f t="shared" si="9"/>
        <v>1</v>
      </c>
      <c r="V97" s="3"/>
      <c r="W97" s="3" cm="1">
        <f t="array" ref="W97">IF(OR(J97="Brasil",N97="Brasil"),2*_xlfn.IFS(Q97=TRUE,6,R97=TRUE,4,AND(S97=TRUE,T97=FALSE),3,T97=TRUE,2,U97=TRUE,0),_xlfn.IFS(Q97=TRUE,6,R97=TRUE,4,AND(S97=TRUE,T97=FALSE),3,T97=TRUE,2,U97=TRUE,0))</f>
        <v>0</v>
      </c>
      <c r="X97" s="3"/>
      <c r="Y97" s="3"/>
    </row>
    <row r="98" spans="1:25" ht="14.25" customHeight="1" x14ac:dyDescent="0.3">
      <c r="A98" s="3">
        <f>'Tabela de Jogos'!A98</f>
        <v>96</v>
      </c>
      <c r="B98" s="3">
        <f>'Tabela de Jogos'!B98</f>
        <v>0</v>
      </c>
      <c r="C98" s="3">
        <f>'Tabela de Jogos'!C98</f>
        <v>0</v>
      </c>
      <c r="D98" s="3" t="str">
        <f>'Tabela de Jogos'!D98</f>
        <v>x</v>
      </c>
      <c r="E98" s="3">
        <f>'Tabela de Jogos'!E98</f>
        <v>0</v>
      </c>
      <c r="F98" s="3">
        <f>'Tabela de Jogos'!F98</f>
        <v>0</v>
      </c>
      <c r="G98" s="3" t="str">
        <f>'Tabela de Jogos'!G98</f>
        <v>-</v>
      </c>
      <c r="H98" s="3"/>
      <c r="I98" s="3">
        <f t="shared" ref="I98:J98" si="104">A98</f>
        <v>96</v>
      </c>
      <c r="J98" s="3">
        <f t="shared" si="104"/>
        <v>0</v>
      </c>
      <c r="K98" s="3"/>
      <c r="L98" s="3" t="str">
        <f t="shared" si="2"/>
        <v>x</v>
      </c>
      <c r="M98" s="3"/>
      <c r="N98" s="3">
        <f t="shared" si="3"/>
        <v>0</v>
      </c>
      <c r="O98" s="3" t="str">
        <f t="shared" si="4"/>
        <v>-</v>
      </c>
      <c r="P98" s="3"/>
      <c r="Q98" s="3" t="b">
        <f t="shared" si="5"/>
        <v>0</v>
      </c>
      <c r="R98" s="3" t="b">
        <f t="shared" si="6"/>
        <v>0</v>
      </c>
      <c r="S98" s="3" t="b">
        <f t="shared" si="7"/>
        <v>0</v>
      </c>
      <c r="T98" s="3" t="b">
        <f t="shared" si="8"/>
        <v>0</v>
      </c>
      <c r="U98" s="3" t="b">
        <f t="shared" si="9"/>
        <v>1</v>
      </c>
      <c r="V98" s="3"/>
      <c r="W98" s="3" cm="1">
        <f t="array" ref="W98">IF(OR(J98="Brasil",N98="Brasil"),2*_xlfn.IFS(Q98=TRUE,6,R98=TRUE,4,AND(S98=TRUE,T98=FALSE),3,T98=TRUE,2,U98=TRUE,0),_xlfn.IFS(Q98=TRUE,6,R98=TRUE,4,AND(S98=TRUE,T98=FALSE),3,T98=TRUE,2,U98=TRUE,0))</f>
        <v>0</v>
      </c>
      <c r="X98" s="3"/>
      <c r="Y98" s="3"/>
    </row>
    <row r="99" spans="1:25" ht="14.25" customHeight="1" x14ac:dyDescent="0.3">
      <c r="A99" s="3">
        <f>'Tabela de Jogos'!A99</f>
        <v>97</v>
      </c>
      <c r="B99" s="3">
        <f>'Tabela de Jogos'!B99</f>
        <v>0</v>
      </c>
      <c r="C99" s="3">
        <f>'Tabela de Jogos'!C99</f>
        <v>0</v>
      </c>
      <c r="D99" s="3" t="str">
        <f>'Tabela de Jogos'!D99</f>
        <v>x</v>
      </c>
      <c r="E99" s="3">
        <f>'Tabela de Jogos'!E99</f>
        <v>0</v>
      </c>
      <c r="F99" s="3">
        <f>'Tabela de Jogos'!F99</f>
        <v>0</v>
      </c>
      <c r="G99" s="3" t="str">
        <f>'Tabela de Jogos'!G99</f>
        <v>-</v>
      </c>
      <c r="H99" s="3"/>
      <c r="I99" s="3">
        <f t="shared" ref="I99:J99" si="105">A99</f>
        <v>97</v>
      </c>
      <c r="J99" s="3">
        <f t="shared" si="105"/>
        <v>0</v>
      </c>
      <c r="K99" s="3"/>
      <c r="L99" s="3" t="str">
        <f t="shared" si="2"/>
        <v>x</v>
      </c>
      <c r="M99" s="3"/>
      <c r="N99" s="3">
        <f t="shared" si="3"/>
        <v>0</v>
      </c>
      <c r="O99" s="3" t="str">
        <f t="shared" si="4"/>
        <v>-</v>
      </c>
      <c r="P99" s="3"/>
      <c r="Q99" s="3" t="b">
        <f t="shared" si="5"/>
        <v>0</v>
      </c>
      <c r="R99" s="3" t="b">
        <f t="shared" si="6"/>
        <v>0</v>
      </c>
      <c r="S99" s="3" t="b">
        <f t="shared" si="7"/>
        <v>0</v>
      </c>
      <c r="T99" s="3" t="b">
        <f t="shared" si="8"/>
        <v>0</v>
      </c>
      <c r="U99" s="3" t="b">
        <f t="shared" si="9"/>
        <v>1</v>
      </c>
      <c r="V99" s="3"/>
      <c r="W99" s="3" cm="1">
        <f t="array" ref="W99">IF(OR(J99="Brasil",N99="Brasil"),2*_xlfn.IFS(Q99=TRUE,6,R99=TRUE,4,AND(S99=TRUE,T99=FALSE),3,T99=TRUE,2,U99=TRUE,0),_xlfn.IFS(Q99=TRUE,6,R99=TRUE,4,AND(S99=TRUE,T99=FALSE),3,T99=TRUE,2,U99=TRUE,0))</f>
        <v>0</v>
      </c>
      <c r="X99" s="3"/>
      <c r="Y99" s="3"/>
    </row>
    <row r="100" spans="1:25" ht="14.25" customHeight="1" x14ac:dyDescent="0.3">
      <c r="A100" s="3">
        <f>'Tabela de Jogos'!A100</f>
        <v>98</v>
      </c>
      <c r="B100" s="3">
        <f>'Tabela de Jogos'!B100</f>
        <v>0</v>
      </c>
      <c r="C100" s="3">
        <f>'Tabela de Jogos'!C100</f>
        <v>0</v>
      </c>
      <c r="D100" s="3" t="str">
        <f>'Tabela de Jogos'!D100</f>
        <v>x</v>
      </c>
      <c r="E100" s="3">
        <f>'Tabela de Jogos'!E100</f>
        <v>0</v>
      </c>
      <c r="F100" s="3">
        <f>'Tabela de Jogos'!F100</f>
        <v>0</v>
      </c>
      <c r="G100" s="3" t="str">
        <f>'Tabela de Jogos'!G100</f>
        <v>-</v>
      </c>
      <c r="H100" s="3"/>
      <c r="I100" s="3">
        <f t="shared" ref="I100:J100" si="106">A100</f>
        <v>98</v>
      </c>
      <c r="J100" s="3">
        <f t="shared" si="106"/>
        <v>0</v>
      </c>
      <c r="K100" s="3"/>
      <c r="L100" s="3" t="str">
        <f t="shared" si="2"/>
        <v>x</v>
      </c>
      <c r="M100" s="3"/>
      <c r="N100" s="3">
        <f t="shared" si="3"/>
        <v>0</v>
      </c>
      <c r="O100" s="3" t="str">
        <f t="shared" si="4"/>
        <v>-</v>
      </c>
      <c r="P100" s="3"/>
      <c r="Q100" s="3" t="b">
        <f t="shared" si="5"/>
        <v>0</v>
      </c>
      <c r="R100" s="3" t="b">
        <f t="shared" si="6"/>
        <v>0</v>
      </c>
      <c r="S100" s="3" t="b">
        <f t="shared" si="7"/>
        <v>0</v>
      </c>
      <c r="T100" s="3" t="b">
        <f t="shared" si="8"/>
        <v>0</v>
      </c>
      <c r="U100" s="3" t="b">
        <f t="shared" si="9"/>
        <v>1</v>
      </c>
      <c r="V100" s="3"/>
      <c r="W100" s="3" cm="1">
        <f t="array" ref="W100">IF(OR(J100="Brasil",N100="Brasil"),2*_xlfn.IFS(Q100=TRUE,6,R100=TRUE,4,AND(S100=TRUE,T100=FALSE),3,T100=TRUE,2,U100=TRUE,0),_xlfn.IFS(Q100=TRUE,6,R100=TRUE,4,AND(S100=TRUE,T100=FALSE),3,T100=TRUE,2,U100=TRUE,0))</f>
        <v>0</v>
      </c>
      <c r="X100" s="3"/>
      <c r="Y100" s="3"/>
    </row>
    <row r="101" spans="1:25" ht="14.25" customHeight="1" x14ac:dyDescent="0.3">
      <c r="A101" s="3">
        <f>'Tabela de Jogos'!A101</f>
        <v>99</v>
      </c>
      <c r="B101" s="3">
        <f>'Tabela de Jogos'!B101</f>
        <v>0</v>
      </c>
      <c r="C101" s="3">
        <f>'Tabela de Jogos'!C101</f>
        <v>0</v>
      </c>
      <c r="D101" s="3" t="str">
        <f>'Tabela de Jogos'!D101</f>
        <v>x</v>
      </c>
      <c r="E101" s="3">
        <f>'Tabela de Jogos'!E101</f>
        <v>0</v>
      </c>
      <c r="F101" s="3">
        <f>'Tabela de Jogos'!F101</f>
        <v>0</v>
      </c>
      <c r="G101" s="3" t="str">
        <f>'Tabela de Jogos'!G101</f>
        <v>-</v>
      </c>
      <c r="H101" s="3"/>
      <c r="I101" s="3">
        <f t="shared" ref="I101:J101" si="107">A101</f>
        <v>99</v>
      </c>
      <c r="J101" s="3">
        <f t="shared" si="107"/>
        <v>0</v>
      </c>
      <c r="K101" s="3"/>
      <c r="L101" s="3" t="str">
        <f t="shared" si="2"/>
        <v>x</v>
      </c>
      <c r="M101" s="3"/>
      <c r="N101" s="3">
        <f t="shared" si="3"/>
        <v>0</v>
      </c>
      <c r="O101" s="3" t="str">
        <f t="shared" si="4"/>
        <v>-</v>
      </c>
      <c r="P101" s="3"/>
      <c r="Q101" s="3" t="b">
        <f t="shared" si="5"/>
        <v>0</v>
      </c>
      <c r="R101" s="3" t="b">
        <f t="shared" si="6"/>
        <v>0</v>
      </c>
      <c r="S101" s="3" t="b">
        <f t="shared" si="7"/>
        <v>0</v>
      </c>
      <c r="T101" s="3" t="b">
        <f t="shared" si="8"/>
        <v>0</v>
      </c>
      <c r="U101" s="3" t="b">
        <f t="shared" si="9"/>
        <v>1</v>
      </c>
      <c r="V101" s="3"/>
      <c r="W101" s="3" cm="1">
        <f t="array" ref="W101">IF(OR(J101="Brasil",N101="Brasil"),2*_xlfn.IFS(Q101=TRUE,6,R101=TRUE,4,AND(S101=TRUE,T101=FALSE),3,T101=TRUE,2,U101=TRUE,0),_xlfn.IFS(Q101=TRUE,6,R101=TRUE,4,AND(S101=TRUE,T101=FALSE),3,T101=TRUE,2,U101=TRUE,0))</f>
        <v>0</v>
      </c>
      <c r="X101" s="3"/>
      <c r="Y101" s="3"/>
    </row>
    <row r="102" spans="1:25" ht="14.25" customHeight="1" x14ac:dyDescent="0.3">
      <c r="A102" s="3">
        <f>'Tabela de Jogos'!A102</f>
        <v>100</v>
      </c>
      <c r="B102" s="3">
        <f>'Tabela de Jogos'!B102</f>
        <v>0</v>
      </c>
      <c r="C102" s="3">
        <f>'Tabela de Jogos'!C102</f>
        <v>0</v>
      </c>
      <c r="D102" s="3" t="str">
        <f>'Tabela de Jogos'!D102</f>
        <v>x</v>
      </c>
      <c r="E102" s="3">
        <f>'Tabela de Jogos'!E102</f>
        <v>0</v>
      </c>
      <c r="F102" s="3">
        <f>'Tabela de Jogos'!F102</f>
        <v>0</v>
      </c>
      <c r="G102" s="3" t="str">
        <f>'Tabela de Jogos'!G102</f>
        <v>-</v>
      </c>
      <c r="H102" s="3"/>
      <c r="I102" s="3">
        <f t="shared" ref="I102:J102" si="108">A102</f>
        <v>100</v>
      </c>
      <c r="J102" s="3">
        <f t="shared" si="108"/>
        <v>0</v>
      </c>
      <c r="K102" s="3"/>
      <c r="L102" s="3" t="str">
        <f t="shared" si="2"/>
        <v>x</v>
      </c>
      <c r="M102" s="3"/>
      <c r="N102" s="3">
        <f t="shared" si="3"/>
        <v>0</v>
      </c>
      <c r="O102" s="3" t="str">
        <f t="shared" si="4"/>
        <v>-</v>
      </c>
      <c r="P102" s="3"/>
      <c r="Q102" s="3" t="b">
        <f t="shared" si="5"/>
        <v>0</v>
      </c>
      <c r="R102" s="3" t="b">
        <f t="shared" si="6"/>
        <v>0</v>
      </c>
      <c r="S102" s="3" t="b">
        <f t="shared" si="7"/>
        <v>0</v>
      </c>
      <c r="T102" s="3" t="b">
        <f t="shared" si="8"/>
        <v>0</v>
      </c>
      <c r="U102" s="3" t="b">
        <f t="shared" si="9"/>
        <v>1</v>
      </c>
      <c r="V102" s="3"/>
      <c r="W102" s="3" cm="1">
        <f t="array" ref="W102">IF(OR(J102="Brasil",N102="Brasil"),2*_xlfn.IFS(Q102=TRUE,6,R102=TRUE,4,AND(S102=TRUE,T102=FALSE),3,T102=TRUE,2,U102=TRUE,0),_xlfn.IFS(Q102=TRUE,6,R102=TRUE,4,AND(S102=TRUE,T102=FALSE),3,T102=TRUE,2,U102=TRUE,0))</f>
        <v>0</v>
      </c>
      <c r="X102" s="3"/>
      <c r="Y102" s="3"/>
    </row>
    <row r="103" spans="1:25" ht="14.25" customHeight="1" x14ac:dyDescent="0.3">
      <c r="A103" s="3">
        <f>'Tabela de Jogos'!A103</f>
        <v>101</v>
      </c>
      <c r="B103" s="3">
        <f>'Tabela de Jogos'!B103</f>
        <v>0</v>
      </c>
      <c r="C103" s="3">
        <f>'Tabela de Jogos'!C103</f>
        <v>0</v>
      </c>
      <c r="D103" s="3" t="str">
        <f>'Tabela de Jogos'!D103</f>
        <v>x</v>
      </c>
      <c r="E103" s="3">
        <f>'Tabela de Jogos'!E103</f>
        <v>0</v>
      </c>
      <c r="F103" s="3">
        <f>'Tabela de Jogos'!F103</f>
        <v>0</v>
      </c>
      <c r="G103" s="3" t="str">
        <f>'Tabela de Jogos'!G103</f>
        <v>-</v>
      </c>
      <c r="H103" s="3"/>
      <c r="I103" s="3">
        <f t="shared" ref="I103:J103" si="109">A103</f>
        <v>101</v>
      </c>
      <c r="J103" s="3">
        <f t="shared" si="109"/>
        <v>0</v>
      </c>
      <c r="K103" s="3"/>
      <c r="L103" s="3" t="str">
        <f t="shared" si="2"/>
        <v>x</v>
      </c>
      <c r="M103" s="3"/>
      <c r="N103" s="3">
        <f t="shared" si="3"/>
        <v>0</v>
      </c>
      <c r="O103" s="3" t="str">
        <f t="shared" si="4"/>
        <v>-</v>
      </c>
      <c r="P103" s="3"/>
      <c r="Q103" s="3" t="b">
        <f t="shared" si="5"/>
        <v>0</v>
      </c>
      <c r="R103" s="3" t="b">
        <f t="shared" si="6"/>
        <v>0</v>
      </c>
      <c r="S103" s="3" t="b">
        <f t="shared" si="7"/>
        <v>0</v>
      </c>
      <c r="T103" s="3" t="b">
        <f t="shared" si="8"/>
        <v>0</v>
      </c>
      <c r="U103" s="3" t="b">
        <f t="shared" si="9"/>
        <v>1</v>
      </c>
      <c r="V103" s="3"/>
      <c r="W103" s="3" cm="1">
        <f t="array" ref="W103">IF(OR(J103="Brasil",N103="Brasil"),2*_xlfn.IFS(Q103=TRUE,6,R103=TRUE,4,AND(S103=TRUE,T103=FALSE),3,T103=TRUE,2,U103=TRUE,0),_xlfn.IFS(Q103=TRUE,6,R103=TRUE,4,AND(S103=TRUE,T103=FALSE),3,T103=TRUE,2,U103=TRUE,0))</f>
        <v>0</v>
      </c>
      <c r="X103" s="3"/>
      <c r="Y103" s="3"/>
    </row>
    <row r="104" spans="1:25" ht="14.25" customHeight="1" x14ac:dyDescent="0.3">
      <c r="A104" s="3">
        <f>'Tabela de Jogos'!A104</f>
        <v>102</v>
      </c>
      <c r="B104" s="3">
        <f>'Tabela de Jogos'!B104</f>
        <v>0</v>
      </c>
      <c r="C104" s="3">
        <f>'Tabela de Jogos'!C104</f>
        <v>0</v>
      </c>
      <c r="D104" s="3" t="str">
        <f>'Tabela de Jogos'!D104</f>
        <v>x</v>
      </c>
      <c r="E104" s="3">
        <f>'Tabela de Jogos'!E104</f>
        <v>0</v>
      </c>
      <c r="F104" s="3">
        <f>'Tabela de Jogos'!F104</f>
        <v>0</v>
      </c>
      <c r="G104" s="3" t="str">
        <f>'Tabela de Jogos'!G104</f>
        <v>-</v>
      </c>
      <c r="H104" s="3"/>
      <c r="I104" s="3">
        <f t="shared" ref="I104:J104" si="110">A104</f>
        <v>102</v>
      </c>
      <c r="J104" s="3">
        <f t="shared" si="110"/>
        <v>0</v>
      </c>
      <c r="K104" s="3"/>
      <c r="L104" s="3" t="str">
        <f t="shared" si="2"/>
        <v>x</v>
      </c>
      <c r="M104" s="3"/>
      <c r="N104" s="3">
        <f t="shared" si="3"/>
        <v>0</v>
      </c>
      <c r="O104" s="3" t="str">
        <f t="shared" si="4"/>
        <v>-</v>
      </c>
      <c r="P104" s="3"/>
      <c r="Q104" s="3" t="b">
        <f t="shared" si="5"/>
        <v>0</v>
      </c>
      <c r="R104" s="3" t="b">
        <f t="shared" si="6"/>
        <v>0</v>
      </c>
      <c r="S104" s="3" t="b">
        <f t="shared" si="7"/>
        <v>0</v>
      </c>
      <c r="T104" s="3" t="b">
        <f t="shared" si="8"/>
        <v>0</v>
      </c>
      <c r="U104" s="3" t="b">
        <f t="shared" si="9"/>
        <v>1</v>
      </c>
      <c r="V104" s="3"/>
      <c r="W104" s="3" cm="1">
        <f t="array" ref="W104">IF(OR(J104="Brasil",N104="Brasil"),2*_xlfn.IFS(Q104=TRUE,6,R104=TRUE,4,AND(S104=TRUE,T104=FALSE),3,T104=TRUE,2,U104=TRUE,0),_xlfn.IFS(Q104=TRUE,6,R104=TRUE,4,AND(S104=TRUE,T104=FALSE),3,T104=TRUE,2,U104=TRUE,0))</f>
        <v>0</v>
      </c>
      <c r="X104" s="3"/>
      <c r="Y104" s="3"/>
    </row>
    <row r="105" spans="1:25" ht="14.25" customHeight="1" x14ac:dyDescent="0.3">
      <c r="A105" s="3">
        <f>'Tabela de Jogos'!A105</f>
        <v>103</v>
      </c>
      <c r="B105" s="3">
        <f>'Tabela de Jogos'!B105</f>
        <v>0</v>
      </c>
      <c r="C105" s="3">
        <f>'Tabela de Jogos'!C105</f>
        <v>0</v>
      </c>
      <c r="D105" s="3" t="str">
        <f>'Tabela de Jogos'!D105</f>
        <v>x</v>
      </c>
      <c r="E105" s="3">
        <f>'Tabela de Jogos'!E105</f>
        <v>0</v>
      </c>
      <c r="F105" s="3">
        <f>'Tabela de Jogos'!F105</f>
        <v>0</v>
      </c>
      <c r="G105" s="3" t="str">
        <f>'Tabela de Jogos'!G105</f>
        <v>-</v>
      </c>
      <c r="H105" s="3"/>
      <c r="I105" s="3">
        <f t="shared" ref="I105:J105" si="111">A105</f>
        <v>103</v>
      </c>
      <c r="J105" s="3">
        <f t="shared" si="111"/>
        <v>0</v>
      </c>
      <c r="K105" s="3"/>
      <c r="L105" s="3" t="str">
        <f t="shared" si="2"/>
        <v>x</v>
      </c>
      <c r="M105" s="3"/>
      <c r="N105" s="3">
        <f t="shared" si="3"/>
        <v>0</v>
      </c>
      <c r="O105" s="3" t="str">
        <f t="shared" si="4"/>
        <v>-</v>
      </c>
      <c r="P105" s="3"/>
      <c r="Q105" s="3" t="b">
        <f t="shared" si="5"/>
        <v>0</v>
      </c>
      <c r="R105" s="3" t="b">
        <f t="shared" si="6"/>
        <v>0</v>
      </c>
      <c r="S105" s="3" t="b">
        <f t="shared" si="7"/>
        <v>0</v>
      </c>
      <c r="T105" s="3" t="b">
        <f t="shared" si="8"/>
        <v>0</v>
      </c>
      <c r="U105" s="3" t="b">
        <f t="shared" si="9"/>
        <v>1</v>
      </c>
      <c r="V105" s="3"/>
      <c r="W105" s="3" cm="1">
        <f t="array" ref="W105">IF(OR(J105="Brasil",N105="Brasil"),2*_xlfn.IFS(Q105=TRUE,6,R105=TRUE,4,AND(S105=TRUE,T105=FALSE),3,T105=TRUE,2,U105=TRUE,0),_xlfn.IFS(Q105=TRUE,6,R105=TRUE,4,AND(S105=TRUE,T105=FALSE),3,T105=TRUE,2,U105=TRUE,0))</f>
        <v>0</v>
      </c>
      <c r="X105" s="3"/>
      <c r="Y105" s="3"/>
    </row>
    <row r="106" spans="1:25" ht="14.25" customHeight="1" x14ac:dyDescent="0.3">
      <c r="A106" s="3">
        <f>'Tabela de Jogos'!A106</f>
        <v>104</v>
      </c>
      <c r="B106" s="3">
        <f>'Tabela de Jogos'!B106</f>
        <v>0</v>
      </c>
      <c r="C106" s="3">
        <f>'Tabela de Jogos'!C106</f>
        <v>0</v>
      </c>
      <c r="D106" s="3" t="str">
        <f>'Tabela de Jogos'!D106</f>
        <v>x</v>
      </c>
      <c r="E106" s="3">
        <f>'Tabela de Jogos'!E106</f>
        <v>0</v>
      </c>
      <c r="F106" s="3">
        <f>'Tabela de Jogos'!F106</f>
        <v>0</v>
      </c>
      <c r="G106" s="3" t="str">
        <f>'Tabela de Jogos'!G106</f>
        <v>-</v>
      </c>
      <c r="H106" s="3"/>
      <c r="I106" s="3">
        <f t="shared" ref="I106:J106" si="112">A106</f>
        <v>104</v>
      </c>
      <c r="J106" s="3">
        <f t="shared" si="112"/>
        <v>0</v>
      </c>
      <c r="K106" s="3"/>
      <c r="L106" s="3" t="str">
        <f t="shared" si="2"/>
        <v>x</v>
      </c>
      <c r="M106" s="3"/>
      <c r="N106" s="3">
        <f t="shared" si="3"/>
        <v>0</v>
      </c>
      <c r="O106" s="3" t="str">
        <f t="shared" si="4"/>
        <v>-</v>
      </c>
      <c r="P106" s="3"/>
      <c r="Q106" s="3" t="b">
        <f t="shared" si="5"/>
        <v>0</v>
      </c>
      <c r="R106" s="3" t="b">
        <f t="shared" si="6"/>
        <v>0</v>
      </c>
      <c r="S106" s="3" t="b">
        <f t="shared" si="7"/>
        <v>0</v>
      </c>
      <c r="T106" s="3" t="b">
        <f t="shared" si="8"/>
        <v>0</v>
      </c>
      <c r="U106" s="3" t="b">
        <f t="shared" si="9"/>
        <v>1</v>
      </c>
      <c r="V106" s="3"/>
      <c r="W106" s="3" cm="1">
        <f t="array" ref="W106">IF(OR(J106="Brasil",N106="Brasil"),2*_xlfn.IFS(Q106=TRUE,6,R106=TRUE,4,AND(S106=TRUE,T106=FALSE),3,T106=TRUE,2,U106=TRUE,0),_xlfn.IFS(Q106=TRUE,6,R106=TRUE,4,AND(S106=TRUE,T106=FALSE),3,T106=TRUE,2,U106=TRUE,0))</f>
        <v>0</v>
      </c>
      <c r="X106" s="3"/>
      <c r="Y106" s="3"/>
    </row>
  </sheetData>
  <mergeCells count="2">
    <mergeCell ref="A1:G1"/>
    <mergeCell ref="I1:O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6"/>
  <sheetViews>
    <sheetView topLeftCell="I41" workbookViewId="0">
      <selection activeCell="M63" sqref="M63"/>
    </sheetView>
  </sheetViews>
  <sheetFormatPr defaultColWidth="12.6640625" defaultRowHeight="15" customHeight="1" x14ac:dyDescent="0.3"/>
  <cols>
    <col min="1" max="1" width="8.88671875" hidden="1" customWidth="1"/>
    <col min="2" max="2" width="14.109375" hidden="1" customWidth="1"/>
    <col min="3" max="5" width="8.88671875" hidden="1" customWidth="1"/>
    <col min="6" max="7" width="14.109375" hidden="1" customWidth="1"/>
    <col min="8" max="8" width="8.88671875" hidden="1" customWidth="1"/>
    <col min="9" max="9" width="8.88671875" customWidth="1"/>
    <col min="10" max="10" width="14.109375" customWidth="1"/>
    <col min="11" max="13" width="8.88671875" customWidth="1"/>
    <col min="14" max="14" width="14.109375" customWidth="1"/>
    <col min="15" max="15" width="14.33203125" customWidth="1"/>
    <col min="16" max="16" width="8.5546875" hidden="1" customWidth="1"/>
    <col min="17" max="21" width="11.6640625" hidden="1" customWidth="1"/>
    <col min="22" max="22" width="8.5546875" hidden="1" customWidth="1"/>
    <col min="23" max="24" width="8.88671875" customWidth="1"/>
    <col min="25" max="25" width="13.88671875" bestFit="1" customWidth="1"/>
    <col min="26" max="26" width="8.5546875" customWidth="1"/>
  </cols>
  <sheetData>
    <row r="1" spans="1:25" ht="14.25" customHeight="1" x14ac:dyDescent="0.3">
      <c r="A1" s="8" t="str">
        <f>'Tabela de Jogos'!A1</f>
        <v>Tabela de Jogos</v>
      </c>
      <c r="B1" s="9"/>
      <c r="C1" s="9"/>
      <c r="D1" s="9"/>
      <c r="E1" s="9"/>
      <c r="F1" s="9"/>
      <c r="G1" s="9"/>
      <c r="H1" s="3"/>
      <c r="I1" s="8" t="s">
        <v>68</v>
      </c>
      <c r="J1" s="9"/>
      <c r="K1" s="9"/>
      <c r="L1" s="9"/>
      <c r="M1" s="9"/>
      <c r="N1" s="9"/>
      <c r="O1" s="9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3" t="str">
        <f>'Tabela de Jogos'!A2</f>
        <v>Jogo</v>
      </c>
      <c r="B2" s="3" t="str">
        <f>'Tabela de Jogos'!B2</f>
        <v>Seleção A</v>
      </c>
      <c r="C2" s="3" t="str">
        <f>'Tabela de Jogos'!C2</f>
        <v>Gols A</v>
      </c>
      <c r="D2" s="3" t="str">
        <f>'Tabela de Jogos'!D2</f>
        <v>x</v>
      </c>
      <c r="E2" s="3" t="str">
        <f>'Tabela de Jogos'!E2</f>
        <v>Gols B</v>
      </c>
      <c r="F2" s="3" t="str">
        <f>'Tabela de Jogos'!F2</f>
        <v>Seleção B</v>
      </c>
      <c r="G2" s="3" t="str">
        <f>'Tabela de Jogos'!G2</f>
        <v>Vencedor</v>
      </c>
      <c r="H2" s="3"/>
      <c r="I2" s="3" t="str">
        <f t="shared" ref="I2:N2" si="0">A2</f>
        <v>Jogo</v>
      </c>
      <c r="J2" s="3" t="str">
        <f t="shared" si="0"/>
        <v>Seleção A</v>
      </c>
      <c r="K2" s="3" t="str">
        <f t="shared" si="0"/>
        <v>Gols A</v>
      </c>
      <c r="L2" s="3" t="str">
        <f t="shared" si="0"/>
        <v>x</v>
      </c>
      <c r="M2" s="3" t="str">
        <f t="shared" si="0"/>
        <v>Gols B</v>
      </c>
      <c r="N2" s="3" t="str">
        <f t="shared" si="0"/>
        <v>Seleção B</v>
      </c>
      <c r="O2" s="3" t="s">
        <v>7</v>
      </c>
      <c r="P2" s="3"/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 t="s">
        <v>57</v>
      </c>
      <c r="X2" s="3" t="s">
        <v>74</v>
      </c>
      <c r="Y2" s="3" t="s">
        <v>75</v>
      </c>
    </row>
    <row r="3" spans="1:25" ht="14.25" customHeight="1" x14ac:dyDescent="0.3">
      <c r="A3" s="3">
        <f>'Tabela de Jogos'!A3</f>
        <v>1</v>
      </c>
      <c r="B3" s="3" t="str">
        <f>'Tabela de Jogos'!B3</f>
        <v>México</v>
      </c>
      <c r="C3" s="3">
        <f>'Tabela de Jogos'!C3</f>
        <v>2</v>
      </c>
      <c r="D3" s="3" t="str">
        <f>'Tabela de Jogos'!D3</f>
        <v>x</v>
      </c>
      <c r="E3" s="3">
        <f>'Tabela de Jogos'!E3</f>
        <v>0</v>
      </c>
      <c r="F3" s="3" t="str">
        <f>'Tabela de Jogos'!F3</f>
        <v>África do Sul</v>
      </c>
      <c r="G3" s="3" t="str">
        <f>'Tabela de Jogos'!G3</f>
        <v>México</v>
      </c>
      <c r="H3" s="3"/>
      <c r="I3" s="3">
        <f t="shared" ref="I3:J3" si="1">A3</f>
        <v>1</v>
      </c>
      <c r="J3" s="3" t="str">
        <f t="shared" si="1"/>
        <v>México</v>
      </c>
      <c r="K3" s="3">
        <v>2</v>
      </c>
      <c r="L3" s="3" t="str">
        <f t="shared" ref="L3:L106" si="2">D3</f>
        <v>x</v>
      </c>
      <c r="M3" s="3">
        <v>1</v>
      </c>
      <c r="N3" s="3" t="str">
        <f t="shared" ref="N3:N106" si="3">F3</f>
        <v>África do Sul</v>
      </c>
      <c r="O3" s="3" t="str">
        <f t="shared" ref="O3:O106" si="4">IF(K3&gt;M3,J3,IF(M3&gt;K3,N3,IF(ISBLANK(K3),"-","Empate")))</f>
        <v>México</v>
      </c>
      <c r="P3" s="3"/>
      <c r="Q3" s="3" t="b">
        <f t="shared" ref="Q3:Q106" si="5">IF(AND(O3=G3,K3=C3,M3=E3,ISBLANK(K3)&lt;&gt;TRUE),TRUE,FALSE)</f>
        <v>0</v>
      </c>
      <c r="R3" s="3" t="b">
        <f t="shared" ref="R3:R106" si="6">IF(OR(AND(O3=G3,K3=C3,K3&gt;M3,M3&lt;&gt;E3,ISBLANK(K3)&lt;&gt;TRUE),AND(O3=G3,M3&gt;K3,K3&lt;&gt;C3,M3=E3,ISBLANK(K3)&lt;&gt;TRUE)),TRUE,FALSE)</f>
        <v>1</v>
      </c>
      <c r="S3" s="3" t="b">
        <f t="shared" ref="S3:S106" si="7">IF(AND(O3=G3,ABS(K3-M3)=ABS(C3-E3),OR(K3&lt;&gt;C3,M3&lt;&gt;E3),ISBLANK(K3)&lt;&gt;TRUE),TRUE,FALSE)</f>
        <v>0</v>
      </c>
      <c r="T3" s="3" t="b">
        <f t="shared" ref="T3:T106" si="8">IF(OR(AND(O3=G3,Q3=FALSE,R3=FALSE,S3=FALSE,G3&lt;&gt;"-"),AND(O3="Empate",S3=TRUE)),TRUE,FALSE)</f>
        <v>0</v>
      </c>
      <c r="U3" s="3" t="b">
        <f t="shared" ref="U3:U106" si="9">IF(AND(Q3=FALSE,R3=FALSE,S3=FALSE,T3=FALSE),TRUE,FALSE)</f>
        <v>0</v>
      </c>
      <c r="V3" s="3"/>
      <c r="W3" s="3" cm="1">
        <f t="array" ref="W3">IF(OR(J3="Brasil",N3="Brasil"),2*_xlfn.IFS(Q3=TRUE,6,R3=TRUE,4,AND(S3=TRUE,T3=FALSE),3,T3=TRUE,2,U3=TRUE,0),_xlfn.IFS(Q3=TRUE,6,R3=TRUE,4,AND(S3=TRUE,T3=FALSE),3,T3=TRUE,2,U3=TRUE,0))</f>
        <v>4</v>
      </c>
      <c r="X3" s="3">
        <f>SUM(W3:W106)</f>
        <v>92</v>
      </c>
      <c r="Y3" s="3">
        <f>COUNTIF(W3:W106,6)+COUNTIF(W3:W106,12)</f>
        <v>3</v>
      </c>
    </row>
    <row r="4" spans="1:25" ht="14.25" customHeight="1" x14ac:dyDescent="0.3">
      <c r="A4" s="3">
        <f>'Tabela de Jogos'!A4</f>
        <v>2</v>
      </c>
      <c r="B4" s="3" t="str">
        <f>'Tabela de Jogos'!B4</f>
        <v>Coreia do Sul</v>
      </c>
      <c r="C4" s="3">
        <f>'Tabela de Jogos'!C4</f>
        <v>2</v>
      </c>
      <c r="D4" s="3" t="str">
        <f>'Tabela de Jogos'!D4</f>
        <v>x</v>
      </c>
      <c r="E4" s="3">
        <f>'Tabela de Jogos'!E4</f>
        <v>1</v>
      </c>
      <c r="F4" s="3" t="str">
        <f>'Tabela de Jogos'!F4</f>
        <v>Tchéquia</v>
      </c>
      <c r="G4" s="3" t="str">
        <f>'Tabela de Jogos'!G4</f>
        <v>Coreia do Sul</v>
      </c>
      <c r="H4" s="3"/>
      <c r="I4" s="3">
        <f t="shared" ref="I4:J4" si="10">A4</f>
        <v>2</v>
      </c>
      <c r="J4" s="3" t="str">
        <f t="shared" si="10"/>
        <v>Coreia do Sul</v>
      </c>
      <c r="K4" s="3">
        <v>1</v>
      </c>
      <c r="L4" s="3" t="str">
        <f t="shared" si="2"/>
        <v>x</v>
      </c>
      <c r="M4" s="3">
        <v>1</v>
      </c>
      <c r="N4" s="3" t="str">
        <f t="shared" si="3"/>
        <v>Tchéquia</v>
      </c>
      <c r="O4" s="3" t="str">
        <f t="shared" si="4"/>
        <v>Empate</v>
      </c>
      <c r="P4" s="3"/>
      <c r="Q4" s="3" t="b">
        <f t="shared" si="5"/>
        <v>0</v>
      </c>
      <c r="R4" s="3" t="b">
        <f t="shared" si="6"/>
        <v>0</v>
      </c>
      <c r="S4" s="3" t="b">
        <f t="shared" si="7"/>
        <v>0</v>
      </c>
      <c r="T4" s="3" t="b">
        <f t="shared" si="8"/>
        <v>0</v>
      </c>
      <c r="U4" s="3" t="b">
        <f t="shared" si="9"/>
        <v>1</v>
      </c>
      <c r="V4" s="3"/>
      <c r="W4" s="3" cm="1">
        <f t="array" ref="W4">IF(OR(J4="Brasil",N4="Brasil"),2*_xlfn.IFS(Q4=TRUE,6,R4=TRUE,4,AND(S4=TRUE,T4=FALSE),3,T4=TRUE,2,U4=TRUE,0),_xlfn.IFS(Q4=TRUE,6,R4=TRUE,4,AND(S4=TRUE,T4=FALSE),3,T4=TRUE,2,U4=TRUE,0))</f>
        <v>0</v>
      </c>
      <c r="X4" s="3"/>
      <c r="Y4" s="3"/>
    </row>
    <row r="5" spans="1:25" ht="14.25" customHeight="1" x14ac:dyDescent="0.3">
      <c r="A5" s="3">
        <f>'Tabela de Jogos'!A5</f>
        <v>3</v>
      </c>
      <c r="B5" s="3" t="str">
        <f>'Tabela de Jogos'!B5</f>
        <v>Canadá</v>
      </c>
      <c r="C5" s="3">
        <f>'Tabela de Jogos'!C5</f>
        <v>1</v>
      </c>
      <c r="D5" s="3" t="str">
        <f>'Tabela de Jogos'!D5</f>
        <v>x</v>
      </c>
      <c r="E5" s="3">
        <f>'Tabela de Jogos'!E5</f>
        <v>1</v>
      </c>
      <c r="F5" s="3" t="str">
        <f>'Tabela de Jogos'!F5</f>
        <v>Bósnia</v>
      </c>
      <c r="G5" s="3" t="str">
        <f>'Tabela de Jogos'!G5</f>
        <v>Empate</v>
      </c>
      <c r="H5" s="3"/>
      <c r="I5" s="3">
        <f t="shared" ref="I5:J5" si="11">A5</f>
        <v>3</v>
      </c>
      <c r="J5" s="3" t="str">
        <f t="shared" si="11"/>
        <v>Canadá</v>
      </c>
      <c r="K5" s="3">
        <v>1</v>
      </c>
      <c r="L5" s="3" t="str">
        <f t="shared" si="2"/>
        <v>x</v>
      </c>
      <c r="M5" s="3">
        <v>2</v>
      </c>
      <c r="N5" s="3" t="str">
        <f t="shared" si="3"/>
        <v>Bósnia</v>
      </c>
      <c r="O5" s="3" t="str">
        <f t="shared" si="4"/>
        <v>Bósnia</v>
      </c>
      <c r="P5" s="3"/>
      <c r="Q5" s="3" t="b">
        <f t="shared" si="5"/>
        <v>0</v>
      </c>
      <c r="R5" s="3" t="b">
        <f t="shared" si="6"/>
        <v>0</v>
      </c>
      <c r="S5" s="3" t="b">
        <f t="shared" si="7"/>
        <v>0</v>
      </c>
      <c r="T5" s="3" t="b">
        <f t="shared" si="8"/>
        <v>0</v>
      </c>
      <c r="U5" s="3" t="b">
        <f t="shared" si="9"/>
        <v>1</v>
      </c>
      <c r="V5" s="3"/>
      <c r="W5" s="3" cm="1">
        <f t="array" ref="W5">IF(OR(J5="Brasil",N5="Brasil"),2*_xlfn.IFS(Q5=TRUE,6,R5=TRUE,4,AND(S5=TRUE,T5=FALSE),3,T5=TRUE,2,U5=TRUE,0),_xlfn.IFS(Q5=TRUE,6,R5=TRUE,4,AND(S5=TRUE,T5=FALSE),3,T5=TRUE,2,U5=TRUE,0))</f>
        <v>0</v>
      </c>
      <c r="X5" s="3"/>
      <c r="Y5" s="3"/>
    </row>
    <row r="6" spans="1:25" ht="14.25" customHeight="1" x14ac:dyDescent="0.3">
      <c r="A6" s="3">
        <f>'Tabela de Jogos'!A6</f>
        <v>4</v>
      </c>
      <c r="B6" s="3" t="str">
        <f>'Tabela de Jogos'!B6</f>
        <v>EUA</v>
      </c>
      <c r="C6" s="3">
        <f>'Tabela de Jogos'!C6</f>
        <v>4</v>
      </c>
      <c r="D6" s="3" t="str">
        <f>'Tabela de Jogos'!D6</f>
        <v>x</v>
      </c>
      <c r="E6" s="3">
        <f>'Tabela de Jogos'!E6</f>
        <v>1</v>
      </c>
      <c r="F6" s="3" t="str">
        <f>'Tabela de Jogos'!F6</f>
        <v>Paraguai</v>
      </c>
      <c r="G6" s="3" t="str">
        <f>'Tabela de Jogos'!G6</f>
        <v>EUA</v>
      </c>
      <c r="H6" s="3"/>
      <c r="I6" s="3">
        <f t="shared" ref="I6:J6" si="12">A6</f>
        <v>4</v>
      </c>
      <c r="J6" s="3" t="str">
        <f t="shared" si="12"/>
        <v>EUA</v>
      </c>
      <c r="K6" s="3">
        <v>1</v>
      </c>
      <c r="L6" s="3" t="str">
        <f t="shared" si="2"/>
        <v>x</v>
      </c>
      <c r="M6" s="3">
        <v>2</v>
      </c>
      <c r="N6" s="3" t="str">
        <f t="shared" si="3"/>
        <v>Paraguai</v>
      </c>
      <c r="O6" s="3" t="str">
        <f t="shared" si="4"/>
        <v>Paraguai</v>
      </c>
      <c r="P6" s="3"/>
      <c r="Q6" s="3" t="b">
        <f t="shared" si="5"/>
        <v>0</v>
      </c>
      <c r="R6" s="3" t="b">
        <f t="shared" si="6"/>
        <v>0</v>
      </c>
      <c r="S6" s="3" t="b">
        <f t="shared" si="7"/>
        <v>0</v>
      </c>
      <c r="T6" s="3" t="b">
        <f t="shared" si="8"/>
        <v>0</v>
      </c>
      <c r="U6" s="3" t="b">
        <f t="shared" si="9"/>
        <v>1</v>
      </c>
      <c r="V6" s="3"/>
      <c r="W6" s="3" cm="1">
        <f t="array" ref="W6">IF(OR(J6="Brasil",N6="Brasil"),2*_xlfn.IFS(Q6=TRUE,6,R6=TRUE,4,AND(S6=TRUE,T6=FALSE),3,T6=TRUE,2,U6=TRUE,0),_xlfn.IFS(Q6=TRUE,6,R6=TRUE,4,AND(S6=TRUE,T6=FALSE),3,T6=TRUE,2,U6=TRUE,0))</f>
        <v>0</v>
      </c>
      <c r="X6" s="3"/>
      <c r="Y6" s="3"/>
    </row>
    <row r="7" spans="1:25" ht="14.25" customHeight="1" x14ac:dyDescent="0.3">
      <c r="A7" s="3">
        <f>'Tabela de Jogos'!A7</f>
        <v>5</v>
      </c>
      <c r="B7" s="3" t="str">
        <f>'Tabela de Jogos'!B7</f>
        <v>Catar</v>
      </c>
      <c r="C7" s="3">
        <f>'Tabela de Jogos'!C7</f>
        <v>1</v>
      </c>
      <c r="D7" s="3" t="str">
        <f>'Tabela de Jogos'!D7</f>
        <v>x</v>
      </c>
      <c r="E7" s="3">
        <f>'Tabela de Jogos'!E7</f>
        <v>1</v>
      </c>
      <c r="F7" s="3" t="str">
        <f>'Tabela de Jogos'!F7</f>
        <v>Suíça</v>
      </c>
      <c r="G7" s="3" t="str">
        <f>'Tabela de Jogos'!G7</f>
        <v>Empate</v>
      </c>
      <c r="H7" s="3"/>
      <c r="I7" s="3">
        <f t="shared" ref="I7:J7" si="13">A7</f>
        <v>5</v>
      </c>
      <c r="J7" s="3" t="str">
        <f t="shared" si="13"/>
        <v>Catar</v>
      </c>
      <c r="K7" s="3"/>
      <c r="L7" s="3" t="str">
        <f t="shared" si="2"/>
        <v>x</v>
      </c>
      <c r="M7" s="3"/>
      <c r="N7" s="3" t="str">
        <f t="shared" si="3"/>
        <v>Suíça</v>
      </c>
      <c r="O7" s="3" t="str">
        <f t="shared" si="4"/>
        <v>-</v>
      </c>
      <c r="P7" s="3"/>
      <c r="Q7" s="3" t="b">
        <f t="shared" si="5"/>
        <v>0</v>
      </c>
      <c r="R7" s="3" t="b">
        <f t="shared" si="6"/>
        <v>0</v>
      </c>
      <c r="S7" s="3" t="b">
        <f t="shared" si="7"/>
        <v>0</v>
      </c>
      <c r="T7" s="3" t="b">
        <f t="shared" si="8"/>
        <v>0</v>
      </c>
      <c r="U7" s="3" t="b">
        <f t="shared" si="9"/>
        <v>1</v>
      </c>
      <c r="V7" s="3"/>
      <c r="W7" s="3" cm="1">
        <f t="array" ref="W7">IF(OR(J7="Brasil",N7="Brasil"),2*_xlfn.IFS(Q7=TRUE,6,R7=TRUE,4,AND(S7=TRUE,T7=FALSE),3,T7=TRUE,2,U7=TRUE,0),_xlfn.IFS(Q7=TRUE,6,R7=TRUE,4,AND(S7=TRUE,T7=FALSE),3,T7=TRUE,2,U7=TRUE,0))</f>
        <v>0</v>
      </c>
      <c r="X7" s="3"/>
      <c r="Y7" s="3"/>
    </row>
    <row r="8" spans="1:25" ht="14.25" customHeight="1" x14ac:dyDescent="0.3">
      <c r="A8" s="3">
        <f>'Tabela de Jogos'!A8</f>
        <v>6</v>
      </c>
      <c r="B8" s="3" t="str">
        <f>'Tabela de Jogos'!B8</f>
        <v>Brasil</v>
      </c>
      <c r="C8" s="3">
        <f>'Tabela de Jogos'!C8</f>
        <v>1</v>
      </c>
      <c r="D8" s="3" t="str">
        <f>'Tabela de Jogos'!D8</f>
        <v>x</v>
      </c>
      <c r="E8" s="3">
        <f>'Tabela de Jogos'!E8</f>
        <v>1</v>
      </c>
      <c r="F8" s="3" t="str">
        <f>'Tabela de Jogos'!F8</f>
        <v>Marrocos</v>
      </c>
      <c r="G8" s="3" t="str">
        <f>'Tabela de Jogos'!G8</f>
        <v>Empate</v>
      </c>
      <c r="H8" s="3"/>
      <c r="I8" s="3">
        <f t="shared" ref="I8:J8" si="14">A8</f>
        <v>6</v>
      </c>
      <c r="J8" s="3" t="str">
        <f t="shared" si="14"/>
        <v>Brasil</v>
      </c>
      <c r="K8" s="3">
        <v>3</v>
      </c>
      <c r="L8" s="3" t="str">
        <f t="shared" si="2"/>
        <v>x</v>
      </c>
      <c r="M8" s="3">
        <v>2</v>
      </c>
      <c r="N8" s="3" t="str">
        <f t="shared" si="3"/>
        <v>Marrocos</v>
      </c>
      <c r="O8" s="3" t="str">
        <f t="shared" si="4"/>
        <v>Brasil</v>
      </c>
      <c r="P8" s="3"/>
      <c r="Q8" s="3" t="b">
        <f t="shared" si="5"/>
        <v>0</v>
      </c>
      <c r="R8" s="3" t="b">
        <f t="shared" si="6"/>
        <v>0</v>
      </c>
      <c r="S8" s="3" t="b">
        <f t="shared" si="7"/>
        <v>0</v>
      </c>
      <c r="T8" s="3" t="b">
        <f t="shared" si="8"/>
        <v>0</v>
      </c>
      <c r="U8" s="3" t="b">
        <f t="shared" si="9"/>
        <v>1</v>
      </c>
      <c r="V8" s="3"/>
      <c r="W8" s="3" cm="1">
        <f t="array" ref="W8">IF(OR(J8="Brasil",N8="Brasil"),2*_xlfn.IFS(Q8=TRUE,6,R8=TRUE,4,AND(S8=TRUE,T8=FALSE),3,T8=TRUE,2,U8=TRUE,0),_xlfn.IFS(Q8=TRUE,6,R8=TRUE,4,AND(S8=TRUE,T8=FALSE),3,T8=TRUE,2,U8=TRUE,0))</f>
        <v>0</v>
      </c>
      <c r="X8" s="3"/>
      <c r="Y8" s="3"/>
    </row>
    <row r="9" spans="1:25" ht="14.25" customHeight="1" x14ac:dyDescent="0.3">
      <c r="A9" s="3">
        <f>'Tabela de Jogos'!A9</f>
        <v>7</v>
      </c>
      <c r="B9" s="3" t="str">
        <f>'Tabela de Jogos'!B9</f>
        <v>Haiti</v>
      </c>
      <c r="C9" s="3">
        <f>'Tabela de Jogos'!C9</f>
        <v>0</v>
      </c>
      <c r="D9" s="3" t="str">
        <f>'Tabela de Jogos'!D9</f>
        <v>x</v>
      </c>
      <c r="E9" s="3">
        <f>'Tabela de Jogos'!E9</f>
        <v>1</v>
      </c>
      <c r="F9" s="3" t="str">
        <f>'Tabela de Jogos'!F9</f>
        <v>Escócia</v>
      </c>
      <c r="G9" s="3" t="str">
        <f>'Tabela de Jogos'!G9</f>
        <v>Escócia</v>
      </c>
      <c r="H9" s="3"/>
      <c r="I9" s="3">
        <f t="shared" ref="I9:J9" si="15">A9</f>
        <v>7</v>
      </c>
      <c r="J9" s="3" t="str">
        <f t="shared" si="15"/>
        <v>Haiti</v>
      </c>
      <c r="K9" s="3">
        <v>0</v>
      </c>
      <c r="L9" s="3" t="str">
        <f t="shared" si="2"/>
        <v>x</v>
      </c>
      <c r="M9" s="3">
        <v>1</v>
      </c>
      <c r="N9" s="3" t="str">
        <f t="shared" si="3"/>
        <v>Escócia</v>
      </c>
      <c r="O9" s="3" t="str">
        <f t="shared" si="4"/>
        <v>Escócia</v>
      </c>
      <c r="P9" s="3"/>
      <c r="Q9" s="3" t="b">
        <f t="shared" si="5"/>
        <v>1</v>
      </c>
      <c r="R9" s="3" t="b">
        <f t="shared" si="6"/>
        <v>0</v>
      </c>
      <c r="S9" s="3" t="b">
        <f t="shared" si="7"/>
        <v>0</v>
      </c>
      <c r="T9" s="3" t="b">
        <f t="shared" si="8"/>
        <v>0</v>
      </c>
      <c r="U9" s="3" t="b">
        <f t="shared" si="9"/>
        <v>0</v>
      </c>
      <c r="V9" s="3"/>
      <c r="W9" s="3" cm="1">
        <f t="array" ref="W9">IF(OR(J9="Brasil",N9="Brasil"),2*_xlfn.IFS(Q9=TRUE,6,R9=TRUE,4,AND(S9=TRUE,T9=FALSE),3,T9=TRUE,2,U9=TRUE,0),_xlfn.IFS(Q9=TRUE,6,R9=TRUE,4,AND(S9=TRUE,T9=FALSE),3,T9=TRUE,2,U9=TRUE,0))</f>
        <v>6</v>
      </c>
      <c r="X9" s="3"/>
      <c r="Y9" s="3"/>
    </row>
    <row r="10" spans="1:25" ht="14.25" customHeight="1" x14ac:dyDescent="0.3">
      <c r="A10" s="3">
        <f>'Tabela de Jogos'!A10</f>
        <v>8</v>
      </c>
      <c r="B10" s="3" t="str">
        <f>'Tabela de Jogos'!B10</f>
        <v>Austrália</v>
      </c>
      <c r="C10" s="3">
        <f>'Tabela de Jogos'!C10</f>
        <v>2</v>
      </c>
      <c r="D10" s="3" t="str">
        <f>'Tabela de Jogos'!D10</f>
        <v>x</v>
      </c>
      <c r="E10" s="3">
        <f>'Tabela de Jogos'!E10</f>
        <v>0</v>
      </c>
      <c r="F10" s="3" t="str">
        <f>'Tabela de Jogos'!F10</f>
        <v>Turquia</v>
      </c>
      <c r="G10" s="3" t="str">
        <f>'Tabela de Jogos'!G10</f>
        <v>Austrália</v>
      </c>
      <c r="H10" s="3"/>
      <c r="I10" s="3">
        <f t="shared" ref="I10:J10" si="16">A10</f>
        <v>8</v>
      </c>
      <c r="J10" s="3" t="str">
        <f t="shared" si="16"/>
        <v>Austrália</v>
      </c>
      <c r="K10" s="3">
        <v>1</v>
      </c>
      <c r="L10" s="3" t="str">
        <f t="shared" si="2"/>
        <v>x</v>
      </c>
      <c r="M10" s="3">
        <v>2</v>
      </c>
      <c r="N10" s="3" t="str">
        <f t="shared" si="3"/>
        <v>Turquia</v>
      </c>
      <c r="O10" s="3" t="str">
        <f t="shared" si="4"/>
        <v>Turquia</v>
      </c>
      <c r="P10" s="3"/>
      <c r="Q10" s="3" t="b">
        <f t="shared" si="5"/>
        <v>0</v>
      </c>
      <c r="R10" s="3" t="b">
        <f t="shared" si="6"/>
        <v>0</v>
      </c>
      <c r="S10" s="3" t="b">
        <f t="shared" si="7"/>
        <v>0</v>
      </c>
      <c r="T10" s="3" t="b">
        <f t="shared" si="8"/>
        <v>0</v>
      </c>
      <c r="U10" s="3" t="b">
        <f t="shared" si="9"/>
        <v>1</v>
      </c>
      <c r="V10" s="3"/>
      <c r="W10" s="3" cm="1">
        <f t="array" ref="W10">IF(OR(J10="Brasil",N10="Brasil"),2*_xlfn.IFS(Q10=TRUE,6,R10=TRUE,4,AND(S10=TRUE,T10=FALSE),3,T10=TRUE,2,U10=TRUE,0),_xlfn.IFS(Q10=TRUE,6,R10=TRUE,4,AND(S10=TRUE,T10=FALSE),3,T10=TRUE,2,U10=TRUE,0))</f>
        <v>0</v>
      </c>
      <c r="X10" s="3"/>
      <c r="Y10" s="3"/>
    </row>
    <row r="11" spans="1:25" ht="14.25" customHeight="1" x14ac:dyDescent="0.3">
      <c r="A11" s="3">
        <f>'Tabela de Jogos'!A11</f>
        <v>9</v>
      </c>
      <c r="B11" s="3" t="str">
        <f>'Tabela de Jogos'!B11</f>
        <v>Alemanha</v>
      </c>
      <c r="C11" s="3">
        <f>'Tabela de Jogos'!C11</f>
        <v>7</v>
      </c>
      <c r="D11" s="3" t="str">
        <f>'Tabela de Jogos'!D11</f>
        <v>x</v>
      </c>
      <c r="E11" s="3">
        <f>'Tabela de Jogos'!E11</f>
        <v>1</v>
      </c>
      <c r="F11" s="3" t="str">
        <f>'Tabela de Jogos'!F11</f>
        <v>Curaçao</v>
      </c>
      <c r="G11" s="3" t="str">
        <f>'Tabela de Jogos'!G11</f>
        <v>Alemanha</v>
      </c>
      <c r="H11" s="3"/>
      <c r="I11" s="3">
        <f t="shared" ref="I11:J11" si="17">A11</f>
        <v>9</v>
      </c>
      <c r="J11" s="3" t="str">
        <f t="shared" si="17"/>
        <v>Alemanha</v>
      </c>
      <c r="K11" s="3">
        <v>4</v>
      </c>
      <c r="L11" s="3" t="str">
        <f t="shared" si="2"/>
        <v>x</v>
      </c>
      <c r="M11" s="3">
        <v>1</v>
      </c>
      <c r="N11" s="3" t="str">
        <f t="shared" si="3"/>
        <v>Curaçao</v>
      </c>
      <c r="O11" s="3" t="str">
        <f t="shared" si="4"/>
        <v>Alemanha</v>
      </c>
      <c r="P11" s="3"/>
      <c r="Q11" s="3" t="b">
        <f t="shared" si="5"/>
        <v>0</v>
      </c>
      <c r="R11" s="3" t="b">
        <f t="shared" si="6"/>
        <v>0</v>
      </c>
      <c r="S11" s="3" t="b">
        <f t="shared" si="7"/>
        <v>0</v>
      </c>
      <c r="T11" s="3" t="b">
        <f t="shared" si="8"/>
        <v>1</v>
      </c>
      <c r="U11" s="3" t="b">
        <f t="shared" si="9"/>
        <v>0</v>
      </c>
      <c r="V11" s="3"/>
      <c r="W11" s="3" cm="1">
        <f t="array" ref="W11">IF(OR(J11="Brasil",N11="Brasil"),2*_xlfn.IFS(Q11=TRUE,6,R11=TRUE,4,AND(S11=TRUE,T11=FALSE),3,T11=TRUE,2,U11=TRUE,0),_xlfn.IFS(Q11=TRUE,6,R11=TRUE,4,AND(S11=TRUE,T11=FALSE),3,T11=TRUE,2,U11=TRUE,0))</f>
        <v>2</v>
      </c>
      <c r="X11" s="3"/>
      <c r="Y11" s="3"/>
    </row>
    <row r="12" spans="1:25" ht="14.25" customHeight="1" x14ac:dyDescent="0.3">
      <c r="A12" s="3">
        <f>'Tabela de Jogos'!A12</f>
        <v>10</v>
      </c>
      <c r="B12" s="3" t="str">
        <f>'Tabela de Jogos'!B12</f>
        <v>Holanda</v>
      </c>
      <c r="C12" s="3">
        <f>'Tabela de Jogos'!C12</f>
        <v>2</v>
      </c>
      <c r="D12" s="3" t="str">
        <f>'Tabela de Jogos'!D12</f>
        <v>x</v>
      </c>
      <c r="E12" s="3">
        <f>'Tabela de Jogos'!E12</f>
        <v>2</v>
      </c>
      <c r="F12" s="3" t="str">
        <f>'Tabela de Jogos'!F12</f>
        <v>Japão</v>
      </c>
      <c r="G12" s="3" t="str">
        <f>'Tabela de Jogos'!G12</f>
        <v>Empate</v>
      </c>
      <c r="H12" s="3"/>
      <c r="I12" s="3">
        <f t="shared" ref="I12:J12" si="18">A12</f>
        <v>10</v>
      </c>
      <c r="J12" s="3" t="str">
        <f t="shared" si="18"/>
        <v>Holanda</v>
      </c>
      <c r="K12" s="3">
        <v>1</v>
      </c>
      <c r="L12" s="3" t="str">
        <f t="shared" si="2"/>
        <v>x</v>
      </c>
      <c r="M12" s="3">
        <v>2</v>
      </c>
      <c r="N12" s="3" t="str">
        <f t="shared" si="3"/>
        <v>Japão</v>
      </c>
      <c r="O12" s="3" t="str">
        <f t="shared" si="4"/>
        <v>Japão</v>
      </c>
      <c r="P12" s="3"/>
      <c r="Q12" s="3" t="b">
        <f t="shared" si="5"/>
        <v>0</v>
      </c>
      <c r="R12" s="3" t="b">
        <f t="shared" si="6"/>
        <v>0</v>
      </c>
      <c r="S12" s="3" t="b">
        <f t="shared" si="7"/>
        <v>0</v>
      </c>
      <c r="T12" s="3" t="b">
        <f t="shared" si="8"/>
        <v>0</v>
      </c>
      <c r="U12" s="3" t="b">
        <f t="shared" si="9"/>
        <v>1</v>
      </c>
      <c r="V12" s="3"/>
      <c r="W12" s="3" cm="1">
        <f t="array" ref="W12">IF(OR(J12="Brasil",N12="Brasil"),2*_xlfn.IFS(Q12=TRUE,6,R12=TRUE,4,AND(S12=TRUE,T12=FALSE),3,T12=TRUE,2,U12=TRUE,0),_xlfn.IFS(Q12=TRUE,6,R12=TRUE,4,AND(S12=TRUE,T12=FALSE),3,T12=TRUE,2,U12=TRUE,0))</f>
        <v>0</v>
      </c>
      <c r="X12" s="3"/>
      <c r="Y12" s="3"/>
    </row>
    <row r="13" spans="1:25" ht="14.25" customHeight="1" x14ac:dyDescent="0.3">
      <c r="A13" s="3">
        <f>'Tabela de Jogos'!A13</f>
        <v>11</v>
      </c>
      <c r="B13" s="3" t="str">
        <f>'Tabela de Jogos'!B13</f>
        <v>Costa do Marfim</v>
      </c>
      <c r="C13" s="3">
        <f>'Tabela de Jogos'!C13</f>
        <v>1</v>
      </c>
      <c r="D13" s="3" t="str">
        <f>'Tabela de Jogos'!D13</f>
        <v>x</v>
      </c>
      <c r="E13" s="3">
        <f>'Tabela de Jogos'!E13</f>
        <v>0</v>
      </c>
      <c r="F13" s="3" t="str">
        <f>'Tabela de Jogos'!F13</f>
        <v>Equador</v>
      </c>
      <c r="G13" s="3" t="str">
        <f>'Tabela de Jogos'!G13</f>
        <v>Costa do Marfim</v>
      </c>
      <c r="H13" s="3"/>
      <c r="I13" s="3">
        <f t="shared" ref="I13:J13" si="19">A13</f>
        <v>11</v>
      </c>
      <c r="J13" s="3" t="str">
        <f t="shared" si="19"/>
        <v>Costa do Marfim</v>
      </c>
      <c r="K13" s="3">
        <v>1</v>
      </c>
      <c r="L13" s="3" t="str">
        <f t="shared" si="2"/>
        <v>x</v>
      </c>
      <c r="M13" s="3">
        <v>1</v>
      </c>
      <c r="N13" s="3" t="str">
        <f t="shared" si="3"/>
        <v>Equador</v>
      </c>
      <c r="O13" s="3" t="str">
        <f t="shared" si="4"/>
        <v>Empate</v>
      </c>
      <c r="P13" s="3"/>
      <c r="Q13" s="3" t="b">
        <f t="shared" si="5"/>
        <v>0</v>
      </c>
      <c r="R13" s="3" t="b">
        <f t="shared" si="6"/>
        <v>0</v>
      </c>
      <c r="S13" s="3" t="b">
        <f t="shared" si="7"/>
        <v>0</v>
      </c>
      <c r="T13" s="3" t="b">
        <f t="shared" si="8"/>
        <v>0</v>
      </c>
      <c r="U13" s="3" t="b">
        <f t="shared" si="9"/>
        <v>1</v>
      </c>
      <c r="V13" s="3"/>
      <c r="W13" s="3" cm="1">
        <f t="array" ref="W13">IF(OR(J13="Brasil",N13="Brasil"),2*_xlfn.IFS(Q13=TRUE,6,R13=TRUE,4,AND(S13=TRUE,T13=FALSE),3,T13=TRUE,2,U13=TRUE,0),_xlfn.IFS(Q13=TRUE,6,R13=TRUE,4,AND(S13=TRUE,T13=FALSE),3,T13=TRUE,2,U13=TRUE,0))</f>
        <v>0</v>
      </c>
      <c r="X13" s="3"/>
      <c r="Y13" s="3"/>
    </row>
    <row r="14" spans="1:25" ht="14.25" customHeight="1" x14ac:dyDescent="0.3">
      <c r="A14" s="3">
        <f>'Tabela de Jogos'!A14</f>
        <v>12</v>
      </c>
      <c r="B14" s="3" t="str">
        <f>'Tabela de Jogos'!B14</f>
        <v>Suécia</v>
      </c>
      <c r="C14" s="3">
        <f>'Tabela de Jogos'!C14</f>
        <v>5</v>
      </c>
      <c r="D14" s="3" t="str">
        <f>'Tabela de Jogos'!D14</f>
        <v>x</v>
      </c>
      <c r="E14" s="3">
        <f>'Tabela de Jogos'!E14</f>
        <v>1</v>
      </c>
      <c r="F14" s="3" t="str">
        <f>'Tabela de Jogos'!F14</f>
        <v>Tunísia</v>
      </c>
      <c r="G14" s="3" t="str">
        <f>'Tabela de Jogos'!G14</f>
        <v>Suécia</v>
      </c>
      <c r="H14" s="3"/>
      <c r="I14" s="3">
        <f t="shared" ref="I14:J14" si="20">A14</f>
        <v>12</v>
      </c>
      <c r="J14" s="3" t="str">
        <f t="shared" si="20"/>
        <v>Suécia</v>
      </c>
      <c r="K14" s="3">
        <v>1</v>
      </c>
      <c r="L14" s="3" t="str">
        <f t="shared" si="2"/>
        <v>x</v>
      </c>
      <c r="M14" s="3">
        <v>1</v>
      </c>
      <c r="N14" s="3" t="str">
        <f t="shared" si="3"/>
        <v>Tunísia</v>
      </c>
      <c r="O14" s="3" t="str">
        <f t="shared" si="4"/>
        <v>Empate</v>
      </c>
      <c r="P14" s="3"/>
      <c r="Q14" s="3" t="b">
        <f t="shared" si="5"/>
        <v>0</v>
      </c>
      <c r="R14" s="3" t="b">
        <f t="shared" si="6"/>
        <v>0</v>
      </c>
      <c r="S14" s="3" t="b">
        <f t="shared" si="7"/>
        <v>0</v>
      </c>
      <c r="T14" s="3" t="b">
        <f t="shared" si="8"/>
        <v>0</v>
      </c>
      <c r="U14" s="3" t="b">
        <f t="shared" si="9"/>
        <v>1</v>
      </c>
      <c r="V14" s="3"/>
      <c r="W14" s="3" cm="1">
        <f t="array" ref="W14">IF(OR(J14="Brasil",N14="Brasil"),2*_xlfn.IFS(Q14=TRUE,6,R14=TRUE,4,AND(S14=TRUE,T14=FALSE),3,T14=TRUE,2,U14=TRUE,0),_xlfn.IFS(Q14=TRUE,6,R14=TRUE,4,AND(S14=TRUE,T14=FALSE),3,T14=TRUE,2,U14=TRUE,0))</f>
        <v>0</v>
      </c>
      <c r="X14" s="3"/>
      <c r="Y14" s="3"/>
    </row>
    <row r="15" spans="1:25" ht="14.25" customHeight="1" x14ac:dyDescent="0.3">
      <c r="A15" s="3">
        <f>'Tabela de Jogos'!A15</f>
        <v>13</v>
      </c>
      <c r="B15" s="3" t="str">
        <f>'Tabela de Jogos'!B15</f>
        <v>Espanha</v>
      </c>
      <c r="C15" s="3">
        <f>'Tabela de Jogos'!C15</f>
        <v>0</v>
      </c>
      <c r="D15" s="3" t="str">
        <f>'Tabela de Jogos'!D15</f>
        <v>x</v>
      </c>
      <c r="E15" s="3">
        <f>'Tabela de Jogos'!E15</f>
        <v>0</v>
      </c>
      <c r="F15" s="3" t="str">
        <f>'Tabela de Jogos'!F15</f>
        <v>Cabo Verde</v>
      </c>
      <c r="G15" s="3" t="str">
        <f>'Tabela de Jogos'!G15</f>
        <v>Empate</v>
      </c>
      <c r="H15" s="3"/>
      <c r="I15" s="3">
        <f t="shared" ref="I15:J15" si="21">A15</f>
        <v>13</v>
      </c>
      <c r="J15" s="3" t="str">
        <f t="shared" si="21"/>
        <v>Espanha</v>
      </c>
      <c r="K15" s="3">
        <v>4</v>
      </c>
      <c r="L15" s="3" t="str">
        <f t="shared" si="2"/>
        <v>x</v>
      </c>
      <c r="M15" s="3">
        <v>2</v>
      </c>
      <c r="N15" s="3" t="str">
        <f t="shared" si="3"/>
        <v>Cabo Verde</v>
      </c>
      <c r="O15" s="3" t="str">
        <f t="shared" si="4"/>
        <v>Espanha</v>
      </c>
      <c r="P15" s="3"/>
      <c r="Q15" s="3" t="b">
        <f t="shared" si="5"/>
        <v>0</v>
      </c>
      <c r="R15" s="3" t="b">
        <f t="shared" si="6"/>
        <v>0</v>
      </c>
      <c r="S15" s="3" t="b">
        <f t="shared" si="7"/>
        <v>0</v>
      </c>
      <c r="T15" s="3" t="b">
        <f t="shared" si="8"/>
        <v>0</v>
      </c>
      <c r="U15" s="3" t="b">
        <f t="shared" si="9"/>
        <v>1</v>
      </c>
      <c r="V15" s="3"/>
      <c r="W15" s="3" cm="1">
        <f t="array" ref="W15">IF(OR(J15="Brasil",N15="Brasil"),2*_xlfn.IFS(Q15=TRUE,6,R15=TRUE,4,AND(S15=TRUE,T15=FALSE),3,T15=TRUE,2,U15=TRUE,0),_xlfn.IFS(Q15=TRUE,6,R15=TRUE,4,AND(S15=TRUE,T15=FALSE),3,T15=TRUE,2,U15=TRUE,0))</f>
        <v>0</v>
      </c>
      <c r="X15" s="3"/>
      <c r="Y15" s="3"/>
    </row>
    <row r="16" spans="1:25" ht="14.25" customHeight="1" x14ac:dyDescent="0.3">
      <c r="A16" s="3">
        <f>'Tabela de Jogos'!A16</f>
        <v>14</v>
      </c>
      <c r="B16" s="3" t="str">
        <f>'Tabela de Jogos'!B16</f>
        <v>Bélgica</v>
      </c>
      <c r="C16" s="3">
        <f>'Tabela de Jogos'!C16</f>
        <v>1</v>
      </c>
      <c r="D16" s="3" t="str">
        <f>'Tabela de Jogos'!D16</f>
        <v>x</v>
      </c>
      <c r="E16" s="3">
        <f>'Tabela de Jogos'!E16</f>
        <v>1</v>
      </c>
      <c r="F16" s="3" t="str">
        <f>'Tabela de Jogos'!F16</f>
        <v>Egito</v>
      </c>
      <c r="G16" s="3" t="str">
        <f>'Tabela de Jogos'!G16</f>
        <v>Empate</v>
      </c>
      <c r="H16" s="3"/>
      <c r="I16" s="3">
        <f t="shared" ref="I16:J16" si="22">A16</f>
        <v>14</v>
      </c>
      <c r="J16" s="3" t="str">
        <f t="shared" si="22"/>
        <v>Bélgica</v>
      </c>
      <c r="K16" s="3">
        <v>2</v>
      </c>
      <c r="L16" s="3" t="str">
        <f t="shared" si="2"/>
        <v>x</v>
      </c>
      <c r="M16" s="3">
        <v>1</v>
      </c>
      <c r="N16" s="3" t="str">
        <f t="shared" si="3"/>
        <v>Egito</v>
      </c>
      <c r="O16" s="3" t="str">
        <f t="shared" si="4"/>
        <v>Bélgica</v>
      </c>
      <c r="P16" s="3"/>
      <c r="Q16" s="3" t="b">
        <f t="shared" si="5"/>
        <v>0</v>
      </c>
      <c r="R16" s="3" t="b">
        <f t="shared" si="6"/>
        <v>0</v>
      </c>
      <c r="S16" s="3" t="b">
        <f t="shared" si="7"/>
        <v>0</v>
      </c>
      <c r="T16" s="3" t="b">
        <f t="shared" si="8"/>
        <v>0</v>
      </c>
      <c r="U16" s="3" t="b">
        <f t="shared" si="9"/>
        <v>1</v>
      </c>
      <c r="V16" s="3"/>
      <c r="W16" s="3" cm="1">
        <f t="array" ref="W16">IF(OR(J16="Brasil",N16="Brasil"),2*_xlfn.IFS(Q16=TRUE,6,R16=TRUE,4,AND(S16=TRUE,T16=FALSE),3,T16=TRUE,2,U16=TRUE,0),_xlfn.IFS(Q16=TRUE,6,R16=TRUE,4,AND(S16=TRUE,T16=FALSE),3,T16=TRUE,2,U16=TRUE,0))</f>
        <v>0</v>
      </c>
      <c r="X16" s="3"/>
      <c r="Y16" s="3"/>
    </row>
    <row r="17" spans="1:25" ht="14.25" customHeight="1" x14ac:dyDescent="0.3">
      <c r="A17" s="3">
        <f>'Tabela de Jogos'!A17</f>
        <v>15</v>
      </c>
      <c r="B17" s="3" t="str">
        <f>'Tabela de Jogos'!B17</f>
        <v>Arábia Saudita</v>
      </c>
      <c r="C17" s="3">
        <f>'Tabela de Jogos'!C17</f>
        <v>1</v>
      </c>
      <c r="D17" s="3" t="str">
        <f>'Tabela de Jogos'!D17</f>
        <v>x</v>
      </c>
      <c r="E17" s="3">
        <f>'Tabela de Jogos'!E17</f>
        <v>1</v>
      </c>
      <c r="F17" s="3" t="str">
        <f>'Tabela de Jogos'!F17</f>
        <v>Uruguai</v>
      </c>
      <c r="G17" s="3" t="str">
        <f>'Tabela de Jogos'!G17</f>
        <v>Empate</v>
      </c>
      <c r="H17" s="3"/>
      <c r="I17" s="3">
        <f t="shared" ref="I17:J17" si="23">A17</f>
        <v>15</v>
      </c>
      <c r="J17" s="3" t="str">
        <f t="shared" si="23"/>
        <v>Arábia Saudita</v>
      </c>
      <c r="K17" s="3">
        <v>0</v>
      </c>
      <c r="L17" s="3" t="str">
        <f t="shared" si="2"/>
        <v>x</v>
      </c>
      <c r="M17" s="3">
        <v>3</v>
      </c>
      <c r="N17" s="3" t="str">
        <f t="shared" si="3"/>
        <v>Uruguai</v>
      </c>
      <c r="O17" s="3" t="str">
        <f t="shared" si="4"/>
        <v>Uruguai</v>
      </c>
      <c r="P17" s="3"/>
      <c r="Q17" s="3" t="b">
        <f t="shared" si="5"/>
        <v>0</v>
      </c>
      <c r="R17" s="3" t="b">
        <f t="shared" si="6"/>
        <v>0</v>
      </c>
      <c r="S17" s="3" t="b">
        <f t="shared" si="7"/>
        <v>0</v>
      </c>
      <c r="T17" s="3" t="b">
        <f t="shared" si="8"/>
        <v>0</v>
      </c>
      <c r="U17" s="3" t="b">
        <f t="shared" si="9"/>
        <v>1</v>
      </c>
      <c r="V17" s="3"/>
      <c r="W17" s="3" cm="1">
        <f t="array" ref="W17">IF(OR(J17="Brasil",N17="Brasil"),2*_xlfn.IFS(Q17=TRUE,6,R17=TRUE,4,AND(S17=TRUE,T17=FALSE),3,T17=TRUE,2,U17=TRUE,0),_xlfn.IFS(Q17=TRUE,6,R17=TRUE,4,AND(S17=TRUE,T17=FALSE),3,T17=TRUE,2,U17=TRUE,0))</f>
        <v>0</v>
      </c>
      <c r="X17" s="3"/>
      <c r="Y17" s="3"/>
    </row>
    <row r="18" spans="1:25" ht="14.25" customHeight="1" x14ac:dyDescent="0.3">
      <c r="A18" s="3">
        <f>'Tabela de Jogos'!A18</f>
        <v>16</v>
      </c>
      <c r="B18" s="3" t="str">
        <f>'Tabela de Jogos'!B18</f>
        <v>Irã</v>
      </c>
      <c r="C18" s="3">
        <f>'Tabela de Jogos'!C18</f>
        <v>2</v>
      </c>
      <c r="D18" s="3" t="str">
        <f>'Tabela de Jogos'!D18</f>
        <v>x</v>
      </c>
      <c r="E18" s="3">
        <f>'Tabela de Jogos'!E18</f>
        <v>2</v>
      </c>
      <c r="F18" s="3" t="str">
        <f>'Tabela de Jogos'!F18</f>
        <v>Nova Zelândia</v>
      </c>
      <c r="G18" s="3" t="str">
        <f>'Tabela de Jogos'!G18</f>
        <v>Empate</v>
      </c>
      <c r="H18" s="3"/>
      <c r="I18" s="3">
        <f t="shared" ref="I18:J18" si="24">A18</f>
        <v>16</v>
      </c>
      <c r="J18" s="3" t="str">
        <f t="shared" si="24"/>
        <v>Irã</v>
      </c>
      <c r="K18" s="3">
        <v>1</v>
      </c>
      <c r="L18" s="3" t="str">
        <f t="shared" si="2"/>
        <v>x</v>
      </c>
      <c r="M18" s="3">
        <v>1</v>
      </c>
      <c r="N18" s="3" t="str">
        <f t="shared" si="3"/>
        <v>Nova Zelândia</v>
      </c>
      <c r="O18" s="3" t="str">
        <f t="shared" si="4"/>
        <v>Empate</v>
      </c>
      <c r="P18" s="3"/>
      <c r="Q18" s="3" t="b">
        <f t="shared" si="5"/>
        <v>0</v>
      </c>
      <c r="R18" s="3" t="b">
        <f t="shared" si="6"/>
        <v>0</v>
      </c>
      <c r="S18" s="3" t="b">
        <f t="shared" si="7"/>
        <v>1</v>
      </c>
      <c r="T18" s="3" t="b">
        <f t="shared" si="8"/>
        <v>1</v>
      </c>
      <c r="U18" s="3" t="b">
        <f t="shared" si="9"/>
        <v>0</v>
      </c>
      <c r="V18" s="3"/>
      <c r="W18" s="3" cm="1">
        <f t="array" ref="W18">IF(OR(J18="Brasil",N18="Brasil"),2*_xlfn.IFS(Q18=TRUE,6,R18=TRUE,4,AND(S18=TRUE,T18=FALSE),3,T18=TRUE,2,U18=TRUE,0),_xlfn.IFS(Q18=TRUE,6,R18=TRUE,4,AND(S18=TRUE,T18=FALSE),3,T18=TRUE,2,U18=TRUE,0))</f>
        <v>2</v>
      </c>
      <c r="X18" s="3"/>
      <c r="Y18" s="3"/>
    </row>
    <row r="19" spans="1:25" ht="14.25" customHeight="1" x14ac:dyDescent="0.3">
      <c r="A19" s="3">
        <f>'Tabela de Jogos'!A19</f>
        <v>17</v>
      </c>
      <c r="B19" s="3" t="str">
        <f>'Tabela de Jogos'!B19</f>
        <v>França</v>
      </c>
      <c r="C19" s="3">
        <f>'Tabela de Jogos'!C19</f>
        <v>3</v>
      </c>
      <c r="D19" s="3" t="str">
        <f>'Tabela de Jogos'!D19</f>
        <v>x</v>
      </c>
      <c r="E19" s="3">
        <f>'Tabela de Jogos'!E19</f>
        <v>1</v>
      </c>
      <c r="F19" s="3" t="str">
        <f>'Tabela de Jogos'!F19</f>
        <v>Senegal</v>
      </c>
      <c r="G19" s="3" t="str">
        <f>'Tabela de Jogos'!G19</f>
        <v>França</v>
      </c>
      <c r="H19" s="3"/>
      <c r="I19" s="3">
        <f t="shared" ref="I19:J19" si="25">A19</f>
        <v>17</v>
      </c>
      <c r="J19" s="3" t="str">
        <f t="shared" si="25"/>
        <v>França</v>
      </c>
      <c r="K19" s="3">
        <v>3</v>
      </c>
      <c r="L19" s="3" t="str">
        <f t="shared" si="2"/>
        <v>x</v>
      </c>
      <c r="M19" s="3">
        <v>2</v>
      </c>
      <c r="N19" s="3" t="str">
        <f t="shared" si="3"/>
        <v>Senegal</v>
      </c>
      <c r="O19" s="3" t="str">
        <f t="shared" si="4"/>
        <v>França</v>
      </c>
      <c r="P19" s="3"/>
      <c r="Q19" s="3" t="b">
        <f t="shared" si="5"/>
        <v>0</v>
      </c>
      <c r="R19" s="3" t="b">
        <f t="shared" si="6"/>
        <v>1</v>
      </c>
      <c r="S19" s="3" t="b">
        <f t="shared" si="7"/>
        <v>0</v>
      </c>
      <c r="T19" s="3" t="b">
        <f t="shared" si="8"/>
        <v>0</v>
      </c>
      <c r="U19" s="3" t="b">
        <f t="shared" si="9"/>
        <v>0</v>
      </c>
      <c r="V19" s="3"/>
      <c r="W19" s="3" cm="1">
        <f t="array" ref="W19">IF(OR(J19="Brasil",N19="Brasil"),2*_xlfn.IFS(Q19=TRUE,6,R19=TRUE,4,AND(S19=TRUE,T19=FALSE),3,T19=TRUE,2,U19=TRUE,0),_xlfn.IFS(Q19=TRUE,6,R19=TRUE,4,AND(S19=TRUE,T19=FALSE),3,T19=TRUE,2,U19=TRUE,0))</f>
        <v>4</v>
      </c>
      <c r="X19" s="3"/>
      <c r="Y19" s="3"/>
    </row>
    <row r="20" spans="1:25" ht="14.25" customHeight="1" x14ac:dyDescent="0.3">
      <c r="A20" s="3">
        <f>'Tabela de Jogos'!A20</f>
        <v>18</v>
      </c>
      <c r="B20" s="3" t="str">
        <f>'Tabela de Jogos'!B20</f>
        <v>Iraque</v>
      </c>
      <c r="C20" s="3">
        <f>'Tabela de Jogos'!C20</f>
        <v>1</v>
      </c>
      <c r="D20" s="3" t="str">
        <f>'Tabela de Jogos'!D20</f>
        <v>x</v>
      </c>
      <c r="E20" s="3">
        <f>'Tabela de Jogos'!E20</f>
        <v>4</v>
      </c>
      <c r="F20" s="3" t="str">
        <f>'Tabela de Jogos'!F20</f>
        <v>Noruega</v>
      </c>
      <c r="G20" s="3" t="str">
        <f>'Tabela de Jogos'!G20</f>
        <v>Noruega</v>
      </c>
      <c r="H20" s="3"/>
      <c r="I20" s="3">
        <f t="shared" ref="I20:J20" si="26">A20</f>
        <v>18</v>
      </c>
      <c r="J20" s="3" t="str">
        <f t="shared" si="26"/>
        <v>Iraque</v>
      </c>
      <c r="K20" s="3">
        <v>0</v>
      </c>
      <c r="L20" s="3" t="str">
        <f t="shared" si="2"/>
        <v>x</v>
      </c>
      <c r="M20" s="3">
        <v>2</v>
      </c>
      <c r="N20" s="3" t="str">
        <f t="shared" si="3"/>
        <v>Noruega</v>
      </c>
      <c r="O20" s="3" t="str">
        <f t="shared" si="4"/>
        <v>Noruega</v>
      </c>
      <c r="P20" s="3"/>
      <c r="Q20" s="3" t="b">
        <f t="shared" si="5"/>
        <v>0</v>
      </c>
      <c r="R20" s="3" t="b">
        <f t="shared" si="6"/>
        <v>0</v>
      </c>
      <c r="S20" s="3" t="b">
        <f t="shared" si="7"/>
        <v>0</v>
      </c>
      <c r="T20" s="3" t="b">
        <f t="shared" si="8"/>
        <v>1</v>
      </c>
      <c r="U20" s="3" t="b">
        <f t="shared" si="9"/>
        <v>0</v>
      </c>
      <c r="V20" s="3"/>
      <c r="W20" s="3" cm="1">
        <f t="array" ref="W20">IF(OR(J20="Brasil",N20="Brasil"),2*_xlfn.IFS(Q20=TRUE,6,R20=TRUE,4,AND(S20=TRUE,T20=FALSE),3,T20=TRUE,2,U20=TRUE,0),_xlfn.IFS(Q20=TRUE,6,R20=TRUE,4,AND(S20=TRUE,T20=FALSE),3,T20=TRUE,2,U20=TRUE,0))</f>
        <v>2</v>
      </c>
      <c r="X20" s="3"/>
      <c r="Y20" s="3"/>
    </row>
    <row r="21" spans="1:25" ht="14.25" customHeight="1" x14ac:dyDescent="0.3">
      <c r="A21" s="3">
        <f>'Tabela de Jogos'!A21</f>
        <v>19</v>
      </c>
      <c r="B21" s="3" t="str">
        <f>'Tabela de Jogos'!B21</f>
        <v>Argentina</v>
      </c>
      <c r="C21" s="3">
        <f>'Tabela de Jogos'!C21</f>
        <v>3</v>
      </c>
      <c r="D21" s="3" t="str">
        <f>'Tabela de Jogos'!D21</f>
        <v>x</v>
      </c>
      <c r="E21" s="3">
        <f>'Tabela de Jogos'!E21</f>
        <v>0</v>
      </c>
      <c r="F21" s="3" t="str">
        <f>'Tabela de Jogos'!F21</f>
        <v>Argélia</v>
      </c>
      <c r="G21" s="3" t="str">
        <f>'Tabela de Jogos'!G21</f>
        <v>Argentina</v>
      </c>
      <c r="H21" s="3"/>
      <c r="I21" s="3">
        <f t="shared" ref="I21:J21" si="27">A21</f>
        <v>19</v>
      </c>
      <c r="J21" s="3" t="str">
        <f t="shared" si="27"/>
        <v>Argentina</v>
      </c>
      <c r="K21" s="3">
        <v>2</v>
      </c>
      <c r="L21" s="3" t="str">
        <f t="shared" si="2"/>
        <v>x</v>
      </c>
      <c r="M21" s="3">
        <v>1</v>
      </c>
      <c r="N21" s="3" t="str">
        <f t="shared" si="3"/>
        <v>Argélia</v>
      </c>
      <c r="O21" s="3" t="str">
        <f t="shared" si="4"/>
        <v>Argentina</v>
      </c>
      <c r="P21" s="3"/>
      <c r="Q21" s="3" t="b">
        <f t="shared" si="5"/>
        <v>0</v>
      </c>
      <c r="R21" s="3" t="b">
        <f t="shared" si="6"/>
        <v>0</v>
      </c>
      <c r="S21" s="3" t="b">
        <f t="shared" si="7"/>
        <v>0</v>
      </c>
      <c r="T21" s="3" t="b">
        <f t="shared" si="8"/>
        <v>1</v>
      </c>
      <c r="U21" s="3" t="b">
        <f t="shared" si="9"/>
        <v>0</v>
      </c>
      <c r="V21" s="3"/>
      <c r="W21" s="3" cm="1">
        <f t="array" ref="W21">IF(OR(J21="Brasil",N21="Brasil"),2*_xlfn.IFS(Q21=TRUE,6,R21=TRUE,4,AND(S21=TRUE,T21=FALSE),3,T21=TRUE,2,U21=TRUE,0),_xlfn.IFS(Q21=TRUE,6,R21=TRUE,4,AND(S21=TRUE,T21=FALSE),3,T21=TRUE,2,U21=TRUE,0))</f>
        <v>2</v>
      </c>
      <c r="X21" s="3"/>
      <c r="Y21" s="3"/>
    </row>
    <row r="22" spans="1:25" ht="14.25" customHeight="1" x14ac:dyDescent="0.3">
      <c r="A22" s="3">
        <f>'Tabela de Jogos'!A22</f>
        <v>20</v>
      </c>
      <c r="B22" s="3" t="str">
        <f>'Tabela de Jogos'!B22</f>
        <v>Áustria</v>
      </c>
      <c r="C22" s="3">
        <f>'Tabela de Jogos'!C22</f>
        <v>3</v>
      </c>
      <c r="D22" s="3" t="str">
        <f>'Tabela de Jogos'!D22</f>
        <v>x</v>
      </c>
      <c r="E22" s="3">
        <f>'Tabela de Jogos'!E22</f>
        <v>1</v>
      </c>
      <c r="F22" s="3" t="str">
        <f>'Tabela de Jogos'!F22</f>
        <v>Jordânia</v>
      </c>
      <c r="G22" s="3" t="str">
        <f>'Tabela de Jogos'!G22</f>
        <v>Áustria</v>
      </c>
      <c r="H22" s="3"/>
      <c r="I22" s="3">
        <f t="shared" ref="I22:J22" si="28">A22</f>
        <v>20</v>
      </c>
      <c r="J22" s="3" t="str">
        <f t="shared" si="28"/>
        <v>Áustria</v>
      </c>
      <c r="K22" s="3">
        <v>1</v>
      </c>
      <c r="L22" s="3" t="str">
        <f t="shared" si="2"/>
        <v>x</v>
      </c>
      <c r="M22" s="3">
        <v>1</v>
      </c>
      <c r="N22" s="3" t="str">
        <f t="shared" si="3"/>
        <v>Jordânia</v>
      </c>
      <c r="O22" s="3" t="str">
        <f t="shared" si="4"/>
        <v>Empate</v>
      </c>
      <c r="P22" s="3"/>
      <c r="Q22" s="3" t="b">
        <f t="shared" si="5"/>
        <v>0</v>
      </c>
      <c r="R22" s="3" t="b">
        <f t="shared" si="6"/>
        <v>0</v>
      </c>
      <c r="S22" s="3" t="b">
        <f t="shared" si="7"/>
        <v>0</v>
      </c>
      <c r="T22" s="3" t="b">
        <f t="shared" si="8"/>
        <v>0</v>
      </c>
      <c r="U22" s="3" t="b">
        <f t="shared" si="9"/>
        <v>1</v>
      </c>
      <c r="V22" s="3"/>
      <c r="W22" s="3" cm="1">
        <f t="array" ref="W22">IF(OR(J22="Brasil",N22="Brasil"),2*_xlfn.IFS(Q22=TRUE,6,R22=TRUE,4,AND(S22=TRUE,T22=FALSE),3,T22=TRUE,2,U22=TRUE,0),_xlfn.IFS(Q22=TRUE,6,R22=TRUE,4,AND(S22=TRUE,T22=FALSE),3,T22=TRUE,2,U22=TRUE,0))</f>
        <v>0</v>
      </c>
      <c r="X22" s="3"/>
      <c r="Y22" s="3"/>
    </row>
    <row r="23" spans="1:25" ht="14.25" customHeight="1" x14ac:dyDescent="0.3">
      <c r="A23" s="3">
        <f>'Tabela de Jogos'!A23</f>
        <v>21</v>
      </c>
      <c r="B23" s="3" t="str">
        <f>'Tabela de Jogos'!B23</f>
        <v>Portugal</v>
      </c>
      <c r="C23" s="3">
        <f>'Tabela de Jogos'!C23</f>
        <v>1</v>
      </c>
      <c r="D23" s="3" t="str">
        <f>'Tabela de Jogos'!D23</f>
        <v>x</v>
      </c>
      <c r="E23" s="3">
        <f>'Tabela de Jogos'!E23</f>
        <v>1</v>
      </c>
      <c r="F23" s="3" t="str">
        <f>'Tabela de Jogos'!F23</f>
        <v>RD Congo</v>
      </c>
      <c r="G23" s="3" t="str">
        <f>'Tabela de Jogos'!G23</f>
        <v>Empate</v>
      </c>
      <c r="H23" s="3"/>
      <c r="I23" s="3">
        <f t="shared" ref="I23:J23" si="29">A23</f>
        <v>21</v>
      </c>
      <c r="J23" s="3" t="str">
        <f t="shared" si="29"/>
        <v>Portugal</v>
      </c>
      <c r="K23" s="3">
        <v>3</v>
      </c>
      <c r="L23" s="3" t="str">
        <f t="shared" si="2"/>
        <v>x</v>
      </c>
      <c r="M23" s="3">
        <v>0</v>
      </c>
      <c r="N23" s="3" t="str">
        <f t="shared" si="3"/>
        <v>RD Congo</v>
      </c>
      <c r="O23" s="3" t="str">
        <f t="shared" si="4"/>
        <v>Portugal</v>
      </c>
      <c r="P23" s="3"/>
      <c r="Q23" s="3" t="b">
        <f t="shared" si="5"/>
        <v>0</v>
      </c>
      <c r="R23" s="3" t="b">
        <f t="shared" si="6"/>
        <v>0</v>
      </c>
      <c r="S23" s="3" t="b">
        <f t="shared" si="7"/>
        <v>0</v>
      </c>
      <c r="T23" s="3" t="b">
        <f t="shared" si="8"/>
        <v>0</v>
      </c>
      <c r="U23" s="3" t="b">
        <f t="shared" si="9"/>
        <v>1</v>
      </c>
      <c r="V23" s="3"/>
      <c r="W23" s="3" cm="1">
        <f t="array" ref="W23">IF(OR(J23="Brasil",N23="Brasil"),2*_xlfn.IFS(Q23=TRUE,6,R23=TRUE,4,AND(S23=TRUE,T23=FALSE),3,T23=TRUE,2,U23=TRUE,0),_xlfn.IFS(Q23=TRUE,6,R23=TRUE,4,AND(S23=TRUE,T23=FALSE),3,T23=TRUE,2,U23=TRUE,0))</f>
        <v>0</v>
      </c>
      <c r="X23" s="3"/>
      <c r="Y23" s="3"/>
    </row>
    <row r="24" spans="1:25" ht="14.25" customHeight="1" x14ac:dyDescent="0.3">
      <c r="A24" s="3">
        <f>'Tabela de Jogos'!A24</f>
        <v>22</v>
      </c>
      <c r="B24" s="3" t="str">
        <f>'Tabela de Jogos'!B24</f>
        <v>Inglaterra</v>
      </c>
      <c r="C24" s="3">
        <f>'Tabela de Jogos'!C24</f>
        <v>4</v>
      </c>
      <c r="D24" s="3" t="str">
        <f>'Tabela de Jogos'!D24</f>
        <v>x</v>
      </c>
      <c r="E24" s="3">
        <f>'Tabela de Jogos'!E24</f>
        <v>2</v>
      </c>
      <c r="F24" s="3" t="str">
        <f>'Tabela de Jogos'!F24</f>
        <v>Croácia</v>
      </c>
      <c r="G24" s="3" t="str">
        <f>'Tabela de Jogos'!G24</f>
        <v>Inglaterra</v>
      </c>
      <c r="H24" s="3"/>
      <c r="I24" s="3">
        <f t="shared" ref="I24:J24" si="30">A24</f>
        <v>22</v>
      </c>
      <c r="J24" s="3" t="str">
        <f t="shared" si="30"/>
        <v>Inglaterra</v>
      </c>
      <c r="K24" s="3">
        <v>3</v>
      </c>
      <c r="L24" s="3" t="str">
        <f t="shared" si="2"/>
        <v>x</v>
      </c>
      <c r="M24" s="3">
        <v>2</v>
      </c>
      <c r="N24" s="3" t="str">
        <f t="shared" si="3"/>
        <v>Croácia</v>
      </c>
      <c r="O24" s="3" t="str">
        <f t="shared" si="4"/>
        <v>Inglaterra</v>
      </c>
      <c r="P24" s="3"/>
      <c r="Q24" s="3" t="b">
        <f t="shared" si="5"/>
        <v>0</v>
      </c>
      <c r="R24" s="3" t="b">
        <f t="shared" si="6"/>
        <v>0</v>
      </c>
      <c r="S24" s="3" t="b">
        <f t="shared" si="7"/>
        <v>0</v>
      </c>
      <c r="T24" s="3" t="b">
        <f t="shared" si="8"/>
        <v>1</v>
      </c>
      <c r="U24" s="3" t="b">
        <f t="shared" si="9"/>
        <v>0</v>
      </c>
      <c r="V24" s="3"/>
      <c r="W24" s="3" cm="1">
        <f t="array" ref="W24">IF(OR(J24="Brasil",N24="Brasil"),2*_xlfn.IFS(Q24=TRUE,6,R24=TRUE,4,AND(S24=TRUE,T24=FALSE),3,T24=TRUE,2,U24=TRUE,0),_xlfn.IFS(Q24=TRUE,6,R24=TRUE,4,AND(S24=TRUE,T24=FALSE),3,T24=TRUE,2,U24=TRUE,0))</f>
        <v>2</v>
      </c>
      <c r="X24" s="3"/>
      <c r="Y24" s="3"/>
    </row>
    <row r="25" spans="1:25" ht="14.25" customHeight="1" x14ac:dyDescent="0.3">
      <c r="A25" s="3">
        <f>'Tabela de Jogos'!A25</f>
        <v>23</v>
      </c>
      <c r="B25" s="3" t="str">
        <f>'Tabela de Jogos'!B25</f>
        <v>Gana</v>
      </c>
      <c r="C25" s="3">
        <f>'Tabela de Jogos'!C25</f>
        <v>1</v>
      </c>
      <c r="D25" s="3" t="str">
        <f>'Tabela de Jogos'!D25</f>
        <v>x</v>
      </c>
      <c r="E25" s="3">
        <f>'Tabela de Jogos'!E25</f>
        <v>0</v>
      </c>
      <c r="F25" s="3" t="str">
        <f>'Tabela de Jogos'!F25</f>
        <v>Panamá</v>
      </c>
      <c r="G25" s="3" t="str">
        <f>'Tabela de Jogos'!G25</f>
        <v>Gana</v>
      </c>
      <c r="H25" s="3"/>
      <c r="I25" s="3">
        <f t="shared" ref="I25:J25" si="31">A25</f>
        <v>23</v>
      </c>
      <c r="J25" s="3" t="str">
        <f t="shared" si="31"/>
        <v>Gana</v>
      </c>
      <c r="K25" s="3">
        <v>1</v>
      </c>
      <c r="L25" s="3" t="str">
        <f t="shared" si="2"/>
        <v>x</v>
      </c>
      <c r="M25" s="3">
        <v>1</v>
      </c>
      <c r="N25" s="3" t="str">
        <f t="shared" si="3"/>
        <v>Panamá</v>
      </c>
      <c r="O25" s="3" t="str">
        <f t="shared" si="4"/>
        <v>Empate</v>
      </c>
      <c r="P25" s="3"/>
      <c r="Q25" s="3" t="b">
        <f t="shared" si="5"/>
        <v>0</v>
      </c>
      <c r="R25" s="3" t="b">
        <f t="shared" si="6"/>
        <v>0</v>
      </c>
      <c r="S25" s="3" t="b">
        <f t="shared" si="7"/>
        <v>0</v>
      </c>
      <c r="T25" s="3" t="b">
        <f t="shared" si="8"/>
        <v>0</v>
      </c>
      <c r="U25" s="3" t="b">
        <f t="shared" si="9"/>
        <v>1</v>
      </c>
      <c r="V25" s="3"/>
      <c r="W25" s="3" cm="1">
        <f t="array" ref="W25">IF(OR(J25="Brasil",N25="Brasil"),2*_xlfn.IFS(Q25=TRUE,6,R25=TRUE,4,AND(S25=TRUE,T25=FALSE),3,T25=TRUE,2,U25=TRUE,0),_xlfn.IFS(Q25=TRUE,6,R25=TRUE,4,AND(S25=TRUE,T25=FALSE),3,T25=TRUE,2,U25=TRUE,0))</f>
        <v>0</v>
      </c>
      <c r="X25" s="3"/>
      <c r="Y25" s="3"/>
    </row>
    <row r="26" spans="1:25" ht="14.25" customHeight="1" x14ac:dyDescent="0.3">
      <c r="A26" s="3">
        <f>'Tabela de Jogos'!A26</f>
        <v>24</v>
      </c>
      <c r="B26" s="3" t="str">
        <f>'Tabela de Jogos'!B26</f>
        <v>Uzbequistão</v>
      </c>
      <c r="C26" s="3">
        <f>'Tabela de Jogos'!C26</f>
        <v>1</v>
      </c>
      <c r="D26" s="3" t="str">
        <f>'Tabela de Jogos'!D26</f>
        <v>x</v>
      </c>
      <c r="E26" s="3">
        <f>'Tabela de Jogos'!E26</f>
        <v>3</v>
      </c>
      <c r="F26" s="3" t="str">
        <f>'Tabela de Jogos'!F26</f>
        <v>Colômbia</v>
      </c>
      <c r="G26" s="3" t="str">
        <f>'Tabela de Jogos'!G26</f>
        <v>Colômbia</v>
      </c>
      <c r="H26" s="3"/>
      <c r="I26" s="3">
        <f t="shared" ref="I26:J26" si="32">A26</f>
        <v>24</v>
      </c>
      <c r="J26" s="3" t="str">
        <f t="shared" si="32"/>
        <v>Uzbequistão</v>
      </c>
      <c r="K26" s="3">
        <v>1</v>
      </c>
      <c r="L26" s="3" t="str">
        <f t="shared" si="2"/>
        <v>x</v>
      </c>
      <c r="M26" s="3">
        <v>4</v>
      </c>
      <c r="N26" s="3" t="str">
        <f t="shared" si="3"/>
        <v>Colômbia</v>
      </c>
      <c r="O26" s="3" t="str">
        <f t="shared" si="4"/>
        <v>Colômbia</v>
      </c>
      <c r="P26" s="3"/>
      <c r="Q26" s="3" t="b">
        <f t="shared" si="5"/>
        <v>0</v>
      </c>
      <c r="R26" s="3" t="b">
        <f t="shared" si="6"/>
        <v>0</v>
      </c>
      <c r="S26" s="3" t="b">
        <f t="shared" si="7"/>
        <v>0</v>
      </c>
      <c r="T26" s="3" t="b">
        <f t="shared" si="8"/>
        <v>1</v>
      </c>
      <c r="U26" s="3" t="b">
        <f t="shared" si="9"/>
        <v>0</v>
      </c>
      <c r="V26" s="3"/>
      <c r="W26" s="3" cm="1">
        <f t="array" ref="W26">IF(OR(J26="Brasil",N26="Brasil"),2*_xlfn.IFS(Q26=TRUE,6,R26=TRUE,4,AND(S26=TRUE,T26=FALSE),3,T26=TRUE,2,U26=TRUE,0),_xlfn.IFS(Q26=TRUE,6,R26=TRUE,4,AND(S26=TRUE,T26=FALSE),3,T26=TRUE,2,U26=TRUE,0))</f>
        <v>2</v>
      </c>
      <c r="X26" s="3"/>
      <c r="Y26" s="3"/>
    </row>
    <row r="27" spans="1:25" ht="14.25" customHeight="1" x14ac:dyDescent="0.3">
      <c r="A27" s="3">
        <f>'Tabela de Jogos'!A27</f>
        <v>25</v>
      </c>
      <c r="B27" s="3" t="str">
        <f>'Tabela de Jogos'!B27</f>
        <v>Tchéquia</v>
      </c>
      <c r="C27" s="3">
        <f>'Tabela de Jogos'!C27</f>
        <v>1</v>
      </c>
      <c r="D27" s="3" t="str">
        <f>'Tabela de Jogos'!D27</f>
        <v>x</v>
      </c>
      <c r="E27" s="3">
        <f>'Tabela de Jogos'!E27</f>
        <v>1</v>
      </c>
      <c r="F27" s="3" t="str">
        <f>'Tabela de Jogos'!F27</f>
        <v>África do Sul</v>
      </c>
      <c r="G27" s="3" t="str">
        <f>'Tabela de Jogos'!G27</f>
        <v>Empate</v>
      </c>
      <c r="H27" s="3"/>
      <c r="I27" s="3">
        <f t="shared" ref="I27:J27" si="33">A27</f>
        <v>25</v>
      </c>
      <c r="J27" s="3" t="str">
        <f t="shared" si="33"/>
        <v>Tchéquia</v>
      </c>
      <c r="K27" s="3">
        <v>1</v>
      </c>
      <c r="L27" s="3" t="str">
        <f t="shared" si="2"/>
        <v>x</v>
      </c>
      <c r="M27" s="3">
        <v>2</v>
      </c>
      <c r="N27" s="3" t="str">
        <f t="shared" si="3"/>
        <v>África do Sul</v>
      </c>
      <c r="O27" s="3" t="str">
        <f t="shared" si="4"/>
        <v>África do Sul</v>
      </c>
      <c r="P27" s="3"/>
      <c r="Q27" s="3" t="b">
        <f t="shared" si="5"/>
        <v>0</v>
      </c>
      <c r="R27" s="3" t="b">
        <f t="shared" si="6"/>
        <v>0</v>
      </c>
      <c r="S27" s="3" t="b">
        <f t="shared" si="7"/>
        <v>0</v>
      </c>
      <c r="T27" s="3" t="b">
        <f t="shared" si="8"/>
        <v>0</v>
      </c>
      <c r="U27" s="3" t="b">
        <f t="shared" si="9"/>
        <v>1</v>
      </c>
      <c r="V27" s="3"/>
      <c r="W27" s="3" cm="1">
        <f t="array" ref="W27">IF(OR(J27="Brasil",N27="Brasil"),2*_xlfn.IFS(Q27=TRUE,6,R27=TRUE,4,AND(S27=TRUE,T27=FALSE),3,T27=TRUE,2,U27=TRUE,0),_xlfn.IFS(Q27=TRUE,6,R27=TRUE,4,AND(S27=TRUE,T27=FALSE),3,T27=TRUE,2,U27=TRUE,0))</f>
        <v>0</v>
      </c>
      <c r="X27" s="3"/>
      <c r="Y27" s="3"/>
    </row>
    <row r="28" spans="1:25" ht="14.25" customHeight="1" x14ac:dyDescent="0.3">
      <c r="A28" s="3">
        <f>'Tabela de Jogos'!A28</f>
        <v>26</v>
      </c>
      <c r="B28" s="3" t="str">
        <f>'Tabela de Jogos'!B28</f>
        <v>Suíça</v>
      </c>
      <c r="C28" s="3">
        <f>'Tabela de Jogos'!C28</f>
        <v>4</v>
      </c>
      <c r="D28" s="3" t="str">
        <f>'Tabela de Jogos'!D28</f>
        <v>x</v>
      </c>
      <c r="E28" s="3">
        <f>'Tabela de Jogos'!E28</f>
        <v>1</v>
      </c>
      <c r="F28" s="3" t="str">
        <f>'Tabela de Jogos'!F28</f>
        <v>Bósnia</v>
      </c>
      <c r="G28" s="3" t="str">
        <f>'Tabela de Jogos'!G28</f>
        <v>Suíça</v>
      </c>
      <c r="H28" s="3"/>
      <c r="I28" s="3">
        <f t="shared" ref="I28:J28" si="34">A28</f>
        <v>26</v>
      </c>
      <c r="J28" s="3" t="str">
        <f t="shared" si="34"/>
        <v>Suíça</v>
      </c>
      <c r="K28" s="3">
        <v>2</v>
      </c>
      <c r="L28" s="3" t="str">
        <f t="shared" si="2"/>
        <v>x</v>
      </c>
      <c r="M28" s="3">
        <v>1</v>
      </c>
      <c r="N28" s="3" t="str">
        <f t="shared" si="3"/>
        <v>Bósnia</v>
      </c>
      <c r="O28" s="3" t="str">
        <f t="shared" si="4"/>
        <v>Suíça</v>
      </c>
      <c r="P28" s="3"/>
      <c r="Q28" s="3" t="b">
        <f t="shared" si="5"/>
        <v>0</v>
      </c>
      <c r="R28" s="3" t="b">
        <f t="shared" si="6"/>
        <v>0</v>
      </c>
      <c r="S28" s="3" t="b">
        <f t="shared" si="7"/>
        <v>0</v>
      </c>
      <c r="T28" s="3" t="b">
        <f t="shared" si="8"/>
        <v>1</v>
      </c>
      <c r="U28" s="3" t="b">
        <f t="shared" si="9"/>
        <v>0</v>
      </c>
      <c r="V28" s="3"/>
      <c r="W28" s="3" cm="1">
        <f t="array" ref="W28">IF(OR(J28="Brasil",N28="Brasil"),2*_xlfn.IFS(Q28=TRUE,6,R28=TRUE,4,AND(S28=TRUE,T28=FALSE),3,T28=TRUE,2,U28=TRUE,0),_xlfn.IFS(Q28=TRUE,6,R28=TRUE,4,AND(S28=TRUE,T28=FALSE),3,T28=TRUE,2,U28=TRUE,0))</f>
        <v>2</v>
      </c>
      <c r="X28" s="3"/>
      <c r="Y28" s="3"/>
    </row>
    <row r="29" spans="1:25" ht="14.25" customHeight="1" x14ac:dyDescent="0.3">
      <c r="A29" s="3">
        <f>'Tabela de Jogos'!A29</f>
        <v>27</v>
      </c>
      <c r="B29" s="3" t="str">
        <f>'Tabela de Jogos'!B29</f>
        <v>Canadá</v>
      </c>
      <c r="C29" s="3">
        <f>'Tabela de Jogos'!C29</f>
        <v>6</v>
      </c>
      <c r="D29" s="3" t="str">
        <f>'Tabela de Jogos'!D29</f>
        <v>x</v>
      </c>
      <c r="E29" s="3">
        <f>'Tabela de Jogos'!E29</f>
        <v>0</v>
      </c>
      <c r="F29" s="3" t="str">
        <f>'Tabela de Jogos'!F29</f>
        <v>Catar</v>
      </c>
      <c r="G29" s="3" t="str">
        <f>'Tabela de Jogos'!G29</f>
        <v>Canadá</v>
      </c>
      <c r="H29" s="3"/>
      <c r="I29" s="3">
        <f t="shared" ref="I29:J29" si="35">A29</f>
        <v>27</v>
      </c>
      <c r="J29" s="3" t="str">
        <f t="shared" si="35"/>
        <v>Canadá</v>
      </c>
      <c r="K29" s="3">
        <v>2</v>
      </c>
      <c r="L29" s="3" t="str">
        <f t="shared" si="2"/>
        <v>x</v>
      </c>
      <c r="M29" s="3">
        <v>0</v>
      </c>
      <c r="N29" s="3" t="str">
        <f t="shared" si="3"/>
        <v>Catar</v>
      </c>
      <c r="O29" s="3" t="str">
        <f t="shared" si="4"/>
        <v>Canadá</v>
      </c>
      <c r="P29" s="3"/>
      <c r="Q29" s="3" t="b">
        <f t="shared" si="5"/>
        <v>0</v>
      </c>
      <c r="R29" s="3" t="b">
        <f t="shared" si="6"/>
        <v>0</v>
      </c>
      <c r="S29" s="3" t="b">
        <f t="shared" si="7"/>
        <v>0</v>
      </c>
      <c r="T29" s="3" t="b">
        <f t="shared" si="8"/>
        <v>1</v>
      </c>
      <c r="U29" s="3" t="b">
        <f t="shared" si="9"/>
        <v>0</v>
      </c>
      <c r="V29" s="3"/>
      <c r="W29" s="3" cm="1">
        <f t="array" ref="W29">IF(OR(J29="Brasil",N29="Brasil"),2*_xlfn.IFS(Q29=TRUE,6,R29=TRUE,4,AND(S29=TRUE,T29=FALSE),3,T29=TRUE,2,U29=TRUE,0),_xlfn.IFS(Q29=TRUE,6,R29=TRUE,4,AND(S29=TRUE,T29=FALSE),3,T29=TRUE,2,U29=TRUE,0))</f>
        <v>2</v>
      </c>
      <c r="X29" s="3"/>
      <c r="Y29" s="3"/>
    </row>
    <row r="30" spans="1:25" ht="14.25" customHeight="1" x14ac:dyDescent="0.3">
      <c r="A30" s="3">
        <f>'Tabela de Jogos'!A30</f>
        <v>28</v>
      </c>
      <c r="B30" s="3" t="str">
        <f>'Tabela de Jogos'!B30</f>
        <v>México</v>
      </c>
      <c r="C30" s="3">
        <f>'Tabela de Jogos'!C30</f>
        <v>1</v>
      </c>
      <c r="D30" s="3" t="str">
        <f>'Tabela de Jogos'!D30</f>
        <v>x</v>
      </c>
      <c r="E30" s="3">
        <f>'Tabela de Jogos'!E30</f>
        <v>0</v>
      </c>
      <c r="F30" s="3" t="str">
        <f>'Tabela de Jogos'!F30</f>
        <v>Coreia do Sul</v>
      </c>
      <c r="G30" s="3" t="str">
        <f>'Tabela de Jogos'!G30</f>
        <v>México</v>
      </c>
      <c r="H30" s="3"/>
      <c r="I30" s="3">
        <f t="shared" ref="I30:J30" si="36">A30</f>
        <v>28</v>
      </c>
      <c r="J30" s="3" t="str">
        <f t="shared" si="36"/>
        <v>México</v>
      </c>
      <c r="K30" s="3">
        <v>3</v>
      </c>
      <c r="L30" s="3" t="str">
        <f t="shared" si="2"/>
        <v>x</v>
      </c>
      <c r="M30" s="3">
        <v>2</v>
      </c>
      <c r="N30" s="3" t="str">
        <f t="shared" si="3"/>
        <v>Coreia do Sul</v>
      </c>
      <c r="O30" s="3" t="str">
        <f t="shared" si="4"/>
        <v>México</v>
      </c>
      <c r="P30" s="3"/>
      <c r="Q30" s="3" t="b">
        <f t="shared" si="5"/>
        <v>0</v>
      </c>
      <c r="R30" s="3" t="b">
        <f t="shared" si="6"/>
        <v>0</v>
      </c>
      <c r="S30" s="3" t="b">
        <f t="shared" si="7"/>
        <v>1</v>
      </c>
      <c r="T30" s="3" t="b">
        <f t="shared" si="8"/>
        <v>0</v>
      </c>
      <c r="U30" s="3" t="b">
        <f t="shared" si="9"/>
        <v>0</v>
      </c>
      <c r="V30" s="3"/>
      <c r="W30" s="3" cm="1">
        <f t="array" ref="W30">IF(OR(J30="Brasil",N30="Brasil"),2*_xlfn.IFS(Q30=TRUE,6,R30=TRUE,4,AND(S30=TRUE,T30=FALSE),3,T30=TRUE,2,U30=TRUE,0),_xlfn.IFS(Q30=TRUE,6,R30=TRUE,4,AND(S30=TRUE,T30=FALSE),3,T30=TRUE,2,U30=TRUE,0))</f>
        <v>3</v>
      </c>
      <c r="X30" s="3"/>
      <c r="Y30" s="3"/>
    </row>
    <row r="31" spans="1:25" ht="14.25" customHeight="1" x14ac:dyDescent="0.3">
      <c r="A31" s="3">
        <f>'Tabela de Jogos'!A31</f>
        <v>29</v>
      </c>
      <c r="B31" s="3" t="str">
        <f>'Tabela de Jogos'!B31</f>
        <v>EUA</v>
      </c>
      <c r="C31" s="3">
        <f>'Tabela de Jogos'!C31</f>
        <v>2</v>
      </c>
      <c r="D31" s="3" t="str">
        <f>'Tabela de Jogos'!D31</f>
        <v>x</v>
      </c>
      <c r="E31" s="3">
        <f>'Tabela de Jogos'!E31</f>
        <v>0</v>
      </c>
      <c r="F31" s="3" t="str">
        <f>'Tabela de Jogos'!F31</f>
        <v>Austrália</v>
      </c>
      <c r="G31" s="3" t="str">
        <f>'Tabela de Jogos'!G31</f>
        <v>EUA</v>
      </c>
      <c r="H31" s="3"/>
      <c r="I31" s="3">
        <f t="shared" ref="I31:J31" si="37">A31</f>
        <v>29</v>
      </c>
      <c r="J31" s="3" t="str">
        <f t="shared" si="37"/>
        <v>EUA</v>
      </c>
      <c r="K31" s="3">
        <v>3</v>
      </c>
      <c r="L31" s="3" t="str">
        <f t="shared" si="2"/>
        <v>x</v>
      </c>
      <c r="M31" s="3">
        <v>2</v>
      </c>
      <c r="N31" s="3" t="str">
        <f t="shared" si="3"/>
        <v>Austrália</v>
      </c>
      <c r="O31" s="3" t="str">
        <f>IF(K31&gt;M31,J31,IF(M31&gt;K31,N31,IF(ISBLANK(K31),"-","Empate")))</f>
        <v>EUA</v>
      </c>
      <c r="P31" s="3"/>
      <c r="Q31" s="3" t="b">
        <f>IF(AND(O31=G31,K31=C31,M31=E31,ISBLANK(K31)&lt;&gt;TRUE),TRUE,FALSE)</f>
        <v>0</v>
      </c>
      <c r="R31" s="3" t="b">
        <f>IF(OR(AND(O31=G31,K31=C31,K31&gt;M31,M31&lt;&gt;E31,ISBLANK(K31)&lt;&gt;TRUE),AND(O31=G31,M31&gt;K31,K31&lt;&gt;C31,M31=E31,ISBLANK(K31)&lt;&gt;TRUE)),TRUE,FALSE)</f>
        <v>0</v>
      </c>
      <c r="S31" s="3" t="b">
        <f>IF(AND(O31=G31,ABS(K31-M31)=ABS(C31-E31),OR(K31&lt;&gt;C31,M31&lt;&gt;E31),ISBLANK(K31)&lt;&gt;TRUE),TRUE,FALSE)</f>
        <v>0</v>
      </c>
      <c r="T31" s="3" t="b">
        <f t="shared" si="8"/>
        <v>1</v>
      </c>
      <c r="U31" s="3" t="b">
        <f t="shared" si="9"/>
        <v>0</v>
      </c>
      <c r="V31" s="3"/>
      <c r="W31" s="3" cm="1">
        <f t="array" ref="W31">IF(OR(J31="Brasil",N31="Brasil"),2*_xlfn.IFS(Q31=TRUE,6,R31=TRUE,4,AND(S31=TRUE,T31=FALSE),3,T31=TRUE,2,U31=TRUE,0),_xlfn.IFS(Q31=TRUE,6,R31=TRUE,4,AND(S31=TRUE,T31=FALSE),3,T31=TRUE,2,U31=TRUE,0))</f>
        <v>2</v>
      </c>
      <c r="X31" s="3"/>
      <c r="Y31" s="3"/>
    </row>
    <row r="32" spans="1:25" ht="14.25" customHeight="1" x14ac:dyDescent="0.3">
      <c r="A32" s="3">
        <f>'Tabela de Jogos'!A32</f>
        <v>30</v>
      </c>
      <c r="B32" s="3" t="str">
        <f>'Tabela de Jogos'!B32</f>
        <v>Escócia</v>
      </c>
      <c r="C32" s="3">
        <f>'Tabela de Jogos'!C32</f>
        <v>0</v>
      </c>
      <c r="D32" s="3" t="str">
        <f>'Tabela de Jogos'!D32</f>
        <v>x</v>
      </c>
      <c r="E32" s="3">
        <f>'Tabela de Jogos'!E32</f>
        <v>1</v>
      </c>
      <c r="F32" s="3" t="str">
        <f>'Tabela de Jogos'!F32</f>
        <v>Marrocos</v>
      </c>
      <c r="G32" s="3" t="str">
        <f>'Tabela de Jogos'!G32</f>
        <v>Marrocos</v>
      </c>
      <c r="H32" s="3"/>
      <c r="I32" s="3">
        <f t="shared" ref="I32:J32" si="38">A32</f>
        <v>30</v>
      </c>
      <c r="J32" s="3" t="str">
        <f t="shared" si="38"/>
        <v>Escócia</v>
      </c>
      <c r="K32" s="3">
        <v>1</v>
      </c>
      <c r="L32" s="3" t="str">
        <f t="shared" si="2"/>
        <v>x</v>
      </c>
      <c r="M32" s="3">
        <v>2</v>
      </c>
      <c r="N32" s="3" t="str">
        <f t="shared" si="3"/>
        <v>Marrocos</v>
      </c>
      <c r="O32" s="3" t="str">
        <f>IF(K32&gt;M32,J32,IF(M32&gt;K32,N32,IF(ISBLANK(K32),"-","Empate")))</f>
        <v>Marrocos</v>
      </c>
      <c r="P32" s="3"/>
      <c r="Q32" s="3" t="b">
        <f>IF(AND(O32=G32,K32=C32,M32=E32,ISBLANK(K32)&lt;&gt;TRUE),TRUE,FALSE)</f>
        <v>0</v>
      </c>
      <c r="R32" s="3" t="b">
        <f>IF(OR(AND(O32=G32,K32=C32,K32&gt;M32,M32&lt;&gt;E32,ISBLANK(K32)&lt;&gt;TRUE),AND(O32=G32,M32&gt;K32,K32&lt;&gt;C32,M32=E32,ISBLANK(K32)&lt;&gt;TRUE)),TRUE,FALSE)</f>
        <v>0</v>
      </c>
      <c r="S32" s="3" t="b">
        <f>IF(AND(O32=G32,ABS(K32-M32)=ABS(C32-E32),OR(K32&lt;&gt;C32,M32&lt;&gt;E32),ISBLANK(K32)&lt;&gt;TRUE),TRUE,FALSE)</f>
        <v>1</v>
      </c>
      <c r="T32" s="3" t="b">
        <f t="shared" si="8"/>
        <v>0</v>
      </c>
      <c r="U32" s="3" t="b">
        <f t="shared" si="9"/>
        <v>0</v>
      </c>
      <c r="V32" s="3"/>
      <c r="W32" s="3" cm="1">
        <f t="array" ref="W32">IF(OR(J32="Brasil",N32="Brasil"),2*_xlfn.IFS(Q32=TRUE,6,R32=TRUE,4,AND(S32=TRUE,T32=FALSE),3,T32=TRUE,2,U32=TRUE,0),_xlfn.IFS(Q32=TRUE,6,R32=TRUE,4,AND(S32=TRUE,T32=FALSE),3,T32=TRUE,2,U32=TRUE,0))</f>
        <v>3</v>
      </c>
      <c r="X32" s="3"/>
      <c r="Y32" s="3"/>
    </row>
    <row r="33" spans="1:25" ht="14.25" customHeight="1" x14ac:dyDescent="0.3">
      <c r="A33" s="3">
        <f>'Tabela de Jogos'!A33</f>
        <v>31</v>
      </c>
      <c r="B33" s="3" t="str">
        <f>'Tabela de Jogos'!B33</f>
        <v>Brasil</v>
      </c>
      <c r="C33" s="3">
        <f>'Tabela de Jogos'!C33</f>
        <v>3</v>
      </c>
      <c r="D33" s="3" t="str">
        <f>'Tabela de Jogos'!D33</f>
        <v>x</v>
      </c>
      <c r="E33" s="3">
        <f>'Tabela de Jogos'!E33</f>
        <v>0</v>
      </c>
      <c r="F33" s="3" t="str">
        <f>'Tabela de Jogos'!F33</f>
        <v>Haiti</v>
      </c>
      <c r="G33" s="3" t="str">
        <f>'Tabela de Jogos'!G33</f>
        <v>Brasil</v>
      </c>
      <c r="H33" s="3"/>
      <c r="I33" s="3">
        <f t="shared" ref="I33:J33" si="39">A33</f>
        <v>31</v>
      </c>
      <c r="J33" s="3" t="str">
        <f t="shared" si="39"/>
        <v>Brasil</v>
      </c>
      <c r="K33" s="3">
        <v>4</v>
      </c>
      <c r="L33" s="3" t="str">
        <f t="shared" si="2"/>
        <v>x</v>
      </c>
      <c r="M33" s="3">
        <v>1</v>
      </c>
      <c r="N33" s="3" t="str">
        <f t="shared" si="3"/>
        <v>Haiti</v>
      </c>
      <c r="O33" s="3" t="str">
        <f>IF(K33&gt;M33,J33,IF(M33&gt;K33,N33,IF(ISBLANK(K33),"-","Empate")))</f>
        <v>Brasil</v>
      </c>
      <c r="P33" s="3"/>
      <c r="Q33" s="3" t="b">
        <f>IF(AND(O33=G33,K33=C33,M33=E33,ISBLANK(K33)&lt;&gt;TRUE),TRUE,FALSE)</f>
        <v>0</v>
      </c>
      <c r="R33" s="3" t="b">
        <f>IF(OR(AND(O33=G33,K33=C33,K33&gt;M33,M33&lt;&gt;E33,ISBLANK(K33)&lt;&gt;TRUE),AND(O33=G33,M33&gt;K33,K33&lt;&gt;C33,M33=E33,ISBLANK(K33)&lt;&gt;TRUE)),TRUE,FALSE)</f>
        <v>0</v>
      </c>
      <c r="S33" s="3" t="b">
        <f>IF(AND(O33=G33,ABS(K33-M33)=ABS(C33-E33),OR(K33&lt;&gt;C33,M33&lt;&gt;E33),ISBLANK(K33)&lt;&gt;TRUE),TRUE,FALSE)</f>
        <v>1</v>
      </c>
      <c r="T33" s="3" t="b">
        <f t="shared" si="8"/>
        <v>0</v>
      </c>
      <c r="U33" s="3" t="b">
        <f t="shared" si="9"/>
        <v>0</v>
      </c>
      <c r="V33" s="3"/>
      <c r="W33" s="3" cm="1">
        <f t="array" ref="W33">IF(OR(J33="Brasil",N33="Brasil"),2*_xlfn.IFS(Q33=TRUE,6,R33=TRUE,4,AND(S33=TRUE,T33=FALSE),3,T33=TRUE,2,U33=TRUE,0),_xlfn.IFS(Q33=TRUE,6,R33=TRUE,4,AND(S33=TRUE,T33=FALSE),3,T33=TRUE,2,U33=TRUE,0))</f>
        <v>6</v>
      </c>
      <c r="X33" s="3"/>
      <c r="Y33" s="3"/>
    </row>
    <row r="34" spans="1:25" ht="14.25" customHeight="1" x14ac:dyDescent="0.3">
      <c r="A34" s="3">
        <f>'Tabela de Jogos'!A34</f>
        <v>32</v>
      </c>
      <c r="B34" s="3" t="str">
        <f>'Tabela de Jogos'!B34</f>
        <v>Turquia</v>
      </c>
      <c r="C34" s="3">
        <f>'Tabela de Jogos'!C34</f>
        <v>0</v>
      </c>
      <c r="D34" s="3" t="str">
        <f>'Tabela de Jogos'!D34</f>
        <v>x</v>
      </c>
      <c r="E34" s="3">
        <f>'Tabela de Jogos'!E34</f>
        <v>1</v>
      </c>
      <c r="F34" s="3" t="str">
        <f>'Tabela de Jogos'!F34</f>
        <v>Paraguai</v>
      </c>
      <c r="G34" s="3" t="str">
        <f>'Tabela de Jogos'!G34</f>
        <v>Paraguai</v>
      </c>
      <c r="H34" s="3"/>
      <c r="I34" s="3">
        <f t="shared" ref="I34:J34" si="40">A34</f>
        <v>32</v>
      </c>
      <c r="J34" s="3" t="str">
        <f t="shared" si="40"/>
        <v>Turquia</v>
      </c>
      <c r="K34" s="3">
        <v>1</v>
      </c>
      <c r="L34" s="3" t="str">
        <f t="shared" si="2"/>
        <v>x</v>
      </c>
      <c r="M34" s="3">
        <v>2</v>
      </c>
      <c r="N34" s="3" t="str">
        <f t="shared" si="3"/>
        <v>Paraguai</v>
      </c>
      <c r="O34" s="3" t="str">
        <f>IF(K34&gt;M34,J34,IF(M34&gt;K34,N34,IF(ISBLANK(K34),"-","Empate")))</f>
        <v>Paraguai</v>
      </c>
      <c r="P34" s="3"/>
      <c r="Q34" s="3" t="b">
        <f>IF(AND(O34=G34,K34=C34,M34=E34,ISBLANK(K34)&lt;&gt;TRUE),TRUE,FALSE)</f>
        <v>0</v>
      </c>
      <c r="R34" s="3" t="b">
        <f>IF(OR(AND(O34=G34,K34=C34,K34&gt;M34,M34&lt;&gt;E34,ISBLANK(K34)&lt;&gt;TRUE),AND(O34=G34,M34&gt;K34,K34&lt;&gt;C34,M34=E34,ISBLANK(K34)&lt;&gt;TRUE)),TRUE,FALSE)</f>
        <v>0</v>
      </c>
      <c r="S34" s="3" t="b">
        <f>IF(AND(O34=G34,ABS(K34-M34)=ABS(C34-E34),OR(K34&lt;&gt;C34,M34&lt;&gt;E34),ISBLANK(K34)&lt;&gt;TRUE),TRUE,FALSE)</f>
        <v>1</v>
      </c>
      <c r="T34" s="3" t="b">
        <f t="shared" si="8"/>
        <v>0</v>
      </c>
      <c r="U34" s="3" t="b">
        <f t="shared" si="9"/>
        <v>0</v>
      </c>
      <c r="V34" s="3"/>
      <c r="W34" s="3" cm="1">
        <f t="array" ref="W34">IF(OR(J34="Brasil",N34="Brasil"),2*_xlfn.IFS(Q34=TRUE,6,R34=TRUE,4,AND(S34=TRUE,T34=FALSE),3,T34=TRUE,2,U34=TRUE,0),_xlfn.IFS(Q34=TRUE,6,R34=TRUE,4,AND(S34=TRUE,T34=FALSE),3,T34=TRUE,2,U34=TRUE,0))</f>
        <v>3</v>
      </c>
      <c r="X34" s="3"/>
      <c r="Y34" s="3"/>
    </row>
    <row r="35" spans="1:25" ht="14.25" customHeight="1" x14ac:dyDescent="0.3">
      <c r="A35" s="3">
        <f>'Tabela de Jogos'!A35</f>
        <v>33</v>
      </c>
      <c r="B35" s="3" t="str">
        <f>'Tabela de Jogos'!B35</f>
        <v>Holanda</v>
      </c>
      <c r="C35" s="3">
        <f>'Tabela de Jogos'!C35</f>
        <v>5</v>
      </c>
      <c r="D35" s="3" t="str">
        <f>'Tabela de Jogos'!D35</f>
        <v>x</v>
      </c>
      <c r="E35" s="3">
        <f>'Tabela de Jogos'!E35</f>
        <v>1</v>
      </c>
      <c r="F35" s="3" t="str">
        <f>'Tabela de Jogos'!F35</f>
        <v>Suécia</v>
      </c>
      <c r="G35" s="3" t="str">
        <f>'Tabela de Jogos'!G35</f>
        <v>Holanda</v>
      </c>
      <c r="H35" s="3"/>
      <c r="I35" s="3">
        <f t="shared" ref="I35:J35" si="41">A35</f>
        <v>33</v>
      </c>
      <c r="J35" s="3" t="str">
        <f t="shared" si="41"/>
        <v>Holanda</v>
      </c>
      <c r="K35" s="3">
        <v>1</v>
      </c>
      <c r="L35" s="3" t="str">
        <f t="shared" si="2"/>
        <v>x</v>
      </c>
      <c r="M35" s="3">
        <v>2</v>
      </c>
      <c r="N35" s="3" t="str">
        <f t="shared" si="3"/>
        <v>Suécia</v>
      </c>
      <c r="O35" s="3" t="str">
        <f t="shared" si="4"/>
        <v>Suécia</v>
      </c>
      <c r="P35" s="3"/>
      <c r="Q35" s="3" t="b">
        <f t="shared" si="5"/>
        <v>0</v>
      </c>
      <c r="R35" s="3" t="b">
        <f t="shared" si="6"/>
        <v>0</v>
      </c>
      <c r="S35" s="3" t="b">
        <f t="shared" si="7"/>
        <v>0</v>
      </c>
      <c r="T35" s="3" t="b">
        <f t="shared" si="8"/>
        <v>0</v>
      </c>
      <c r="U35" s="3" t="b">
        <f t="shared" si="9"/>
        <v>1</v>
      </c>
      <c r="V35" s="3"/>
      <c r="W35" s="3" cm="1">
        <f t="array" ref="W35">IF(OR(J35="Brasil",N35="Brasil"),2*_xlfn.IFS(Q35=TRUE,6,R35=TRUE,4,AND(S35=TRUE,T35=FALSE),3,T35=TRUE,2,U35=TRUE,0),_xlfn.IFS(Q35=TRUE,6,R35=TRUE,4,AND(S35=TRUE,T35=FALSE),3,T35=TRUE,2,U35=TRUE,0))</f>
        <v>0</v>
      </c>
      <c r="X35" s="3"/>
      <c r="Y35" s="3"/>
    </row>
    <row r="36" spans="1:25" ht="14.25" customHeight="1" x14ac:dyDescent="0.3">
      <c r="A36" s="3">
        <f>'Tabela de Jogos'!A36</f>
        <v>34</v>
      </c>
      <c r="B36" s="3" t="str">
        <f>'Tabela de Jogos'!B36</f>
        <v>Alemanha</v>
      </c>
      <c r="C36" s="3">
        <f>'Tabela de Jogos'!C36</f>
        <v>2</v>
      </c>
      <c r="D36" s="3" t="str">
        <f>'Tabela de Jogos'!D36</f>
        <v>x</v>
      </c>
      <c r="E36" s="3">
        <f>'Tabela de Jogos'!E36</f>
        <v>1</v>
      </c>
      <c r="F36" s="3" t="str">
        <f>'Tabela de Jogos'!F36</f>
        <v>Costa do Marfim</v>
      </c>
      <c r="G36" s="3" t="str">
        <f>'Tabela de Jogos'!G36</f>
        <v>Alemanha</v>
      </c>
      <c r="H36" s="3"/>
      <c r="I36" s="3">
        <f t="shared" ref="I36:J36" si="42">A36</f>
        <v>34</v>
      </c>
      <c r="J36" s="3" t="str">
        <f t="shared" si="42"/>
        <v>Alemanha</v>
      </c>
      <c r="K36" s="3">
        <v>5</v>
      </c>
      <c r="L36" s="3" t="str">
        <f t="shared" si="2"/>
        <v>x</v>
      </c>
      <c r="M36" s="3">
        <v>0</v>
      </c>
      <c r="N36" s="3" t="str">
        <f t="shared" si="3"/>
        <v>Costa do Marfim</v>
      </c>
      <c r="O36" s="3" t="str">
        <f t="shared" si="4"/>
        <v>Alemanha</v>
      </c>
      <c r="P36" s="3"/>
      <c r="Q36" s="3" t="b">
        <f t="shared" si="5"/>
        <v>0</v>
      </c>
      <c r="R36" s="3" t="b">
        <f t="shared" si="6"/>
        <v>0</v>
      </c>
      <c r="S36" s="3" t="b">
        <f t="shared" si="7"/>
        <v>0</v>
      </c>
      <c r="T36" s="3" t="b">
        <f t="shared" si="8"/>
        <v>1</v>
      </c>
      <c r="U36" s="3" t="b">
        <f t="shared" si="9"/>
        <v>0</v>
      </c>
      <c r="V36" s="3"/>
      <c r="W36" s="3" cm="1">
        <f t="array" ref="W36">IF(OR(J36="Brasil",N36="Brasil"),2*_xlfn.IFS(Q36=TRUE,6,R36=TRUE,4,AND(S36=TRUE,T36=FALSE),3,T36=TRUE,2,U36=TRUE,0),_xlfn.IFS(Q36=TRUE,6,R36=TRUE,4,AND(S36=TRUE,T36=FALSE),3,T36=TRUE,2,U36=TRUE,0))</f>
        <v>2</v>
      </c>
      <c r="X36" s="3"/>
      <c r="Y36" s="3"/>
    </row>
    <row r="37" spans="1:25" ht="14.25" customHeight="1" x14ac:dyDescent="0.3">
      <c r="A37" s="3">
        <f>'Tabela de Jogos'!A37</f>
        <v>35</v>
      </c>
      <c r="B37" s="3" t="str">
        <f>'Tabela de Jogos'!B37</f>
        <v>Equador</v>
      </c>
      <c r="C37" s="3">
        <f>'Tabela de Jogos'!C37</f>
        <v>0</v>
      </c>
      <c r="D37" s="3" t="str">
        <f>'Tabela de Jogos'!D37</f>
        <v>x</v>
      </c>
      <c r="E37" s="3">
        <f>'Tabela de Jogos'!E37</f>
        <v>0</v>
      </c>
      <c r="F37" s="3" t="str">
        <f>'Tabela de Jogos'!F37</f>
        <v>Curaçao</v>
      </c>
      <c r="G37" s="3" t="str">
        <f>'Tabela de Jogos'!G37</f>
        <v>Empate</v>
      </c>
      <c r="H37" s="3"/>
      <c r="I37" s="3">
        <f t="shared" ref="I37:J37" si="43">A37</f>
        <v>35</v>
      </c>
      <c r="J37" s="3" t="str">
        <f t="shared" si="43"/>
        <v>Equador</v>
      </c>
      <c r="K37" s="3">
        <v>2</v>
      </c>
      <c r="L37" s="3" t="str">
        <f t="shared" si="2"/>
        <v>x</v>
      </c>
      <c r="M37" s="3">
        <v>1</v>
      </c>
      <c r="N37" s="3" t="str">
        <f t="shared" si="3"/>
        <v>Curaçao</v>
      </c>
      <c r="O37" s="3" t="str">
        <f t="shared" si="4"/>
        <v>Equador</v>
      </c>
      <c r="P37" s="3"/>
      <c r="Q37" s="3" t="b">
        <f t="shared" si="5"/>
        <v>0</v>
      </c>
      <c r="R37" s="3" t="b">
        <f t="shared" si="6"/>
        <v>0</v>
      </c>
      <c r="S37" s="3" t="b">
        <f t="shared" si="7"/>
        <v>0</v>
      </c>
      <c r="T37" s="3" t="b">
        <f t="shared" si="8"/>
        <v>0</v>
      </c>
      <c r="U37" s="3" t="b">
        <f t="shared" si="9"/>
        <v>1</v>
      </c>
      <c r="V37" s="3"/>
      <c r="W37" s="3" cm="1">
        <f t="array" ref="W37">IF(OR(J37="Brasil",N37="Brasil"),2*_xlfn.IFS(Q37=TRUE,6,R37=TRUE,4,AND(S37=TRUE,T37=FALSE),3,T37=TRUE,2,U37=TRUE,0),_xlfn.IFS(Q37=TRUE,6,R37=TRUE,4,AND(S37=TRUE,T37=FALSE),3,T37=TRUE,2,U37=TRUE,0))</f>
        <v>0</v>
      </c>
      <c r="X37" s="3"/>
      <c r="Y37" s="3"/>
    </row>
    <row r="38" spans="1:25" ht="14.25" customHeight="1" x14ac:dyDescent="0.3">
      <c r="A38" s="3">
        <f>'Tabela de Jogos'!A38</f>
        <v>36</v>
      </c>
      <c r="B38" s="3" t="str">
        <f>'Tabela de Jogos'!B38</f>
        <v>Tunísia</v>
      </c>
      <c r="C38" s="3">
        <f>'Tabela de Jogos'!C38</f>
        <v>0</v>
      </c>
      <c r="D38" s="3" t="str">
        <f>'Tabela de Jogos'!D38</f>
        <v>x</v>
      </c>
      <c r="E38" s="3">
        <f>'Tabela de Jogos'!E38</f>
        <v>4</v>
      </c>
      <c r="F38" s="3" t="str">
        <f>'Tabela de Jogos'!F38</f>
        <v>Japão</v>
      </c>
      <c r="G38" s="3" t="str">
        <f>'Tabela de Jogos'!G38</f>
        <v>Japão</v>
      </c>
      <c r="H38" s="3"/>
      <c r="I38" s="3">
        <f t="shared" ref="I38:J38" si="44">A38</f>
        <v>36</v>
      </c>
      <c r="J38" s="3" t="str">
        <f t="shared" si="44"/>
        <v>Tunísia</v>
      </c>
      <c r="K38" s="3">
        <v>0</v>
      </c>
      <c r="L38" s="3" t="str">
        <f t="shared" si="2"/>
        <v>x</v>
      </c>
      <c r="M38" s="3">
        <v>3</v>
      </c>
      <c r="N38" s="3" t="str">
        <f t="shared" si="3"/>
        <v>Japão</v>
      </c>
      <c r="O38" s="3" t="str">
        <f t="shared" si="4"/>
        <v>Japão</v>
      </c>
      <c r="P38" s="3"/>
      <c r="Q38" s="3" t="b">
        <f t="shared" si="5"/>
        <v>0</v>
      </c>
      <c r="R38" s="3" t="b">
        <f t="shared" si="6"/>
        <v>0</v>
      </c>
      <c r="S38" s="3" t="b">
        <f t="shared" si="7"/>
        <v>0</v>
      </c>
      <c r="T38" s="3" t="b">
        <f t="shared" si="8"/>
        <v>1</v>
      </c>
      <c r="U38" s="3" t="b">
        <f t="shared" si="9"/>
        <v>0</v>
      </c>
      <c r="V38" s="3"/>
      <c r="W38" s="3" cm="1">
        <f t="array" ref="W38">IF(OR(J38="Brasil",N38="Brasil"),2*_xlfn.IFS(Q38=TRUE,6,R38=TRUE,4,AND(S38=TRUE,T38=FALSE),3,T38=TRUE,2,U38=TRUE,0),_xlfn.IFS(Q38=TRUE,6,R38=TRUE,4,AND(S38=TRUE,T38=FALSE),3,T38=TRUE,2,U38=TRUE,0))</f>
        <v>2</v>
      </c>
      <c r="X38" s="3"/>
      <c r="Y38" s="3"/>
    </row>
    <row r="39" spans="1:25" ht="14.25" customHeight="1" x14ac:dyDescent="0.3">
      <c r="A39" s="3">
        <f>'Tabela de Jogos'!A39</f>
        <v>37</v>
      </c>
      <c r="B39" s="3" t="str">
        <f>'Tabela de Jogos'!B39</f>
        <v>Espanha</v>
      </c>
      <c r="C39" s="3">
        <f>'Tabela de Jogos'!C39</f>
        <v>4</v>
      </c>
      <c r="D39" s="3" t="str">
        <f>'Tabela de Jogos'!D39</f>
        <v>x</v>
      </c>
      <c r="E39" s="3">
        <f>'Tabela de Jogos'!E39</f>
        <v>0</v>
      </c>
      <c r="F39" s="3" t="str">
        <f>'Tabela de Jogos'!F39</f>
        <v>Arábia Saudita</v>
      </c>
      <c r="G39" s="3" t="str">
        <f>'Tabela de Jogos'!G39</f>
        <v>Espanha</v>
      </c>
      <c r="H39" s="3"/>
      <c r="I39" s="3">
        <f t="shared" ref="I39:J39" si="45">A39</f>
        <v>37</v>
      </c>
      <c r="J39" s="3" t="str">
        <f t="shared" si="45"/>
        <v>Espanha</v>
      </c>
      <c r="K39" s="3">
        <v>3</v>
      </c>
      <c r="L39" s="3" t="str">
        <f t="shared" si="2"/>
        <v>x</v>
      </c>
      <c r="M39" s="3">
        <v>0</v>
      </c>
      <c r="N39" s="3" t="str">
        <f t="shared" si="3"/>
        <v>Arábia Saudita</v>
      </c>
      <c r="O39" s="3" t="str">
        <f t="shared" si="4"/>
        <v>Espanha</v>
      </c>
      <c r="P39" s="3"/>
      <c r="Q39" s="3" t="b">
        <f t="shared" si="5"/>
        <v>0</v>
      </c>
      <c r="R39" s="3" t="b">
        <f t="shared" si="6"/>
        <v>0</v>
      </c>
      <c r="S39" s="3" t="b">
        <f t="shared" si="7"/>
        <v>0</v>
      </c>
      <c r="T39" s="3" t="b">
        <f t="shared" si="8"/>
        <v>1</v>
      </c>
      <c r="U39" s="3" t="b">
        <f t="shared" si="9"/>
        <v>0</v>
      </c>
      <c r="V39" s="3"/>
      <c r="W39" s="3" cm="1">
        <f t="array" ref="W39">IF(OR(J39="Brasil",N39="Brasil"),2*_xlfn.IFS(Q39=TRUE,6,R39=TRUE,4,AND(S39=TRUE,T39=FALSE),3,T39=TRUE,2,U39=TRUE,0),_xlfn.IFS(Q39=TRUE,6,R39=TRUE,4,AND(S39=TRUE,T39=FALSE),3,T39=TRUE,2,U39=TRUE,0))</f>
        <v>2</v>
      </c>
      <c r="X39" s="3"/>
      <c r="Y39" s="3"/>
    </row>
    <row r="40" spans="1:25" ht="14.25" customHeight="1" x14ac:dyDescent="0.3">
      <c r="A40" s="3">
        <f>'Tabela de Jogos'!A40</f>
        <v>38</v>
      </c>
      <c r="B40" s="3" t="str">
        <f>'Tabela de Jogos'!B40</f>
        <v>Bélgica</v>
      </c>
      <c r="C40" s="3">
        <f>'Tabela de Jogos'!C40</f>
        <v>0</v>
      </c>
      <c r="D40" s="3" t="str">
        <f>'Tabela de Jogos'!D40</f>
        <v>x</v>
      </c>
      <c r="E40" s="3">
        <f>'Tabela de Jogos'!E40</f>
        <v>0</v>
      </c>
      <c r="F40" s="3" t="str">
        <f>'Tabela de Jogos'!F40</f>
        <v>Irã</v>
      </c>
      <c r="G40" s="3" t="str">
        <f>'Tabela de Jogos'!G40</f>
        <v>Empate</v>
      </c>
      <c r="H40" s="3"/>
      <c r="I40" s="3">
        <f t="shared" ref="I40:J40" si="46">A40</f>
        <v>38</v>
      </c>
      <c r="J40" s="3" t="str">
        <f t="shared" si="46"/>
        <v>Bélgica</v>
      </c>
      <c r="K40" s="3">
        <v>2</v>
      </c>
      <c r="L40" s="3" t="str">
        <f t="shared" si="2"/>
        <v>x</v>
      </c>
      <c r="M40" s="3">
        <v>1</v>
      </c>
      <c r="N40" s="3" t="str">
        <f t="shared" si="3"/>
        <v>Irã</v>
      </c>
      <c r="O40" s="3" t="str">
        <f t="shared" si="4"/>
        <v>Bélgica</v>
      </c>
      <c r="P40" s="3"/>
      <c r="Q40" s="3" t="b">
        <f t="shared" si="5"/>
        <v>0</v>
      </c>
      <c r="R40" s="3" t="b">
        <f t="shared" si="6"/>
        <v>0</v>
      </c>
      <c r="S40" s="3" t="b">
        <f t="shared" si="7"/>
        <v>0</v>
      </c>
      <c r="T40" s="3" t="b">
        <f t="shared" si="8"/>
        <v>0</v>
      </c>
      <c r="U40" s="3" t="b">
        <f t="shared" si="9"/>
        <v>1</v>
      </c>
      <c r="V40" s="3"/>
      <c r="W40" s="3" cm="1">
        <f t="array" ref="W40">IF(OR(J40="Brasil",N40="Brasil"),2*_xlfn.IFS(Q40=TRUE,6,R40=TRUE,4,AND(S40=TRUE,T40=FALSE),3,T40=TRUE,2,U40=TRUE,0),_xlfn.IFS(Q40=TRUE,6,R40=TRUE,4,AND(S40=TRUE,T40=FALSE),3,T40=TRUE,2,U40=TRUE,0))</f>
        <v>0</v>
      </c>
      <c r="X40" s="3"/>
      <c r="Y40" s="3"/>
    </row>
    <row r="41" spans="1:25" ht="14.25" customHeight="1" x14ac:dyDescent="0.3">
      <c r="A41" s="3">
        <f>'Tabela de Jogos'!A41</f>
        <v>39</v>
      </c>
      <c r="B41" s="3" t="str">
        <f>'Tabela de Jogos'!B41</f>
        <v>Uruguai</v>
      </c>
      <c r="C41" s="3">
        <f>'Tabela de Jogos'!C41</f>
        <v>2</v>
      </c>
      <c r="D41" s="3" t="str">
        <f>'Tabela de Jogos'!D41</f>
        <v>x</v>
      </c>
      <c r="E41" s="3">
        <f>'Tabela de Jogos'!E41</f>
        <v>2</v>
      </c>
      <c r="F41" s="3" t="str">
        <f>'Tabela de Jogos'!F41</f>
        <v>Cabo Verde</v>
      </c>
      <c r="G41" s="3" t="str">
        <f>'Tabela de Jogos'!G41</f>
        <v>Empate</v>
      </c>
      <c r="H41" s="3"/>
      <c r="I41" s="3">
        <f t="shared" ref="I41:J41" si="47">A41</f>
        <v>39</v>
      </c>
      <c r="J41" s="3" t="str">
        <f t="shared" si="47"/>
        <v>Uruguai</v>
      </c>
      <c r="K41" s="3">
        <v>1</v>
      </c>
      <c r="L41" s="3" t="str">
        <f t="shared" si="2"/>
        <v>x</v>
      </c>
      <c r="M41" s="3">
        <v>0</v>
      </c>
      <c r="N41" s="3" t="str">
        <f t="shared" si="3"/>
        <v>Cabo Verde</v>
      </c>
      <c r="O41" s="3" t="str">
        <f t="shared" si="4"/>
        <v>Uruguai</v>
      </c>
      <c r="P41" s="3"/>
      <c r="Q41" s="3" t="b">
        <f t="shared" si="5"/>
        <v>0</v>
      </c>
      <c r="R41" s="3" t="b">
        <f t="shared" si="6"/>
        <v>0</v>
      </c>
      <c r="S41" s="3" t="b">
        <f t="shared" si="7"/>
        <v>0</v>
      </c>
      <c r="T41" s="3" t="b">
        <f t="shared" si="8"/>
        <v>0</v>
      </c>
      <c r="U41" s="3" t="b">
        <f t="shared" si="9"/>
        <v>1</v>
      </c>
      <c r="V41" s="3"/>
      <c r="W41" s="3" cm="1">
        <f t="array" ref="W41">IF(OR(J41="Brasil",N41="Brasil"),2*_xlfn.IFS(Q41=TRUE,6,R41=TRUE,4,AND(S41=TRUE,T41=FALSE),3,T41=TRUE,2,U41=TRUE,0),_xlfn.IFS(Q41=TRUE,6,R41=TRUE,4,AND(S41=TRUE,T41=FALSE),3,T41=TRUE,2,U41=TRUE,0))</f>
        <v>0</v>
      </c>
      <c r="X41" s="3"/>
      <c r="Y41" s="3"/>
    </row>
    <row r="42" spans="1:25" ht="14.25" customHeight="1" x14ac:dyDescent="0.3">
      <c r="A42" s="3">
        <f>'Tabela de Jogos'!A42</f>
        <v>40</v>
      </c>
      <c r="B42" s="3" t="str">
        <f>'Tabela de Jogos'!B42</f>
        <v>Nova Zelândia</v>
      </c>
      <c r="C42" s="3">
        <f>'Tabela de Jogos'!C42</f>
        <v>1</v>
      </c>
      <c r="D42" s="3" t="str">
        <f>'Tabela de Jogos'!D42</f>
        <v>x</v>
      </c>
      <c r="E42" s="3">
        <f>'Tabela de Jogos'!E42</f>
        <v>3</v>
      </c>
      <c r="F42" s="3" t="str">
        <f>'Tabela de Jogos'!F42</f>
        <v>Egito</v>
      </c>
      <c r="G42" s="3" t="str">
        <f>'Tabela de Jogos'!G42</f>
        <v>Egito</v>
      </c>
      <c r="H42" s="3"/>
      <c r="I42" s="3">
        <f t="shared" ref="I42:J42" si="48">A42</f>
        <v>40</v>
      </c>
      <c r="J42" s="3" t="str">
        <f t="shared" si="48"/>
        <v>Nova Zelândia</v>
      </c>
      <c r="K42" s="3">
        <v>2</v>
      </c>
      <c r="L42" s="3" t="str">
        <f t="shared" si="2"/>
        <v>x</v>
      </c>
      <c r="M42" s="3">
        <v>2</v>
      </c>
      <c r="N42" s="3" t="str">
        <f t="shared" si="3"/>
        <v>Egito</v>
      </c>
      <c r="O42" s="3" t="str">
        <f t="shared" si="4"/>
        <v>Empate</v>
      </c>
      <c r="P42" s="3"/>
      <c r="Q42" s="3" t="b">
        <f t="shared" si="5"/>
        <v>0</v>
      </c>
      <c r="R42" s="3" t="b">
        <f t="shared" si="6"/>
        <v>0</v>
      </c>
      <c r="S42" s="3" t="b">
        <f t="shared" si="7"/>
        <v>0</v>
      </c>
      <c r="T42" s="3" t="b">
        <f t="shared" si="8"/>
        <v>0</v>
      </c>
      <c r="U42" s="3" t="b">
        <f t="shared" si="9"/>
        <v>1</v>
      </c>
      <c r="V42" s="3"/>
      <c r="W42" s="3" cm="1">
        <f t="array" ref="W42">IF(OR(J42="Brasil",N42="Brasil"),2*_xlfn.IFS(Q42=TRUE,6,R42=TRUE,4,AND(S42=TRUE,T42=FALSE),3,T42=TRUE,2,U42=TRUE,0),_xlfn.IFS(Q42=TRUE,6,R42=TRUE,4,AND(S42=TRUE,T42=FALSE),3,T42=TRUE,2,U42=TRUE,0))</f>
        <v>0</v>
      </c>
      <c r="X42" s="3"/>
      <c r="Y42" s="3"/>
    </row>
    <row r="43" spans="1:25" ht="14.25" customHeight="1" x14ac:dyDescent="0.3">
      <c r="A43" s="3">
        <f>'Tabela de Jogos'!A43</f>
        <v>41</v>
      </c>
      <c r="B43" s="3" t="str">
        <f>'Tabela de Jogos'!B43</f>
        <v>Argentina</v>
      </c>
      <c r="C43" s="3">
        <f>'Tabela de Jogos'!C43</f>
        <v>2</v>
      </c>
      <c r="D43" s="3" t="str">
        <f>'Tabela de Jogos'!D43</f>
        <v>x</v>
      </c>
      <c r="E43" s="3">
        <f>'Tabela de Jogos'!E43</f>
        <v>0</v>
      </c>
      <c r="F43" s="3" t="str">
        <f>'Tabela de Jogos'!F43</f>
        <v>Áustria</v>
      </c>
      <c r="G43" s="3" t="str">
        <f>'Tabela de Jogos'!G43</f>
        <v>Argentina</v>
      </c>
      <c r="H43" s="3"/>
      <c r="I43" s="3">
        <f t="shared" ref="I43:J43" si="49">A43</f>
        <v>41</v>
      </c>
      <c r="J43" s="3" t="str">
        <f t="shared" si="49"/>
        <v>Argentina</v>
      </c>
      <c r="K43" s="3">
        <v>4</v>
      </c>
      <c r="L43" s="3" t="str">
        <f t="shared" si="2"/>
        <v>x</v>
      </c>
      <c r="M43" s="3">
        <v>2</v>
      </c>
      <c r="N43" s="3" t="str">
        <f t="shared" si="3"/>
        <v>Áustria</v>
      </c>
      <c r="O43" s="3" t="str">
        <f t="shared" si="4"/>
        <v>Argentina</v>
      </c>
      <c r="P43" s="3"/>
      <c r="Q43" s="3" t="b">
        <f t="shared" si="5"/>
        <v>0</v>
      </c>
      <c r="R43" s="3" t="b">
        <f t="shared" si="6"/>
        <v>0</v>
      </c>
      <c r="S43" s="3" t="b">
        <f t="shared" si="7"/>
        <v>1</v>
      </c>
      <c r="T43" s="3" t="b">
        <f t="shared" si="8"/>
        <v>0</v>
      </c>
      <c r="U43" s="3" t="b">
        <f t="shared" si="9"/>
        <v>0</v>
      </c>
      <c r="V43" s="3"/>
      <c r="W43" s="3" cm="1">
        <f t="array" ref="W43">IF(OR(J43="Brasil",N43="Brasil"),2*_xlfn.IFS(Q43=TRUE,6,R43=TRUE,4,AND(S43=TRUE,T43=FALSE),3,T43=TRUE,2,U43=TRUE,0),_xlfn.IFS(Q43=TRUE,6,R43=TRUE,4,AND(S43=TRUE,T43=FALSE),3,T43=TRUE,2,U43=TRUE,0))</f>
        <v>3</v>
      </c>
      <c r="X43" s="3"/>
      <c r="Y43" s="3"/>
    </row>
    <row r="44" spans="1:25" ht="14.25" customHeight="1" x14ac:dyDescent="0.3">
      <c r="A44" s="3">
        <f>'Tabela de Jogos'!A44</f>
        <v>42</v>
      </c>
      <c r="B44" s="3" t="str">
        <f>'Tabela de Jogos'!B44</f>
        <v>França</v>
      </c>
      <c r="C44" s="3">
        <f>'Tabela de Jogos'!C44</f>
        <v>3</v>
      </c>
      <c r="D44" s="3" t="str">
        <f>'Tabela de Jogos'!D44</f>
        <v>x</v>
      </c>
      <c r="E44" s="3">
        <f>'Tabela de Jogos'!E44</f>
        <v>0</v>
      </c>
      <c r="F44" s="3" t="str">
        <f>'Tabela de Jogos'!F44</f>
        <v>Iraque</v>
      </c>
      <c r="G44" s="3" t="str">
        <f>'Tabela de Jogos'!G44</f>
        <v>França</v>
      </c>
      <c r="H44" s="3"/>
      <c r="I44" s="3">
        <f t="shared" ref="I44:J44" si="50">A44</f>
        <v>42</v>
      </c>
      <c r="J44" s="3" t="str">
        <f t="shared" si="50"/>
        <v>França</v>
      </c>
      <c r="K44" s="3">
        <v>4</v>
      </c>
      <c r="L44" s="3" t="str">
        <f t="shared" si="2"/>
        <v>x</v>
      </c>
      <c r="M44" s="3">
        <v>1</v>
      </c>
      <c r="N44" s="3" t="str">
        <f t="shared" si="3"/>
        <v>Iraque</v>
      </c>
      <c r="O44" s="3" t="str">
        <f t="shared" si="4"/>
        <v>França</v>
      </c>
      <c r="P44" s="3"/>
      <c r="Q44" s="3" t="b">
        <f t="shared" si="5"/>
        <v>0</v>
      </c>
      <c r="R44" s="3" t="b">
        <f t="shared" si="6"/>
        <v>0</v>
      </c>
      <c r="S44" s="3" t="b">
        <f t="shared" si="7"/>
        <v>1</v>
      </c>
      <c r="T44" s="3" t="b">
        <f t="shared" si="8"/>
        <v>0</v>
      </c>
      <c r="U44" s="3" t="b">
        <f t="shared" si="9"/>
        <v>0</v>
      </c>
      <c r="V44" s="3"/>
      <c r="W44" s="3" cm="1">
        <f t="array" ref="W44">IF(OR(J44="Brasil",N44="Brasil"),2*_xlfn.IFS(Q44=TRUE,6,R44=TRUE,4,AND(S44=TRUE,T44=FALSE),3,T44=TRUE,2,U44=TRUE,0),_xlfn.IFS(Q44=TRUE,6,R44=TRUE,4,AND(S44=TRUE,T44=FALSE),3,T44=TRUE,2,U44=TRUE,0))</f>
        <v>3</v>
      </c>
      <c r="X44" s="3"/>
      <c r="Y44" s="3"/>
    </row>
    <row r="45" spans="1:25" ht="14.25" customHeight="1" x14ac:dyDescent="0.3">
      <c r="A45" s="3">
        <f>'Tabela de Jogos'!A45</f>
        <v>43</v>
      </c>
      <c r="B45" s="3" t="str">
        <f>'Tabela de Jogos'!B45</f>
        <v>Noruega</v>
      </c>
      <c r="C45" s="3">
        <f>'Tabela de Jogos'!C45</f>
        <v>3</v>
      </c>
      <c r="D45" s="3" t="str">
        <f>'Tabela de Jogos'!D45</f>
        <v>x</v>
      </c>
      <c r="E45" s="3">
        <f>'Tabela de Jogos'!E45</f>
        <v>2</v>
      </c>
      <c r="F45" s="3" t="str">
        <f>'Tabela de Jogos'!F45</f>
        <v>Senegal</v>
      </c>
      <c r="G45" s="3" t="str">
        <f>'Tabela de Jogos'!G45</f>
        <v>Noruega</v>
      </c>
      <c r="H45" s="3"/>
      <c r="I45" s="3">
        <f t="shared" ref="I45:J45" si="51">A45</f>
        <v>43</v>
      </c>
      <c r="J45" s="3" t="str">
        <f t="shared" si="51"/>
        <v>Noruega</v>
      </c>
      <c r="K45" s="3">
        <v>3</v>
      </c>
      <c r="L45" s="3" t="str">
        <f t="shared" si="2"/>
        <v>x</v>
      </c>
      <c r="M45" s="3">
        <v>1</v>
      </c>
      <c r="N45" s="3" t="str">
        <f t="shared" si="3"/>
        <v>Senegal</v>
      </c>
      <c r="O45" s="3" t="str">
        <f t="shared" si="4"/>
        <v>Noruega</v>
      </c>
      <c r="P45" s="3"/>
      <c r="Q45" s="3" t="b">
        <f t="shared" si="5"/>
        <v>0</v>
      </c>
      <c r="R45" s="3" t="b">
        <f t="shared" si="6"/>
        <v>1</v>
      </c>
      <c r="S45" s="3" t="b">
        <f t="shared" si="7"/>
        <v>0</v>
      </c>
      <c r="T45" s="3" t="b">
        <f t="shared" si="8"/>
        <v>0</v>
      </c>
      <c r="U45" s="3" t="b">
        <f t="shared" si="9"/>
        <v>0</v>
      </c>
      <c r="V45" s="3"/>
      <c r="W45" s="3" cm="1">
        <f t="array" ref="W45">IF(OR(J45="Brasil",N45="Brasil"),2*_xlfn.IFS(Q45=TRUE,6,R45=TRUE,4,AND(S45=TRUE,T45=FALSE),3,T45=TRUE,2,U45=TRUE,0),_xlfn.IFS(Q45=TRUE,6,R45=TRUE,4,AND(S45=TRUE,T45=FALSE),3,T45=TRUE,2,U45=TRUE,0))</f>
        <v>4</v>
      </c>
      <c r="X45" s="3"/>
      <c r="Y45" s="3"/>
    </row>
    <row r="46" spans="1:25" ht="14.25" customHeight="1" x14ac:dyDescent="0.3">
      <c r="A46" s="3">
        <f>'Tabela de Jogos'!A46</f>
        <v>44</v>
      </c>
      <c r="B46" s="3" t="str">
        <f>'Tabela de Jogos'!B46</f>
        <v>Jordânia</v>
      </c>
      <c r="C46" s="3">
        <f>'Tabela de Jogos'!C46</f>
        <v>1</v>
      </c>
      <c r="D46" s="3" t="str">
        <f>'Tabela de Jogos'!D46</f>
        <v>x</v>
      </c>
      <c r="E46" s="3">
        <f>'Tabela de Jogos'!E46</f>
        <v>2</v>
      </c>
      <c r="F46" s="3" t="str">
        <f>'Tabela de Jogos'!F46</f>
        <v>Argélia</v>
      </c>
      <c r="G46" s="3" t="str">
        <f>'Tabela de Jogos'!G46</f>
        <v>Argélia</v>
      </c>
      <c r="H46" s="3"/>
      <c r="I46" s="3">
        <f t="shared" ref="I46:J46" si="52">A46</f>
        <v>44</v>
      </c>
      <c r="J46" s="3" t="str">
        <f t="shared" si="52"/>
        <v>Jordânia</v>
      </c>
      <c r="K46" s="3">
        <v>0</v>
      </c>
      <c r="L46" s="3" t="str">
        <f t="shared" si="2"/>
        <v>x</v>
      </c>
      <c r="M46" s="3">
        <v>1</v>
      </c>
      <c r="N46" s="3" t="str">
        <f t="shared" si="3"/>
        <v>Argélia</v>
      </c>
      <c r="O46" s="3" t="str">
        <f t="shared" si="4"/>
        <v>Argélia</v>
      </c>
      <c r="P46" s="3"/>
      <c r="Q46" s="3" t="b">
        <f t="shared" si="5"/>
        <v>0</v>
      </c>
      <c r="R46" s="3" t="b">
        <f t="shared" si="6"/>
        <v>0</v>
      </c>
      <c r="S46" s="3" t="b">
        <f t="shared" si="7"/>
        <v>1</v>
      </c>
      <c r="T46" s="3" t="b">
        <f t="shared" si="8"/>
        <v>0</v>
      </c>
      <c r="U46" s="3" t="b">
        <f t="shared" si="9"/>
        <v>0</v>
      </c>
      <c r="V46" s="3"/>
      <c r="W46" s="3" cm="1">
        <f t="array" ref="W46">IF(OR(J46="Brasil",N46="Brasil"),2*_xlfn.IFS(Q46=TRUE,6,R46=TRUE,4,AND(S46=TRUE,T46=FALSE),3,T46=TRUE,2,U46=TRUE,0),_xlfn.IFS(Q46=TRUE,6,R46=TRUE,4,AND(S46=TRUE,T46=FALSE),3,T46=TRUE,2,U46=TRUE,0))</f>
        <v>3</v>
      </c>
      <c r="X46" s="3"/>
      <c r="Y46" s="3"/>
    </row>
    <row r="47" spans="1:25" ht="14.25" customHeight="1" x14ac:dyDescent="0.3">
      <c r="A47" s="3">
        <f>'Tabela de Jogos'!A47</f>
        <v>45</v>
      </c>
      <c r="B47" s="3" t="str">
        <f>'Tabela de Jogos'!B47</f>
        <v>Portugal</v>
      </c>
      <c r="C47" s="3">
        <f>'Tabela de Jogos'!C47</f>
        <v>5</v>
      </c>
      <c r="D47" s="3" t="str">
        <f>'Tabela de Jogos'!D47</f>
        <v>x</v>
      </c>
      <c r="E47" s="3">
        <f>'Tabela de Jogos'!E47</f>
        <v>0</v>
      </c>
      <c r="F47" s="3" t="str">
        <f>'Tabela de Jogos'!F47</f>
        <v>Uzbequistão</v>
      </c>
      <c r="G47" s="3" t="str">
        <f>'Tabela de Jogos'!G47</f>
        <v>Portugal</v>
      </c>
      <c r="H47" s="3"/>
      <c r="I47" s="3">
        <f t="shared" ref="I47:J47" si="53">A47</f>
        <v>45</v>
      </c>
      <c r="J47" s="3" t="str">
        <f t="shared" si="53"/>
        <v>Portugal</v>
      </c>
      <c r="K47" s="3">
        <v>3</v>
      </c>
      <c r="L47" s="3" t="str">
        <f t="shared" si="2"/>
        <v>x</v>
      </c>
      <c r="M47" s="3">
        <v>1</v>
      </c>
      <c r="N47" s="3" t="str">
        <f t="shared" si="3"/>
        <v>Uzbequistão</v>
      </c>
      <c r="O47" s="3" t="str">
        <f t="shared" si="4"/>
        <v>Portugal</v>
      </c>
      <c r="P47" s="3"/>
      <c r="Q47" s="3" t="b">
        <f t="shared" si="5"/>
        <v>0</v>
      </c>
      <c r="R47" s="3" t="b">
        <f t="shared" si="6"/>
        <v>0</v>
      </c>
      <c r="S47" s="3" t="b">
        <f t="shared" si="7"/>
        <v>0</v>
      </c>
      <c r="T47" s="3" t="b">
        <f t="shared" si="8"/>
        <v>1</v>
      </c>
      <c r="U47" s="3" t="b">
        <f t="shared" si="9"/>
        <v>0</v>
      </c>
      <c r="V47" s="3"/>
      <c r="W47" s="3" cm="1">
        <f t="array" ref="W47">IF(OR(J47="Brasil",N47="Brasil"),2*_xlfn.IFS(Q47=TRUE,6,R47=TRUE,4,AND(S47=TRUE,T47=FALSE),3,T47=TRUE,2,U47=TRUE,0),_xlfn.IFS(Q47=TRUE,6,R47=TRUE,4,AND(S47=TRUE,T47=FALSE),3,T47=TRUE,2,U47=TRUE,0))</f>
        <v>2</v>
      </c>
      <c r="X47" s="3"/>
      <c r="Y47" s="3"/>
    </row>
    <row r="48" spans="1:25" ht="14.25" customHeight="1" x14ac:dyDescent="0.3">
      <c r="A48" s="3">
        <f>'Tabela de Jogos'!A48</f>
        <v>46</v>
      </c>
      <c r="B48" s="3" t="str">
        <f>'Tabela de Jogos'!B48</f>
        <v>Inglaterra</v>
      </c>
      <c r="C48" s="3">
        <f>'Tabela de Jogos'!C48</f>
        <v>0</v>
      </c>
      <c r="D48" s="3" t="str">
        <f>'Tabela de Jogos'!D48</f>
        <v>x</v>
      </c>
      <c r="E48" s="3">
        <f>'Tabela de Jogos'!E48</f>
        <v>0</v>
      </c>
      <c r="F48" s="3" t="str">
        <f>'Tabela de Jogos'!F48</f>
        <v>Gana</v>
      </c>
      <c r="G48" s="3" t="str">
        <f>'Tabela de Jogos'!G48</f>
        <v>Empate</v>
      </c>
      <c r="H48" s="3"/>
      <c r="I48" s="3">
        <f t="shared" ref="I48:J48" si="54">A48</f>
        <v>46</v>
      </c>
      <c r="J48" s="3" t="str">
        <f t="shared" si="54"/>
        <v>Inglaterra</v>
      </c>
      <c r="K48" s="3">
        <v>4</v>
      </c>
      <c r="L48" s="3" t="str">
        <f t="shared" si="2"/>
        <v>x</v>
      </c>
      <c r="M48" s="3">
        <v>1</v>
      </c>
      <c r="N48" s="3" t="str">
        <f t="shared" si="3"/>
        <v>Gana</v>
      </c>
      <c r="O48" s="3" t="str">
        <f t="shared" si="4"/>
        <v>Inglaterra</v>
      </c>
      <c r="P48" s="3"/>
      <c r="Q48" s="3" t="b">
        <f t="shared" si="5"/>
        <v>0</v>
      </c>
      <c r="R48" s="3" t="b">
        <f t="shared" si="6"/>
        <v>0</v>
      </c>
      <c r="S48" s="3" t="b">
        <f t="shared" si="7"/>
        <v>0</v>
      </c>
      <c r="T48" s="3" t="b">
        <f t="shared" si="8"/>
        <v>0</v>
      </c>
      <c r="U48" s="3" t="b">
        <f t="shared" si="9"/>
        <v>1</v>
      </c>
      <c r="V48" s="3"/>
      <c r="W48" s="3" cm="1">
        <f t="array" ref="W48">IF(OR(J48="Brasil",N48="Brasil"),2*_xlfn.IFS(Q48=TRUE,6,R48=TRUE,4,AND(S48=TRUE,T48=FALSE),3,T48=TRUE,2,U48=TRUE,0),_xlfn.IFS(Q48=TRUE,6,R48=TRUE,4,AND(S48=TRUE,T48=FALSE),3,T48=TRUE,2,U48=TRUE,0))</f>
        <v>0</v>
      </c>
      <c r="X48" s="3"/>
      <c r="Y48" s="3"/>
    </row>
    <row r="49" spans="1:25" ht="14.25" customHeight="1" x14ac:dyDescent="0.3">
      <c r="A49" s="3">
        <f>'Tabela de Jogos'!A49</f>
        <v>47</v>
      </c>
      <c r="B49" s="3" t="str">
        <f>'Tabela de Jogos'!B49</f>
        <v>Panamá</v>
      </c>
      <c r="C49" s="3">
        <f>'Tabela de Jogos'!C49</f>
        <v>0</v>
      </c>
      <c r="D49" s="3" t="str">
        <f>'Tabela de Jogos'!D49</f>
        <v>x</v>
      </c>
      <c r="E49" s="3">
        <f>'Tabela de Jogos'!E49</f>
        <v>1</v>
      </c>
      <c r="F49" s="3" t="str">
        <f>'Tabela de Jogos'!F49</f>
        <v>Croácia</v>
      </c>
      <c r="G49" s="3" t="str">
        <f>'Tabela de Jogos'!G49</f>
        <v>Croácia</v>
      </c>
      <c r="H49" s="3"/>
      <c r="I49" s="3">
        <f t="shared" ref="I49:J49" si="55">A49</f>
        <v>47</v>
      </c>
      <c r="J49" s="3" t="str">
        <f t="shared" si="55"/>
        <v>Panamá</v>
      </c>
      <c r="K49" s="3">
        <v>0</v>
      </c>
      <c r="L49" s="3" t="str">
        <f t="shared" si="2"/>
        <v>x</v>
      </c>
      <c r="M49" s="3">
        <v>2</v>
      </c>
      <c r="N49" s="3" t="str">
        <f t="shared" si="3"/>
        <v>Croácia</v>
      </c>
      <c r="O49" s="3" t="str">
        <f t="shared" si="4"/>
        <v>Croácia</v>
      </c>
      <c r="P49" s="3"/>
      <c r="Q49" s="3" t="b">
        <f t="shared" si="5"/>
        <v>0</v>
      </c>
      <c r="R49" s="3" t="b">
        <f t="shared" si="6"/>
        <v>0</v>
      </c>
      <c r="S49" s="3" t="b">
        <f t="shared" si="7"/>
        <v>0</v>
      </c>
      <c r="T49" s="3" t="b">
        <f t="shared" si="8"/>
        <v>1</v>
      </c>
      <c r="U49" s="3" t="b">
        <f t="shared" si="9"/>
        <v>0</v>
      </c>
      <c r="V49" s="3"/>
      <c r="W49" s="3" cm="1">
        <f t="array" ref="W49">IF(OR(J49="Brasil",N49="Brasil"),2*_xlfn.IFS(Q49=TRUE,6,R49=TRUE,4,AND(S49=TRUE,T49=FALSE),3,T49=TRUE,2,U49=TRUE,0),_xlfn.IFS(Q49=TRUE,6,R49=TRUE,4,AND(S49=TRUE,T49=FALSE),3,T49=TRUE,2,U49=TRUE,0))</f>
        <v>2</v>
      </c>
      <c r="X49" s="3"/>
      <c r="Y49" s="3"/>
    </row>
    <row r="50" spans="1:25" ht="14.25" customHeight="1" x14ac:dyDescent="0.3">
      <c r="A50" s="3">
        <f>'Tabela de Jogos'!A50</f>
        <v>48</v>
      </c>
      <c r="B50" s="3" t="str">
        <f>'Tabela de Jogos'!B50</f>
        <v>Colômbia</v>
      </c>
      <c r="C50" s="3">
        <f>'Tabela de Jogos'!C50</f>
        <v>1</v>
      </c>
      <c r="D50" s="3" t="str">
        <f>'Tabela de Jogos'!D50</f>
        <v>x</v>
      </c>
      <c r="E50" s="3">
        <f>'Tabela de Jogos'!E50</f>
        <v>0</v>
      </c>
      <c r="F50" s="3" t="str">
        <f>'Tabela de Jogos'!F50</f>
        <v>RD Congo</v>
      </c>
      <c r="G50" s="3" t="str">
        <f>'Tabela de Jogos'!G50</f>
        <v>Colômbia</v>
      </c>
      <c r="H50" s="3"/>
      <c r="I50" s="3">
        <f t="shared" ref="I50:J50" si="56">A50</f>
        <v>48</v>
      </c>
      <c r="J50" s="3" t="str">
        <f t="shared" si="56"/>
        <v>Colômbia</v>
      </c>
      <c r="K50" s="3">
        <v>3</v>
      </c>
      <c r="L50" s="3" t="str">
        <f t="shared" si="2"/>
        <v>x</v>
      </c>
      <c r="M50" s="3">
        <v>1</v>
      </c>
      <c r="N50" s="3" t="str">
        <f t="shared" si="3"/>
        <v>RD Congo</v>
      </c>
      <c r="O50" s="3" t="str">
        <f t="shared" si="4"/>
        <v>Colômbia</v>
      </c>
      <c r="P50" s="3"/>
      <c r="Q50" s="3" t="b">
        <f t="shared" si="5"/>
        <v>0</v>
      </c>
      <c r="R50" s="3" t="b">
        <f t="shared" si="6"/>
        <v>0</v>
      </c>
      <c r="S50" s="3" t="b">
        <f t="shared" si="7"/>
        <v>0</v>
      </c>
      <c r="T50" s="3" t="b">
        <f t="shared" si="8"/>
        <v>1</v>
      </c>
      <c r="U50" s="3" t="b">
        <f t="shared" si="9"/>
        <v>0</v>
      </c>
      <c r="V50" s="3"/>
      <c r="W50" s="3" cm="1">
        <f t="array" ref="W50">IF(OR(J50="Brasil",N50="Brasil"),2*_xlfn.IFS(Q50=TRUE,6,R50=TRUE,4,AND(S50=TRUE,T50=FALSE),3,T50=TRUE,2,U50=TRUE,0),_xlfn.IFS(Q50=TRUE,6,R50=TRUE,4,AND(S50=TRUE,T50=FALSE),3,T50=TRUE,2,U50=TRUE,0))</f>
        <v>2</v>
      </c>
      <c r="X50" s="3"/>
      <c r="Y50" s="3"/>
    </row>
    <row r="51" spans="1:25" ht="14.25" customHeight="1" x14ac:dyDescent="0.3">
      <c r="A51" s="3">
        <f>'Tabela de Jogos'!A51</f>
        <v>49</v>
      </c>
      <c r="B51" s="3" t="str">
        <f>'Tabela de Jogos'!B51</f>
        <v>Suíça</v>
      </c>
      <c r="C51" s="3">
        <f>'Tabela de Jogos'!C51</f>
        <v>2</v>
      </c>
      <c r="D51" s="3" t="str">
        <f>'Tabela de Jogos'!D51</f>
        <v>x</v>
      </c>
      <c r="E51" s="3">
        <f>'Tabela de Jogos'!E51</f>
        <v>1</v>
      </c>
      <c r="F51" s="3" t="str">
        <f>'Tabela de Jogos'!F51</f>
        <v>Canadá</v>
      </c>
      <c r="G51" s="3" t="str">
        <f>'Tabela de Jogos'!G51</f>
        <v>Suíça</v>
      </c>
      <c r="H51" s="3"/>
      <c r="I51" s="3">
        <f t="shared" ref="I51:J51" si="57">A51</f>
        <v>49</v>
      </c>
      <c r="J51" s="3" t="str">
        <f t="shared" si="57"/>
        <v>Suíça</v>
      </c>
      <c r="K51" s="4">
        <v>1</v>
      </c>
      <c r="L51" s="3" t="str">
        <f t="shared" si="2"/>
        <v>x</v>
      </c>
      <c r="M51" s="4">
        <v>3</v>
      </c>
      <c r="N51" s="3" t="str">
        <f t="shared" si="3"/>
        <v>Canadá</v>
      </c>
      <c r="O51" s="3" t="str">
        <f t="shared" si="4"/>
        <v>Canadá</v>
      </c>
      <c r="P51" s="3"/>
      <c r="Q51" s="3" t="b">
        <f t="shared" si="5"/>
        <v>0</v>
      </c>
      <c r="R51" s="3" t="b">
        <f t="shared" si="6"/>
        <v>0</v>
      </c>
      <c r="S51" s="3" t="b">
        <f t="shared" si="7"/>
        <v>0</v>
      </c>
      <c r="T51" s="3" t="b">
        <f t="shared" si="8"/>
        <v>0</v>
      </c>
      <c r="U51" s="3" t="b">
        <f t="shared" si="9"/>
        <v>1</v>
      </c>
      <c r="V51" s="3"/>
      <c r="W51" s="3" cm="1">
        <f t="array" ref="W51">IF(OR(J51="Brasil",N51="Brasil"),2*_xlfn.IFS(Q51=TRUE,6,R51=TRUE,4,AND(S51=TRUE,T51=FALSE),3,T51=TRUE,2,U51=TRUE,0),_xlfn.IFS(Q51=TRUE,6,R51=TRUE,4,AND(S51=TRUE,T51=FALSE),3,T51=TRUE,2,U51=TRUE,0))</f>
        <v>0</v>
      </c>
      <c r="X51" s="3"/>
      <c r="Y51" s="3"/>
    </row>
    <row r="52" spans="1:25" ht="14.25" customHeight="1" x14ac:dyDescent="0.3">
      <c r="A52" s="3">
        <f>'Tabela de Jogos'!A52</f>
        <v>50</v>
      </c>
      <c r="B52" s="3" t="str">
        <f>'Tabela de Jogos'!B52</f>
        <v>Bósnia</v>
      </c>
      <c r="C52" s="3">
        <f>'Tabela de Jogos'!C52</f>
        <v>3</v>
      </c>
      <c r="D52" s="3" t="str">
        <f>'Tabela de Jogos'!D52</f>
        <v>x</v>
      </c>
      <c r="E52" s="3">
        <f>'Tabela de Jogos'!E52</f>
        <v>1</v>
      </c>
      <c r="F52" s="3" t="str">
        <f>'Tabela de Jogos'!F52</f>
        <v>Catar</v>
      </c>
      <c r="G52" s="3" t="str">
        <f>'Tabela de Jogos'!G52</f>
        <v>Bósnia</v>
      </c>
      <c r="H52" s="3"/>
      <c r="I52" s="3">
        <f t="shared" ref="I52:J52" si="58">A52</f>
        <v>50</v>
      </c>
      <c r="J52" s="3" t="str">
        <f t="shared" si="58"/>
        <v>Bósnia</v>
      </c>
      <c r="K52" s="4">
        <v>2</v>
      </c>
      <c r="L52" s="3" t="str">
        <f t="shared" si="2"/>
        <v>x</v>
      </c>
      <c r="M52" s="4">
        <v>1</v>
      </c>
      <c r="N52" s="3" t="str">
        <f t="shared" si="3"/>
        <v>Catar</v>
      </c>
      <c r="O52" s="3" t="str">
        <f t="shared" si="4"/>
        <v>Bósnia</v>
      </c>
      <c r="P52" s="3"/>
      <c r="Q52" s="3" t="b">
        <f t="shared" si="5"/>
        <v>0</v>
      </c>
      <c r="R52" s="3" t="b">
        <f t="shared" si="6"/>
        <v>0</v>
      </c>
      <c r="S52" s="3" t="b">
        <f t="shared" si="7"/>
        <v>0</v>
      </c>
      <c r="T52" s="3" t="b">
        <f t="shared" si="8"/>
        <v>1</v>
      </c>
      <c r="U52" s="3" t="b">
        <f t="shared" si="9"/>
        <v>0</v>
      </c>
      <c r="V52" s="3"/>
      <c r="W52" s="3" cm="1">
        <f t="array" ref="W52">IF(OR(J52="Brasil",N52="Brasil"),2*_xlfn.IFS(Q52=TRUE,6,R52=TRUE,4,AND(S52=TRUE,T52=FALSE),3,T52=TRUE,2,U52=TRUE,0),_xlfn.IFS(Q52=TRUE,6,R52=TRUE,4,AND(S52=TRUE,T52=FALSE),3,T52=TRUE,2,U52=TRUE,0))</f>
        <v>2</v>
      </c>
      <c r="X52" s="3"/>
      <c r="Y52" s="3"/>
    </row>
    <row r="53" spans="1:25" ht="14.25" customHeight="1" x14ac:dyDescent="0.3">
      <c r="A53" s="3">
        <f>'Tabela de Jogos'!A53</f>
        <v>51</v>
      </c>
      <c r="B53" s="3" t="str">
        <f>'Tabela de Jogos'!B53</f>
        <v>Marrocos</v>
      </c>
      <c r="C53" s="3">
        <f>'Tabela de Jogos'!C53</f>
        <v>4</v>
      </c>
      <c r="D53" s="3" t="str">
        <f>'Tabela de Jogos'!D53</f>
        <v>x</v>
      </c>
      <c r="E53" s="3">
        <f>'Tabela de Jogos'!E53</f>
        <v>2</v>
      </c>
      <c r="F53" s="3" t="str">
        <f>'Tabela de Jogos'!F53</f>
        <v>Haiti</v>
      </c>
      <c r="G53" s="3" t="str">
        <f>'Tabela de Jogos'!G53</f>
        <v>Marrocos</v>
      </c>
      <c r="H53" s="3"/>
      <c r="I53" s="3">
        <f t="shared" ref="I53:J53" si="59">A53</f>
        <v>51</v>
      </c>
      <c r="J53" s="3" t="str">
        <f t="shared" si="59"/>
        <v>Marrocos</v>
      </c>
      <c r="K53" s="4">
        <v>2</v>
      </c>
      <c r="L53" s="3" t="str">
        <f t="shared" si="2"/>
        <v>x</v>
      </c>
      <c r="M53" s="4">
        <v>1</v>
      </c>
      <c r="N53" s="3" t="str">
        <f t="shared" si="3"/>
        <v>Haiti</v>
      </c>
      <c r="O53" s="3" t="str">
        <f t="shared" si="4"/>
        <v>Marrocos</v>
      </c>
      <c r="P53" s="3"/>
      <c r="Q53" s="3" t="b">
        <f t="shared" si="5"/>
        <v>0</v>
      </c>
      <c r="R53" s="3" t="b">
        <f t="shared" si="6"/>
        <v>0</v>
      </c>
      <c r="S53" s="3" t="b">
        <f t="shared" si="7"/>
        <v>0</v>
      </c>
      <c r="T53" s="3" t="b">
        <f t="shared" si="8"/>
        <v>1</v>
      </c>
      <c r="U53" s="3" t="b">
        <f t="shared" si="9"/>
        <v>0</v>
      </c>
      <c r="V53" s="3"/>
      <c r="W53" s="3" cm="1">
        <f t="array" ref="W53">IF(OR(J53="Brasil",N53="Brasil"),2*_xlfn.IFS(Q53=TRUE,6,R53=TRUE,4,AND(S53=TRUE,T53=FALSE),3,T53=TRUE,2,U53=TRUE,0),_xlfn.IFS(Q53=TRUE,6,R53=TRUE,4,AND(S53=TRUE,T53=FALSE),3,T53=TRUE,2,U53=TRUE,0))</f>
        <v>2</v>
      </c>
      <c r="X53" s="3"/>
      <c r="Y53" s="3"/>
    </row>
    <row r="54" spans="1:25" ht="14.25" customHeight="1" x14ac:dyDescent="0.3">
      <c r="A54" s="3">
        <f>'Tabela de Jogos'!A54</f>
        <v>52</v>
      </c>
      <c r="B54" s="3" t="str">
        <f>'Tabela de Jogos'!B54</f>
        <v>Escócia</v>
      </c>
      <c r="C54" s="3">
        <f>'Tabela de Jogos'!C54</f>
        <v>0</v>
      </c>
      <c r="D54" s="3" t="str">
        <f>'Tabela de Jogos'!D54</f>
        <v>x</v>
      </c>
      <c r="E54" s="3">
        <f>'Tabela de Jogos'!E54</f>
        <v>3</v>
      </c>
      <c r="F54" s="3" t="str">
        <f>'Tabela de Jogos'!F54</f>
        <v>Brasil</v>
      </c>
      <c r="G54" s="3" t="str">
        <f>'Tabela de Jogos'!G54</f>
        <v>Brasil</v>
      </c>
      <c r="H54" s="3"/>
      <c r="I54" s="3">
        <f t="shared" ref="I54:J54" si="60">A54</f>
        <v>52</v>
      </c>
      <c r="J54" s="3" t="str">
        <f t="shared" si="60"/>
        <v>Escócia</v>
      </c>
      <c r="K54" s="4">
        <v>0</v>
      </c>
      <c r="L54" s="3" t="str">
        <f t="shared" si="2"/>
        <v>x</v>
      </c>
      <c r="M54" s="4">
        <v>2</v>
      </c>
      <c r="N54" s="3" t="str">
        <f t="shared" si="3"/>
        <v>Brasil</v>
      </c>
      <c r="O54" s="3" t="str">
        <f t="shared" si="4"/>
        <v>Brasil</v>
      </c>
      <c r="P54" s="3"/>
      <c r="Q54" s="3" t="b">
        <f t="shared" si="5"/>
        <v>0</v>
      </c>
      <c r="R54" s="3" t="b">
        <f t="shared" si="6"/>
        <v>0</v>
      </c>
      <c r="S54" s="3" t="b">
        <f t="shared" si="7"/>
        <v>0</v>
      </c>
      <c r="T54" s="3" t="b">
        <f t="shared" si="8"/>
        <v>1</v>
      </c>
      <c r="U54" s="3" t="b">
        <f t="shared" si="9"/>
        <v>0</v>
      </c>
      <c r="V54" s="3"/>
      <c r="W54" s="3" cm="1">
        <f t="array" ref="W54">IF(OR(J54="Brasil",N54="Brasil"),2*_xlfn.IFS(Q54=TRUE,6,R54=TRUE,4,AND(S54=TRUE,T54=FALSE),3,T54=TRUE,2,U54=TRUE,0),_xlfn.IFS(Q54=TRUE,6,R54=TRUE,4,AND(S54=TRUE,T54=FALSE),3,T54=TRUE,2,U54=TRUE,0))</f>
        <v>4</v>
      </c>
      <c r="X54" s="3"/>
      <c r="Y54" s="3"/>
    </row>
    <row r="55" spans="1:25" ht="14.25" customHeight="1" x14ac:dyDescent="0.3">
      <c r="A55" s="3">
        <f>'Tabela de Jogos'!A55</f>
        <v>53</v>
      </c>
      <c r="B55" s="3" t="str">
        <f>'Tabela de Jogos'!B55</f>
        <v>África do Sul</v>
      </c>
      <c r="C55" s="3">
        <f>'Tabela de Jogos'!C55</f>
        <v>1</v>
      </c>
      <c r="D55" s="3" t="str">
        <f>'Tabela de Jogos'!D55</f>
        <v>x</v>
      </c>
      <c r="E55" s="3">
        <f>'Tabela de Jogos'!E55</f>
        <v>0</v>
      </c>
      <c r="F55" s="3" t="str">
        <f>'Tabela de Jogos'!F55</f>
        <v>Coreia do Sul</v>
      </c>
      <c r="G55" s="3" t="str">
        <f>'Tabela de Jogos'!G55</f>
        <v>África do Sul</v>
      </c>
      <c r="H55" s="3"/>
      <c r="I55" s="3">
        <f t="shared" ref="I55:J55" si="61">A55</f>
        <v>53</v>
      </c>
      <c r="J55" s="3" t="str">
        <f t="shared" si="61"/>
        <v>África do Sul</v>
      </c>
      <c r="K55" s="4">
        <v>1</v>
      </c>
      <c r="L55" s="3" t="str">
        <f t="shared" si="2"/>
        <v>x</v>
      </c>
      <c r="M55" s="4">
        <v>2</v>
      </c>
      <c r="N55" s="3" t="str">
        <f t="shared" si="3"/>
        <v>Coreia do Sul</v>
      </c>
      <c r="O55" s="3" t="str">
        <f t="shared" si="4"/>
        <v>Coreia do Sul</v>
      </c>
      <c r="P55" s="3"/>
      <c r="Q55" s="3" t="b">
        <f t="shared" si="5"/>
        <v>0</v>
      </c>
      <c r="R55" s="3" t="b">
        <f t="shared" si="6"/>
        <v>0</v>
      </c>
      <c r="S55" s="3" t="b">
        <f t="shared" si="7"/>
        <v>0</v>
      </c>
      <c r="T55" s="3" t="b">
        <f t="shared" si="8"/>
        <v>0</v>
      </c>
      <c r="U55" s="3" t="b">
        <f t="shared" si="9"/>
        <v>1</v>
      </c>
      <c r="V55" s="3"/>
      <c r="W55" s="3" cm="1">
        <f t="array" ref="W55">IF(OR(J55="Brasil",N55="Brasil"),2*_xlfn.IFS(Q55=TRUE,6,R55=TRUE,4,AND(S55=TRUE,T55=FALSE),3,T55=TRUE,2,U55=TRUE,0),_xlfn.IFS(Q55=TRUE,6,R55=TRUE,4,AND(S55=TRUE,T55=FALSE),3,T55=TRUE,2,U55=TRUE,0))</f>
        <v>0</v>
      </c>
      <c r="X55" s="3"/>
      <c r="Y55" s="3"/>
    </row>
    <row r="56" spans="1:25" ht="14.25" customHeight="1" x14ac:dyDescent="0.3">
      <c r="A56" s="3">
        <f>'Tabela de Jogos'!A56</f>
        <v>54</v>
      </c>
      <c r="B56" s="3" t="str">
        <f>'Tabela de Jogos'!B56</f>
        <v>Tchéquia</v>
      </c>
      <c r="C56" s="3">
        <f>'Tabela de Jogos'!C56</f>
        <v>0</v>
      </c>
      <c r="D56" s="3" t="str">
        <f>'Tabela de Jogos'!D56</f>
        <v>x</v>
      </c>
      <c r="E56" s="3">
        <f>'Tabela de Jogos'!E56</f>
        <v>3</v>
      </c>
      <c r="F56" s="3" t="str">
        <f>'Tabela de Jogos'!F56</f>
        <v>México</v>
      </c>
      <c r="G56" s="3" t="str">
        <f>'Tabela de Jogos'!G56</f>
        <v>México</v>
      </c>
      <c r="H56" s="3"/>
      <c r="I56" s="3">
        <f t="shared" ref="I56:J56" si="62">A56</f>
        <v>54</v>
      </c>
      <c r="J56" s="3" t="str">
        <f t="shared" si="62"/>
        <v>Tchéquia</v>
      </c>
      <c r="K56" s="4">
        <v>1</v>
      </c>
      <c r="L56" s="3" t="str">
        <f t="shared" si="2"/>
        <v>x</v>
      </c>
      <c r="M56" s="4">
        <v>2</v>
      </c>
      <c r="N56" s="3" t="str">
        <f t="shared" si="3"/>
        <v>México</v>
      </c>
      <c r="O56" s="3" t="str">
        <f t="shared" si="4"/>
        <v>México</v>
      </c>
      <c r="P56" s="3"/>
      <c r="Q56" s="3" t="b">
        <f t="shared" si="5"/>
        <v>0</v>
      </c>
      <c r="R56" s="3" t="b">
        <f t="shared" si="6"/>
        <v>0</v>
      </c>
      <c r="S56" s="3" t="b">
        <f t="shared" si="7"/>
        <v>0</v>
      </c>
      <c r="T56" s="3" t="b">
        <f t="shared" si="8"/>
        <v>1</v>
      </c>
      <c r="U56" s="3" t="b">
        <f t="shared" si="9"/>
        <v>0</v>
      </c>
      <c r="V56" s="3"/>
      <c r="W56" s="3" cm="1">
        <f t="array" ref="W56">IF(OR(J56="Brasil",N56="Brasil"),2*_xlfn.IFS(Q56=TRUE,6,R56=TRUE,4,AND(S56=TRUE,T56=FALSE),3,T56=TRUE,2,U56=TRUE,0),_xlfn.IFS(Q56=TRUE,6,R56=TRUE,4,AND(S56=TRUE,T56=FALSE),3,T56=TRUE,2,U56=TRUE,0))</f>
        <v>2</v>
      </c>
      <c r="X56" s="3"/>
      <c r="Y56" s="3"/>
    </row>
    <row r="57" spans="1:25" ht="14.25" customHeight="1" x14ac:dyDescent="0.3">
      <c r="A57" s="3">
        <f>'Tabela de Jogos'!A57</f>
        <v>55</v>
      </c>
      <c r="B57" s="3" t="str">
        <f>'Tabela de Jogos'!B57</f>
        <v>Curaçao</v>
      </c>
      <c r="C57" s="3">
        <f>'Tabela de Jogos'!C57</f>
        <v>0</v>
      </c>
      <c r="D57" s="3" t="str">
        <f>'Tabela de Jogos'!D57</f>
        <v>x</v>
      </c>
      <c r="E57" s="3">
        <f>'Tabela de Jogos'!E57</f>
        <v>2</v>
      </c>
      <c r="F57" s="3" t="str">
        <f>'Tabela de Jogos'!F57</f>
        <v>Costa do Marfim</v>
      </c>
      <c r="G57" s="3" t="str">
        <f>'Tabela de Jogos'!G57</f>
        <v>Costa do Marfim</v>
      </c>
      <c r="H57" s="3"/>
      <c r="I57" s="3">
        <f t="shared" ref="I57:J57" si="63">A57</f>
        <v>55</v>
      </c>
      <c r="J57" s="3" t="str">
        <f t="shared" si="63"/>
        <v>Curaçao</v>
      </c>
      <c r="K57" s="3">
        <v>0</v>
      </c>
      <c r="L57" s="3" t="str">
        <f t="shared" si="2"/>
        <v>x</v>
      </c>
      <c r="M57" s="3">
        <v>2</v>
      </c>
      <c r="N57" s="3" t="str">
        <f t="shared" si="3"/>
        <v>Costa do Marfim</v>
      </c>
      <c r="O57" s="3" t="str">
        <f t="shared" si="4"/>
        <v>Costa do Marfim</v>
      </c>
      <c r="P57" s="3"/>
      <c r="Q57" s="3" t="b">
        <f t="shared" si="5"/>
        <v>1</v>
      </c>
      <c r="R57" s="3" t="b">
        <f t="shared" si="6"/>
        <v>0</v>
      </c>
      <c r="S57" s="3" t="b">
        <f t="shared" si="7"/>
        <v>0</v>
      </c>
      <c r="T57" s="3" t="b">
        <f t="shared" si="8"/>
        <v>0</v>
      </c>
      <c r="U57" s="3" t="b">
        <f t="shared" si="9"/>
        <v>0</v>
      </c>
      <c r="V57" s="3"/>
      <c r="W57" s="3" cm="1">
        <f t="array" ref="W57">IF(OR(J57="Brasil",N57="Brasil"),2*_xlfn.IFS(Q57=TRUE,6,R57=TRUE,4,AND(S57=TRUE,T57=FALSE),3,T57=TRUE,2,U57=TRUE,0),_xlfn.IFS(Q57=TRUE,6,R57=TRUE,4,AND(S57=TRUE,T57=FALSE),3,T57=TRUE,2,U57=TRUE,0))</f>
        <v>6</v>
      </c>
      <c r="X57" s="3"/>
      <c r="Y57" s="3"/>
    </row>
    <row r="58" spans="1:25" ht="14.25" customHeight="1" x14ac:dyDescent="0.3">
      <c r="A58" s="3">
        <f>'Tabela de Jogos'!A58</f>
        <v>56</v>
      </c>
      <c r="B58" s="3" t="str">
        <f>'Tabela de Jogos'!B58</f>
        <v>Equador</v>
      </c>
      <c r="C58" s="3">
        <f>'Tabela de Jogos'!C58</f>
        <v>2</v>
      </c>
      <c r="D58" s="3" t="str">
        <f>'Tabela de Jogos'!D58</f>
        <v>x</v>
      </c>
      <c r="E58" s="3">
        <f>'Tabela de Jogos'!E58</f>
        <v>1</v>
      </c>
      <c r="F58" s="3" t="str">
        <f>'Tabela de Jogos'!F58</f>
        <v>Alemanha</v>
      </c>
      <c r="G58" s="3" t="str">
        <f>'Tabela de Jogos'!G58</f>
        <v>Equador</v>
      </c>
      <c r="H58" s="3"/>
      <c r="I58" s="3">
        <f t="shared" ref="I58:J58" si="64">A58</f>
        <v>56</v>
      </c>
      <c r="J58" s="3" t="str">
        <f t="shared" si="64"/>
        <v>Equador</v>
      </c>
      <c r="K58" s="3">
        <v>1</v>
      </c>
      <c r="L58" s="3" t="str">
        <f t="shared" si="2"/>
        <v>x</v>
      </c>
      <c r="M58" s="3">
        <v>5</v>
      </c>
      <c r="N58" s="3" t="str">
        <f t="shared" si="3"/>
        <v>Alemanha</v>
      </c>
      <c r="O58" s="3" t="str">
        <f t="shared" si="4"/>
        <v>Alemanha</v>
      </c>
      <c r="P58" s="3"/>
      <c r="Q58" s="3" t="b">
        <f t="shared" si="5"/>
        <v>0</v>
      </c>
      <c r="R58" s="3" t="b">
        <f t="shared" si="6"/>
        <v>0</v>
      </c>
      <c r="S58" s="3" t="b">
        <f t="shared" si="7"/>
        <v>0</v>
      </c>
      <c r="T58" s="3" t="b">
        <f t="shared" si="8"/>
        <v>0</v>
      </c>
      <c r="U58" s="3" t="b">
        <f t="shared" si="9"/>
        <v>1</v>
      </c>
      <c r="V58" s="3"/>
      <c r="W58" s="3" cm="1">
        <f t="array" ref="W58">IF(OR(J58="Brasil",N58="Brasil"),2*_xlfn.IFS(Q58=TRUE,6,R58=TRUE,4,AND(S58=TRUE,T58=FALSE),3,T58=TRUE,2,U58=TRUE,0),_xlfn.IFS(Q58=TRUE,6,R58=TRUE,4,AND(S58=TRUE,T58=FALSE),3,T58=TRUE,2,U58=TRUE,0))</f>
        <v>0</v>
      </c>
      <c r="X58" s="3"/>
      <c r="Y58" s="3"/>
    </row>
    <row r="59" spans="1:25" ht="14.25" customHeight="1" x14ac:dyDescent="0.3">
      <c r="A59" s="3">
        <f>'Tabela de Jogos'!A59</f>
        <v>57</v>
      </c>
      <c r="B59" s="3" t="str">
        <f>'Tabela de Jogos'!B59</f>
        <v>Tunísia</v>
      </c>
      <c r="C59" s="3">
        <f>'Tabela de Jogos'!C59</f>
        <v>1</v>
      </c>
      <c r="D59" s="3" t="str">
        <f>'Tabela de Jogos'!D59</f>
        <v>x</v>
      </c>
      <c r="E59" s="3">
        <f>'Tabela de Jogos'!E59</f>
        <v>3</v>
      </c>
      <c r="F59" s="3" t="str">
        <f>'Tabela de Jogos'!F59</f>
        <v>Holanda</v>
      </c>
      <c r="G59" s="3" t="str">
        <f>'Tabela de Jogos'!G59</f>
        <v>Holanda</v>
      </c>
      <c r="H59" s="3"/>
      <c r="I59" s="3">
        <f t="shared" ref="I59:J59" si="65">A59</f>
        <v>57</v>
      </c>
      <c r="J59" s="3" t="str">
        <f t="shared" si="65"/>
        <v>Tunísia</v>
      </c>
      <c r="K59" s="3">
        <v>0</v>
      </c>
      <c r="L59" s="3" t="str">
        <f t="shared" si="2"/>
        <v>x</v>
      </c>
      <c r="M59" s="3">
        <v>3</v>
      </c>
      <c r="N59" s="3" t="str">
        <f t="shared" si="3"/>
        <v>Holanda</v>
      </c>
      <c r="O59" s="3" t="str">
        <f t="shared" si="4"/>
        <v>Holanda</v>
      </c>
      <c r="P59" s="3"/>
      <c r="Q59" s="3" t="b">
        <f t="shared" si="5"/>
        <v>0</v>
      </c>
      <c r="R59" s="3" t="b">
        <f t="shared" si="6"/>
        <v>1</v>
      </c>
      <c r="S59" s="3" t="b">
        <f t="shared" si="7"/>
        <v>0</v>
      </c>
      <c r="T59" s="3" t="b">
        <f t="shared" si="8"/>
        <v>0</v>
      </c>
      <c r="U59" s="3" t="b">
        <f t="shared" si="9"/>
        <v>0</v>
      </c>
      <c r="V59" s="3"/>
      <c r="W59" s="3" cm="1">
        <f t="array" ref="W59">IF(OR(J59="Brasil",N59="Brasil"),2*_xlfn.IFS(Q59=TRUE,6,R59=TRUE,4,AND(S59=TRUE,T59=FALSE),3,T59=TRUE,2,U59=TRUE,0),_xlfn.IFS(Q59=TRUE,6,R59=TRUE,4,AND(S59=TRUE,T59=FALSE),3,T59=TRUE,2,U59=TRUE,0))</f>
        <v>4</v>
      </c>
      <c r="X59" s="3"/>
      <c r="Y59" s="3"/>
    </row>
    <row r="60" spans="1:25" ht="14.25" customHeight="1" x14ac:dyDescent="0.3">
      <c r="A60" s="3">
        <f>'Tabela de Jogos'!A60</f>
        <v>58</v>
      </c>
      <c r="B60" s="3" t="str">
        <f>'Tabela de Jogos'!B60</f>
        <v>Japão</v>
      </c>
      <c r="C60" s="3">
        <f>'Tabela de Jogos'!C60</f>
        <v>1</v>
      </c>
      <c r="D60" s="3" t="str">
        <f>'Tabela de Jogos'!D60</f>
        <v>x</v>
      </c>
      <c r="E60" s="3">
        <f>'Tabela de Jogos'!E60</f>
        <v>1</v>
      </c>
      <c r="F60" s="3" t="str">
        <f>'Tabela de Jogos'!F60</f>
        <v>Suécia</v>
      </c>
      <c r="G60" s="3" t="str">
        <f>'Tabela de Jogos'!G60</f>
        <v>Empate</v>
      </c>
      <c r="H60" s="3"/>
      <c r="I60" s="3">
        <f t="shared" ref="I60:J60" si="66">A60</f>
        <v>58</v>
      </c>
      <c r="J60" s="3" t="str">
        <f t="shared" si="66"/>
        <v>Japão</v>
      </c>
      <c r="K60" s="3">
        <v>3</v>
      </c>
      <c r="L60" s="3" t="str">
        <f t="shared" si="2"/>
        <v>x</v>
      </c>
      <c r="M60" s="3">
        <v>1</v>
      </c>
      <c r="N60" s="3" t="str">
        <f t="shared" si="3"/>
        <v>Suécia</v>
      </c>
      <c r="O60" s="3" t="str">
        <f t="shared" si="4"/>
        <v>Japão</v>
      </c>
      <c r="P60" s="3"/>
      <c r="Q60" s="3" t="b">
        <f t="shared" si="5"/>
        <v>0</v>
      </c>
      <c r="R60" s="3" t="b">
        <f t="shared" si="6"/>
        <v>0</v>
      </c>
      <c r="S60" s="3" t="b">
        <f t="shared" si="7"/>
        <v>0</v>
      </c>
      <c r="T60" s="3" t="b">
        <f t="shared" si="8"/>
        <v>0</v>
      </c>
      <c r="U60" s="3" t="b">
        <f t="shared" si="9"/>
        <v>1</v>
      </c>
      <c r="V60" s="3"/>
      <c r="W60" s="3" cm="1">
        <f t="array" ref="W60">IF(OR(J60="Brasil",N60="Brasil"),2*_xlfn.IFS(Q60=TRUE,6,R60=TRUE,4,AND(S60=TRUE,T60=FALSE),3,T60=TRUE,2,U60=TRUE,0),_xlfn.IFS(Q60=TRUE,6,R60=TRUE,4,AND(S60=TRUE,T60=FALSE),3,T60=TRUE,2,U60=TRUE,0))</f>
        <v>0</v>
      </c>
      <c r="X60" s="3"/>
      <c r="Y60" s="3"/>
    </row>
    <row r="61" spans="1:25" ht="14.25" customHeight="1" x14ac:dyDescent="0.3">
      <c r="A61" s="3">
        <f>'Tabela de Jogos'!A61</f>
        <v>59</v>
      </c>
      <c r="B61" s="3" t="str">
        <f>'Tabela de Jogos'!B61</f>
        <v>Turquia</v>
      </c>
      <c r="C61" s="3">
        <f>'Tabela de Jogos'!C61</f>
        <v>0</v>
      </c>
      <c r="D61" s="3" t="str">
        <f>'Tabela de Jogos'!D61</f>
        <v>x</v>
      </c>
      <c r="E61" s="3">
        <f>'Tabela de Jogos'!E61</f>
        <v>0</v>
      </c>
      <c r="F61" s="3" t="str">
        <f>'Tabela de Jogos'!F61</f>
        <v>EUA</v>
      </c>
      <c r="G61" s="3" t="str">
        <f>'Tabela de Jogos'!G61</f>
        <v>-</v>
      </c>
      <c r="H61" s="3"/>
      <c r="I61" s="3">
        <f t="shared" ref="I61:J61" si="67">A61</f>
        <v>59</v>
      </c>
      <c r="J61" s="3" t="str">
        <f t="shared" si="67"/>
        <v>Turquia</v>
      </c>
      <c r="K61" s="3">
        <v>1</v>
      </c>
      <c r="L61" s="3" t="str">
        <f t="shared" si="2"/>
        <v>x</v>
      </c>
      <c r="M61" s="3">
        <v>3</v>
      </c>
      <c r="N61" s="3" t="str">
        <f t="shared" si="3"/>
        <v>EUA</v>
      </c>
      <c r="O61" s="3" t="str">
        <f t="shared" si="4"/>
        <v>EUA</v>
      </c>
      <c r="P61" s="3"/>
      <c r="Q61" s="3" t="b">
        <f t="shared" si="5"/>
        <v>0</v>
      </c>
      <c r="R61" s="3" t="b">
        <f t="shared" si="6"/>
        <v>0</v>
      </c>
      <c r="S61" s="3" t="b">
        <f t="shared" si="7"/>
        <v>0</v>
      </c>
      <c r="T61" s="3" t="b">
        <f t="shared" si="8"/>
        <v>0</v>
      </c>
      <c r="U61" s="3" t="b">
        <f t="shared" si="9"/>
        <v>1</v>
      </c>
      <c r="V61" s="3"/>
      <c r="W61" s="3" cm="1">
        <f t="array" ref="W61">IF(OR(J61="Brasil",N61="Brasil"),2*_xlfn.IFS(Q61=TRUE,6,R61=TRUE,4,AND(S61=TRUE,T61=FALSE),3,T61=TRUE,2,U61=TRUE,0),_xlfn.IFS(Q61=TRUE,6,R61=TRUE,4,AND(S61=TRUE,T61=FALSE),3,T61=TRUE,2,U61=TRUE,0))</f>
        <v>0</v>
      </c>
      <c r="X61" s="3"/>
      <c r="Y61" s="3"/>
    </row>
    <row r="62" spans="1:25" ht="14.25" customHeight="1" x14ac:dyDescent="0.3">
      <c r="A62" s="3">
        <f>'Tabela de Jogos'!A62</f>
        <v>60</v>
      </c>
      <c r="B62" s="3" t="str">
        <f>'Tabela de Jogos'!B62</f>
        <v>Paraguai</v>
      </c>
      <c r="C62" s="3">
        <f>'Tabela de Jogos'!C62</f>
        <v>0</v>
      </c>
      <c r="D62" s="3" t="str">
        <f>'Tabela de Jogos'!D62</f>
        <v>x</v>
      </c>
      <c r="E62" s="3">
        <f>'Tabela de Jogos'!E62</f>
        <v>0</v>
      </c>
      <c r="F62" s="3" t="str">
        <f>'Tabela de Jogos'!F62</f>
        <v>Austrália</v>
      </c>
      <c r="G62" s="3" t="str">
        <f>'Tabela de Jogos'!G62</f>
        <v>-</v>
      </c>
      <c r="H62" s="3"/>
      <c r="I62" s="3">
        <f t="shared" ref="I62:J62" si="68">A62</f>
        <v>60</v>
      </c>
      <c r="J62" s="3" t="str">
        <f t="shared" si="68"/>
        <v>Paraguai</v>
      </c>
      <c r="K62" s="3">
        <v>3</v>
      </c>
      <c r="L62" s="3" t="str">
        <f t="shared" si="2"/>
        <v>x</v>
      </c>
      <c r="M62" s="3">
        <v>2</v>
      </c>
      <c r="N62" s="3" t="str">
        <f t="shared" si="3"/>
        <v>Austrália</v>
      </c>
      <c r="O62" s="3" t="str">
        <f t="shared" si="4"/>
        <v>Paraguai</v>
      </c>
      <c r="P62" s="3"/>
      <c r="Q62" s="3" t="b">
        <f t="shared" si="5"/>
        <v>0</v>
      </c>
      <c r="R62" s="3" t="b">
        <f t="shared" si="6"/>
        <v>0</v>
      </c>
      <c r="S62" s="3" t="b">
        <f t="shared" si="7"/>
        <v>0</v>
      </c>
      <c r="T62" s="3" t="b">
        <f t="shared" si="8"/>
        <v>0</v>
      </c>
      <c r="U62" s="3" t="b">
        <f t="shared" si="9"/>
        <v>1</v>
      </c>
      <c r="V62" s="3"/>
      <c r="W62" s="3" cm="1">
        <f t="array" ref="W62">IF(OR(J62="Brasil",N62="Brasil"),2*_xlfn.IFS(Q62=TRUE,6,R62=TRUE,4,AND(S62=TRUE,T62=FALSE),3,T62=TRUE,2,U62=TRUE,0),_xlfn.IFS(Q62=TRUE,6,R62=TRUE,4,AND(S62=TRUE,T62=FALSE),3,T62=TRUE,2,U62=TRUE,0))</f>
        <v>0</v>
      </c>
      <c r="X62" s="3"/>
      <c r="Y62" s="3"/>
    </row>
    <row r="63" spans="1:25" ht="14.25" customHeight="1" x14ac:dyDescent="0.3">
      <c r="A63" s="3">
        <f>'Tabela de Jogos'!A63</f>
        <v>61</v>
      </c>
      <c r="B63" s="3" t="str">
        <f>'Tabela de Jogos'!B63</f>
        <v>Noruega</v>
      </c>
      <c r="C63" s="3">
        <f>'Tabela de Jogos'!C63</f>
        <v>0</v>
      </c>
      <c r="D63" s="3" t="str">
        <f>'Tabela de Jogos'!D63</f>
        <v>x</v>
      </c>
      <c r="E63" s="3">
        <f>'Tabela de Jogos'!E63</f>
        <v>0</v>
      </c>
      <c r="F63" s="3" t="str">
        <f>'Tabela de Jogos'!F63</f>
        <v>França</v>
      </c>
      <c r="G63" s="3" t="str">
        <f>'Tabela de Jogos'!G63</f>
        <v>-</v>
      </c>
      <c r="H63" s="3"/>
      <c r="I63" s="3">
        <f t="shared" ref="I63:J63" si="69">A63</f>
        <v>61</v>
      </c>
      <c r="J63" s="3" t="str">
        <f t="shared" si="69"/>
        <v>Noruega</v>
      </c>
      <c r="K63" s="3"/>
      <c r="L63" s="3" t="str">
        <f t="shared" si="2"/>
        <v>x</v>
      </c>
      <c r="M63" s="3"/>
      <c r="N63" s="3" t="str">
        <f t="shared" si="3"/>
        <v>França</v>
      </c>
      <c r="O63" s="3" t="str">
        <f t="shared" si="4"/>
        <v>-</v>
      </c>
      <c r="P63" s="3"/>
      <c r="Q63" s="3" t="b">
        <f t="shared" si="5"/>
        <v>0</v>
      </c>
      <c r="R63" s="3" t="b">
        <f t="shared" si="6"/>
        <v>0</v>
      </c>
      <c r="S63" s="3" t="b">
        <f t="shared" si="7"/>
        <v>0</v>
      </c>
      <c r="T63" s="3" t="b">
        <f t="shared" si="8"/>
        <v>0</v>
      </c>
      <c r="U63" s="3" t="b">
        <f t="shared" si="9"/>
        <v>1</v>
      </c>
      <c r="V63" s="3"/>
      <c r="W63" s="3" cm="1">
        <f t="array" ref="W63">IF(OR(J63="Brasil",N63="Brasil"),2*_xlfn.IFS(Q63=TRUE,6,R63=TRUE,4,AND(S63=TRUE,T63=FALSE),3,T63=TRUE,2,U63=TRUE,0),_xlfn.IFS(Q63=TRUE,6,R63=TRUE,4,AND(S63=TRUE,T63=FALSE),3,T63=TRUE,2,U63=TRUE,0))</f>
        <v>0</v>
      </c>
      <c r="X63" s="3"/>
      <c r="Y63" s="3"/>
    </row>
    <row r="64" spans="1:25" ht="14.25" customHeight="1" x14ac:dyDescent="0.3">
      <c r="A64" s="3">
        <f>'Tabela de Jogos'!A64</f>
        <v>62</v>
      </c>
      <c r="B64" s="3" t="str">
        <f>'Tabela de Jogos'!B64</f>
        <v>Senegal</v>
      </c>
      <c r="C64" s="3">
        <f>'Tabela de Jogos'!C64</f>
        <v>0</v>
      </c>
      <c r="D64" s="3" t="str">
        <f>'Tabela de Jogos'!D64</f>
        <v>x</v>
      </c>
      <c r="E64" s="3">
        <f>'Tabela de Jogos'!E64</f>
        <v>0</v>
      </c>
      <c r="F64" s="3" t="str">
        <f>'Tabela de Jogos'!F64</f>
        <v>Iraque</v>
      </c>
      <c r="G64" s="3" t="str">
        <f>'Tabela de Jogos'!G64</f>
        <v>-</v>
      </c>
      <c r="H64" s="3"/>
      <c r="I64" s="3">
        <f t="shared" ref="I64:J64" si="70">A64</f>
        <v>62</v>
      </c>
      <c r="J64" s="3" t="str">
        <f t="shared" si="70"/>
        <v>Senegal</v>
      </c>
      <c r="K64" s="3"/>
      <c r="L64" s="3" t="str">
        <f t="shared" si="2"/>
        <v>x</v>
      </c>
      <c r="M64" s="3"/>
      <c r="N64" s="3" t="str">
        <f t="shared" si="3"/>
        <v>Iraque</v>
      </c>
      <c r="O64" s="3" t="str">
        <f t="shared" si="4"/>
        <v>-</v>
      </c>
      <c r="P64" s="3"/>
      <c r="Q64" s="3" t="b">
        <f t="shared" si="5"/>
        <v>0</v>
      </c>
      <c r="R64" s="3" t="b">
        <f t="shared" si="6"/>
        <v>0</v>
      </c>
      <c r="S64" s="3" t="b">
        <f t="shared" si="7"/>
        <v>0</v>
      </c>
      <c r="T64" s="3" t="b">
        <f t="shared" si="8"/>
        <v>0</v>
      </c>
      <c r="U64" s="3" t="b">
        <f t="shared" si="9"/>
        <v>1</v>
      </c>
      <c r="V64" s="3"/>
      <c r="W64" s="3" cm="1">
        <f t="array" ref="W64">IF(OR(J64="Brasil",N64="Brasil"),2*_xlfn.IFS(Q64=TRUE,6,R64=TRUE,4,AND(S64=TRUE,T64=FALSE),3,T64=TRUE,2,U64=TRUE,0),_xlfn.IFS(Q64=TRUE,6,R64=TRUE,4,AND(S64=TRUE,T64=FALSE),3,T64=TRUE,2,U64=TRUE,0))</f>
        <v>0</v>
      </c>
      <c r="X64" s="3"/>
      <c r="Y64" s="3"/>
    </row>
    <row r="65" spans="1:25" ht="14.25" customHeight="1" x14ac:dyDescent="0.3">
      <c r="A65" s="3">
        <f>'Tabela de Jogos'!A65</f>
        <v>63</v>
      </c>
      <c r="B65" s="3" t="str">
        <f>'Tabela de Jogos'!B65</f>
        <v>Cabo Verde</v>
      </c>
      <c r="C65" s="3">
        <f>'Tabela de Jogos'!C65</f>
        <v>0</v>
      </c>
      <c r="D65" s="3" t="str">
        <f>'Tabela de Jogos'!D65</f>
        <v>x</v>
      </c>
      <c r="E65" s="3">
        <f>'Tabela de Jogos'!E65</f>
        <v>0</v>
      </c>
      <c r="F65" s="3" t="str">
        <f>'Tabela de Jogos'!F65</f>
        <v>Arábia Saudita</v>
      </c>
      <c r="G65" s="3" t="str">
        <f>'Tabela de Jogos'!G65</f>
        <v>-</v>
      </c>
      <c r="H65" s="3"/>
      <c r="I65" s="3">
        <f t="shared" ref="I65:J65" si="71">A65</f>
        <v>63</v>
      </c>
      <c r="J65" s="3" t="str">
        <f t="shared" si="71"/>
        <v>Cabo Verde</v>
      </c>
      <c r="K65" s="3"/>
      <c r="L65" s="3" t="str">
        <f t="shared" si="2"/>
        <v>x</v>
      </c>
      <c r="M65" s="3"/>
      <c r="N65" s="3" t="str">
        <f t="shared" si="3"/>
        <v>Arábia Saudita</v>
      </c>
      <c r="O65" s="3" t="str">
        <f t="shared" si="4"/>
        <v>-</v>
      </c>
      <c r="P65" s="3"/>
      <c r="Q65" s="3" t="b">
        <f t="shared" si="5"/>
        <v>0</v>
      </c>
      <c r="R65" s="3" t="b">
        <f t="shared" si="6"/>
        <v>0</v>
      </c>
      <c r="S65" s="3" t="b">
        <f t="shared" si="7"/>
        <v>0</v>
      </c>
      <c r="T65" s="3" t="b">
        <f t="shared" si="8"/>
        <v>0</v>
      </c>
      <c r="U65" s="3" t="b">
        <f t="shared" si="9"/>
        <v>1</v>
      </c>
      <c r="V65" s="3"/>
      <c r="W65" s="3" cm="1">
        <f t="array" ref="W65">IF(OR(J65="Brasil",N65="Brasil"),2*_xlfn.IFS(Q65=TRUE,6,R65=TRUE,4,AND(S65=TRUE,T65=FALSE),3,T65=TRUE,2,U65=TRUE,0),_xlfn.IFS(Q65=TRUE,6,R65=TRUE,4,AND(S65=TRUE,T65=FALSE),3,T65=TRUE,2,U65=TRUE,0))</f>
        <v>0</v>
      </c>
      <c r="X65" s="3"/>
      <c r="Y65" s="3"/>
    </row>
    <row r="66" spans="1:25" ht="14.25" customHeight="1" x14ac:dyDescent="0.3">
      <c r="A66" s="3">
        <f>'Tabela de Jogos'!A66</f>
        <v>64</v>
      </c>
      <c r="B66" s="3" t="str">
        <f>'Tabela de Jogos'!B66</f>
        <v>Uruguai</v>
      </c>
      <c r="C66" s="3">
        <f>'Tabela de Jogos'!C66</f>
        <v>0</v>
      </c>
      <c r="D66" s="3" t="str">
        <f>'Tabela de Jogos'!D66</f>
        <v>x</v>
      </c>
      <c r="E66" s="3">
        <f>'Tabela de Jogos'!E66</f>
        <v>0</v>
      </c>
      <c r="F66" s="3" t="str">
        <f>'Tabela de Jogos'!F66</f>
        <v>Espanha</v>
      </c>
      <c r="G66" s="3" t="str">
        <f>'Tabela de Jogos'!G66</f>
        <v>-</v>
      </c>
      <c r="H66" s="3"/>
      <c r="I66" s="3">
        <f t="shared" ref="I66:J66" si="72">A66</f>
        <v>64</v>
      </c>
      <c r="J66" s="3" t="str">
        <f t="shared" si="72"/>
        <v>Uruguai</v>
      </c>
      <c r="K66" s="3"/>
      <c r="L66" s="3" t="str">
        <f t="shared" si="2"/>
        <v>x</v>
      </c>
      <c r="M66" s="3"/>
      <c r="N66" s="3" t="str">
        <f t="shared" si="3"/>
        <v>Espanha</v>
      </c>
      <c r="O66" s="3" t="str">
        <f t="shared" si="4"/>
        <v>-</v>
      </c>
      <c r="P66" s="3"/>
      <c r="Q66" s="3" t="b">
        <f t="shared" si="5"/>
        <v>0</v>
      </c>
      <c r="R66" s="3" t="b">
        <f t="shared" si="6"/>
        <v>0</v>
      </c>
      <c r="S66" s="3" t="b">
        <f t="shared" si="7"/>
        <v>0</v>
      </c>
      <c r="T66" s="3" t="b">
        <f t="shared" si="8"/>
        <v>0</v>
      </c>
      <c r="U66" s="3" t="b">
        <f t="shared" si="9"/>
        <v>1</v>
      </c>
      <c r="V66" s="3"/>
      <c r="W66" s="3" cm="1">
        <f t="array" ref="W66">IF(OR(J66="Brasil",N66="Brasil"),2*_xlfn.IFS(Q66=TRUE,6,R66=TRUE,4,AND(S66=TRUE,T66=FALSE),3,T66=TRUE,2,U66=TRUE,0),_xlfn.IFS(Q66=TRUE,6,R66=TRUE,4,AND(S66=TRUE,T66=FALSE),3,T66=TRUE,2,U66=TRUE,0))</f>
        <v>0</v>
      </c>
      <c r="X66" s="3"/>
      <c r="Y66" s="3"/>
    </row>
    <row r="67" spans="1:25" ht="14.25" customHeight="1" x14ac:dyDescent="0.3">
      <c r="A67" s="3">
        <f>'Tabela de Jogos'!A67</f>
        <v>65</v>
      </c>
      <c r="B67" s="3" t="str">
        <f>'Tabela de Jogos'!B67</f>
        <v>Nova Zelândia</v>
      </c>
      <c r="C67" s="3">
        <f>'Tabela de Jogos'!C67</f>
        <v>0</v>
      </c>
      <c r="D67" s="3" t="str">
        <f>'Tabela de Jogos'!D67</f>
        <v>x</v>
      </c>
      <c r="E67" s="3">
        <f>'Tabela de Jogos'!E67</f>
        <v>0</v>
      </c>
      <c r="F67" s="3" t="str">
        <f>'Tabela de Jogos'!F67</f>
        <v>Bélgica</v>
      </c>
      <c r="G67" s="3" t="str">
        <f>'Tabela de Jogos'!G67</f>
        <v>-</v>
      </c>
      <c r="H67" s="3"/>
      <c r="I67" s="3">
        <f t="shared" ref="I67:J67" si="73">A67</f>
        <v>65</v>
      </c>
      <c r="J67" s="3" t="str">
        <f t="shared" si="73"/>
        <v>Nova Zelândia</v>
      </c>
      <c r="K67" s="3"/>
      <c r="L67" s="3" t="str">
        <f t="shared" si="2"/>
        <v>x</v>
      </c>
      <c r="M67" s="3"/>
      <c r="N67" s="3" t="str">
        <f t="shared" si="3"/>
        <v>Bélgica</v>
      </c>
      <c r="O67" s="3" t="str">
        <f t="shared" si="4"/>
        <v>-</v>
      </c>
      <c r="P67" s="3"/>
      <c r="Q67" s="3" t="b">
        <f t="shared" si="5"/>
        <v>0</v>
      </c>
      <c r="R67" s="3" t="b">
        <f t="shared" si="6"/>
        <v>0</v>
      </c>
      <c r="S67" s="3" t="b">
        <f t="shared" si="7"/>
        <v>0</v>
      </c>
      <c r="T67" s="3" t="b">
        <f t="shared" si="8"/>
        <v>0</v>
      </c>
      <c r="U67" s="3" t="b">
        <f t="shared" si="9"/>
        <v>1</v>
      </c>
      <c r="V67" s="3"/>
      <c r="W67" s="3" cm="1">
        <f t="array" ref="W67">IF(OR(J67="Brasil",N67="Brasil"),2*_xlfn.IFS(Q67=TRUE,6,R67=TRUE,4,AND(S67=TRUE,T67=FALSE),3,T67=TRUE,2,U67=TRUE,0),_xlfn.IFS(Q67=TRUE,6,R67=TRUE,4,AND(S67=TRUE,T67=FALSE),3,T67=TRUE,2,U67=TRUE,0))</f>
        <v>0</v>
      </c>
      <c r="X67" s="3"/>
      <c r="Y67" s="3"/>
    </row>
    <row r="68" spans="1:25" ht="14.25" customHeight="1" x14ac:dyDescent="0.3">
      <c r="A68" s="3">
        <f>'Tabela de Jogos'!A68</f>
        <v>66</v>
      </c>
      <c r="B68" s="3" t="str">
        <f>'Tabela de Jogos'!B68</f>
        <v>Egito</v>
      </c>
      <c r="C68" s="3">
        <f>'Tabela de Jogos'!C68</f>
        <v>0</v>
      </c>
      <c r="D68" s="3" t="str">
        <f>'Tabela de Jogos'!D68</f>
        <v>x</v>
      </c>
      <c r="E68" s="3">
        <f>'Tabela de Jogos'!E68</f>
        <v>0</v>
      </c>
      <c r="F68" s="3" t="str">
        <f>'Tabela de Jogos'!F68</f>
        <v>Irã</v>
      </c>
      <c r="G68" s="3" t="str">
        <f>'Tabela de Jogos'!G68</f>
        <v>-</v>
      </c>
      <c r="H68" s="3"/>
      <c r="I68" s="3">
        <f t="shared" ref="I68:J68" si="74">A68</f>
        <v>66</v>
      </c>
      <c r="J68" s="3" t="str">
        <f t="shared" si="74"/>
        <v>Egito</v>
      </c>
      <c r="K68" s="3"/>
      <c r="L68" s="3" t="str">
        <f t="shared" si="2"/>
        <v>x</v>
      </c>
      <c r="M68" s="3"/>
      <c r="N68" s="3" t="str">
        <f t="shared" si="3"/>
        <v>Irã</v>
      </c>
      <c r="O68" s="3" t="str">
        <f t="shared" si="4"/>
        <v>-</v>
      </c>
      <c r="P68" s="3"/>
      <c r="Q68" s="3" t="b">
        <f t="shared" si="5"/>
        <v>0</v>
      </c>
      <c r="R68" s="3" t="b">
        <f t="shared" si="6"/>
        <v>0</v>
      </c>
      <c r="S68" s="3" t="b">
        <f t="shared" si="7"/>
        <v>0</v>
      </c>
      <c r="T68" s="3" t="b">
        <f t="shared" si="8"/>
        <v>0</v>
      </c>
      <c r="U68" s="3" t="b">
        <f t="shared" si="9"/>
        <v>1</v>
      </c>
      <c r="V68" s="3"/>
      <c r="W68" s="3" cm="1">
        <f t="array" ref="W68">IF(OR(J68="Brasil",N68="Brasil"),2*_xlfn.IFS(Q68=TRUE,6,R68=TRUE,4,AND(S68=TRUE,T68=FALSE),3,T68=TRUE,2,U68=TRUE,0),_xlfn.IFS(Q68=TRUE,6,R68=TRUE,4,AND(S68=TRUE,T68=FALSE),3,T68=TRUE,2,U68=TRUE,0))</f>
        <v>0</v>
      </c>
      <c r="X68" s="3"/>
      <c r="Y68" s="3"/>
    </row>
    <row r="69" spans="1:25" ht="14.25" customHeight="1" x14ac:dyDescent="0.3">
      <c r="A69" s="3">
        <f>'Tabela de Jogos'!A69</f>
        <v>67</v>
      </c>
      <c r="B69" s="3" t="str">
        <f>'Tabela de Jogos'!B69</f>
        <v>Panamá</v>
      </c>
      <c r="C69" s="3">
        <f>'Tabela de Jogos'!C69</f>
        <v>0</v>
      </c>
      <c r="D69" s="3" t="str">
        <f>'Tabela de Jogos'!D69</f>
        <v>x</v>
      </c>
      <c r="E69" s="3">
        <f>'Tabela de Jogos'!E69</f>
        <v>0</v>
      </c>
      <c r="F69" s="3" t="str">
        <f>'Tabela de Jogos'!F69</f>
        <v>Inglaterra</v>
      </c>
      <c r="G69" s="3" t="str">
        <f>'Tabela de Jogos'!G69</f>
        <v>-</v>
      </c>
      <c r="H69" s="3"/>
      <c r="I69" s="3">
        <f t="shared" ref="I69:J69" si="75">A69</f>
        <v>67</v>
      </c>
      <c r="J69" s="3" t="str">
        <f t="shared" si="75"/>
        <v>Panamá</v>
      </c>
      <c r="K69" s="3"/>
      <c r="L69" s="3" t="str">
        <f t="shared" si="2"/>
        <v>x</v>
      </c>
      <c r="M69" s="3"/>
      <c r="N69" s="3" t="str">
        <f t="shared" si="3"/>
        <v>Inglaterra</v>
      </c>
      <c r="O69" s="3" t="str">
        <f t="shared" si="4"/>
        <v>-</v>
      </c>
      <c r="P69" s="3"/>
      <c r="Q69" s="3" t="b">
        <f t="shared" si="5"/>
        <v>0</v>
      </c>
      <c r="R69" s="3" t="b">
        <f t="shared" si="6"/>
        <v>0</v>
      </c>
      <c r="S69" s="3" t="b">
        <f t="shared" si="7"/>
        <v>0</v>
      </c>
      <c r="T69" s="3" t="b">
        <f t="shared" si="8"/>
        <v>0</v>
      </c>
      <c r="U69" s="3" t="b">
        <f t="shared" si="9"/>
        <v>1</v>
      </c>
      <c r="V69" s="3"/>
      <c r="W69" s="3" cm="1">
        <f t="array" ref="W69">IF(OR(J69="Brasil",N69="Brasil"),2*_xlfn.IFS(Q69=TRUE,6,R69=TRUE,4,AND(S69=TRUE,T69=FALSE),3,T69=TRUE,2,U69=TRUE,0),_xlfn.IFS(Q69=TRUE,6,R69=TRUE,4,AND(S69=TRUE,T69=FALSE),3,T69=TRUE,2,U69=TRUE,0))</f>
        <v>0</v>
      </c>
      <c r="X69" s="3"/>
      <c r="Y69" s="3"/>
    </row>
    <row r="70" spans="1:25" ht="14.25" customHeight="1" x14ac:dyDescent="0.3">
      <c r="A70" s="3">
        <f>'Tabela de Jogos'!A70</f>
        <v>68</v>
      </c>
      <c r="B70" s="3" t="str">
        <f>'Tabela de Jogos'!B70</f>
        <v>Croácia</v>
      </c>
      <c r="C70" s="3">
        <f>'Tabela de Jogos'!C70</f>
        <v>0</v>
      </c>
      <c r="D70" s="3" t="str">
        <f>'Tabela de Jogos'!D70</f>
        <v>x</v>
      </c>
      <c r="E70" s="3">
        <f>'Tabela de Jogos'!E70</f>
        <v>0</v>
      </c>
      <c r="F70" s="3" t="str">
        <f>'Tabela de Jogos'!F70</f>
        <v>Gana</v>
      </c>
      <c r="G70" s="3" t="str">
        <f>'Tabela de Jogos'!G70</f>
        <v>-</v>
      </c>
      <c r="H70" s="3"/>
      <c r="I70" s="3">
        <f t="shared" ref="I70:J70" si="76">A70</f>
        <v>68</v>
      </c>
      <c r="J70" s="3" t="str">
        <f t="shared" si="76"/>
        <v>Croácia</v>
      </c>
      <c r="K70" s="3"/>
      <c r="L70" s="3" t="str">
        <f t="shared" si="2"/>
        <v>x</v>
      </c>
      <c r="M70" s="3"/>
      <c r="N70" s="3" t="str">
        <f t="shared" si="3"/>
        <v>Gana</v>
      </c>
      <c r="O70" s="3" t="str">
        <f t="shared" si="4"/>
        <v>-</v>
      </c>
      <c r="P70" s="3"/>
      <c r="Q70" s="3" t="b">
        <f t="shared" si="5"/>
        <v>0</v>
      </c>
      <c r="R70" s="3" t="b">
        <f t="shared" si="6"/>
        <v>0</v>
      </c>
      <c r="S70" s="3" t="b">
        <f t="shared" si="7"/>
        <v>0</v>
      </c>
      <c r="T70" s="3" t="b">
        <f t="shared" si="8"/>
        <v>0</v>
      </c>
      <c r="U70" s="3" t="b">
        <f t="shared" si="9"/>
        <v>1</v>
      </c>
      <c r="V70" s="3"/>
      <c r="W70" s="3" cm="1">
        <f t="array" ref="W70">IF(OR(J70="Brasil",N70="Brasil"),2*_xlfn.IFS(Q70=TRUE,6,R70=TRUE,4,AND(S70=TRUE,T70=FALSE),3,T70=TRUE,2,U70=TRUE,0),_xlfn.IFS(Q70=TRUE,6,R70=TRUE,4,AND(S70=TRUE,T70=FALSE),3,T70=TRUE,2,U70=TRUE,0))</f>
        <v>0</v>
      </c>
      <c r="X70" s="3"/>
      <c r="Y70" s="3"/>
    </row>
    <row r="71" spans="1:25" ht="14.25" customHeight="1" x14ac:dyDescent="0.3">
      <c r="A71" s="3">
        <f>'Tabela de Jogos'!A71</f>
        <v>69</v>
      </c>
      <c r="B71" s="3" t="str">
        <f>'Tabela de Jogos'!B71</f>
        <v>Colômbia</v>
      </c>
      <c r="C71" s="3">
        <f>'Tabela de Jogos'!C71</f>
        <v>0</v>
      </c>
      <c r="D71" s="3" t="str">
        <f>'Tabela de Jogos'!D71</f>
        <v>x</v>
      </c>
      <c r="E71" s="3">
        <f>'Tabela de Jogos'!E71</f>
        <v>0</v>
      </c>
      <c r="F71" s="3" t="str">
        <f>'Tabela de Jogos'!F71</f>
        <v>Portugal</v>
      </c>
      <c r="G71" s="3" t="str">
        <f>'Tabela de Jogos'!G71</f>
        <v>-</v>
      </c>
      <c r="H71" s="3"/>
      <c r="I71" s="3">
        <f t="shared" ref="I71:J71" si="77">A71</f>
        <v>69</v>
      </c>
      <c r="J71" s="3" t="str">
        <f t="shared" si="77"/>
        <v>Colômbia</v>
      </c>
      <c r="K71" s="3"/>
      <c r="L71" s="3" t="str">
        <f t="shared" si="2"/>
        <v>x</v>
      </c>
      <c r="M71" s="3"/>
      <c r="N71" s="3" t="str">
        <f t="shared" si="3"/>
        <v>Portugal</v>
      </c>
      <c r="O71" s="3" t="str">
        <f t="shared" si="4"/>
        <v>-</v>
      </c>
      <c r="P71" s="3"/>
      <c r="Q71" s="3" t="b">
        <f t="shared" si="5"/>
        <v>0</v>
      </c>
      <c r="R71" s="3" t="b">
        <f t="shared" si="6"/>
        <v>0</v>
      </c>
      <c r="S71" s="3" t="b">
        <f t="shared" si="7"/>
        <v>0</v>
      </c>
      <c r="T71" s="3" t="b">
        <f t="shared" si="8"/>
        <v>0</v>
      </c>
      <c r="U71" s="3" t="b">
        <f t="shared" si="9"/>
        <v>1</v>
      </c>
      <c r="V71" s="3"/>
      <c r="W71" s="3" cm="1">
        <f t="array" ref="W71">IF(OR(J71="Brasil",N71="Brasil"),2*_xlfn.IFS(Q71=TRUE,6,R71=TRUE,4,AND(S71=TRUE,T71=FALSE),3,T71=TRUE,2,U71=TRUE,0),_xlfn.IFS(Q71=TRUE,6,R71=TRUE,4,AND(S71=TRUE,T71=FALSE),3,T71=TRUE,2,U71=TRUE,0))</f>
        <v>0</v>
      </c>
      <c r="X71" s="3"/>
      <c r="Y71" s="3"/>
    </row>
    <row r="72" spans="1:25" ht="14.25" customHeight="1" x14ac:dyDescent="0.3">
      <c r="A72" s="3">
        <f>'Tabela de Jogos'!A72</f>
        <v>70</v>
      </c>
      <c r="B72" s="3" t="str">
        <f>'Tabela de Jogos'!B72</f>
        <v>RD Congo</v>
      </c>
      <c r="C72" s="3">
        <f>'Tabela de Jogos'!C72</f>
        <v>0</v>
      </c>
      <c r="D72" s="3" t="str">
        <f>'Tabela de Jogos'!D72</f>
        <v>x</v>
      </c>
      <c r="E72" s="3">
        <f>'Tabela de Jogos'!E72</f>
        <v>0</v>
      </c>
      <c r="F72" s="3" t="str">
        <f>'Tabela de Jogos'!F72</f>
        <v>Uzbequistão</v>
      </c>
      <c r="G72" s="3" t="str">
        <f>'Tabela de Jogos'!G72</f>
        <v>-</v>
      </c>
      <c r="H72" s="3"/>
      <c r="I72" s="3">
        <f t="shared" ref="I72:J72" si="78">A72</f>
        <v>70</v>
      </c>
      <c r="J72" s="3" t="str">
        <f t="shared" si="78"/>
        <v>RD Congo</v>
      </c>
      <c r="K72" s="3"/>
      <c r="L72" s="3" t="str">
        <f t="shared" si="2"/>
        <v>x</v>
      </c>
      <c r="M72" s="3"/>
      <c r="N72" s="3" t="str">
        <f t="shared" si="3"/>
        <v>Uzbequistão</v>
      </c>
      <c r="O72" s="3" t="str">
        <f t="shared" si="4"/>
        <v>-</v>
      </c>
      <c r="P72" s="3"/>
      <c r="Q72" s="3" t="b">
        <f t="shared" si="5"/>
        <v>0</v>
      </c>
      <c r="R72" s="3" t="b">
        <f t="shared" si="6"/>
        <v>0</v>
      </c>
      <c r="S72" s="3" t="b">
        <f t="shared" si="7"/>
        <v>0</v>
      </c>
      <c r="T72" s="3" t="b">
        <f t="shared" si="8"/>
        <v>0</v>
      </c>
      <c r="U72" s="3" t="b">
        <f t="shared" si="9"/>
        <v>1</v>
      </c>
      <c r="V72" s="3"/>
      <c r="W72" s="3" cm="1">
        <f t="array" ref="W72">IF(OR(J72="Brasil",N72="Brasil"),2*_xlfn.IFS(Q72=TRUE,6,R72=TRUE,4,AND(S72=TRUE,T72=FALSE),3,T72=TRUE,2,U72=TRUE,0),_xlfn.IFS(Q72=TRUE,6,R72=TRUE,4,AND(S72=TRUE,T72=FALSE),3,T72=TRUE,2,U72=TRUE,0))</f>
        <v>0</v>
      </c>
      <c r="X72" s="3"/>
      <c r="Y72" s="3"/>
    </row>
    <row r="73" spans="1:25" ht="14.25" customHeight="1" x14ac:dyDescent="0.3">
      <c r="A73" s="3">
        <f>'Tabela de Jogos'!A73</f>
        <v>71</v>
      </c>
      <c r="B73" s="3" t="str">
        <f>'Tabela de Jogos'!B73</f>
        <v>Argélia</v>
      </c>
      <c r="C73" s="3">
        <f>'Tabela de Jogos'!C73</f>
        <v>0</v>
      </c>
      <c r="D73" s="3" t="str">
        <f>'Tabela de Jogos'!D73</f>
        <v>x</v>
      </c>
      <c r="E73" s="3">
        <f>'Tabela de Jogos'!E73</f>
        <v>0</v>
      </c>
      <c r="F73" s="3" t="str">
        <f>'Tabela de Jogos'!F73</f>
        <v>Áustria</v>
      </c>
      <c r="G73" s="3" t="str">
        <f>'Tabela de Jogos'!G73</f>
        <v>-</v>
      </c>
      <c r="H73" s="3"/>
      <c r="I73" s="3">
        <f t="shared" ref="I73:J73" si="79">A73</f>
        <v>71</v>
      </c>
      <c r="J73" s="3" t="str">
        <f t="shared" si="79"/>
        <v>Argélia</v>
      </c>
      <c r="K73" s="3"/>
      <c r="L73" s="3" t="str">
        <f t="shared" si="2"/>
        <v>x</v>
      </c>
      <c r="M73" s="3"/>
      <c r="N73" s="3" t="str">
        <f t="shared" si="3"/>
        <v>Áustria</v>
      </c>
      <c r="O73" s="3" t="str">
        <f t="shared" si="4"/>
        <v>-</v>
      </c>
      <c r="P73" s="3"/>
      <c r="Q73" s="3" t="b">
        <f t="shared" si="5"/>
        <v>0</v>
      </c>
      <c r="R73" s="3" t="b">
        <f t="shared" si="6"/>
        <v>0</v>
      </c>
      <c r="S73" s="3" t="b">
        <f t="shared" si="7"/>
        <v>0</v>
      </c>
      <c r="T73" s="3" t="b">
        <f t="shared" si="8"/>
        <v>0</v>
      </c>
      <c r="U73" s="3" t="b">
        <f t="shared" si="9"/>
        <v>1</v>
      </c>
      <c r="V73" s="3"/>
      <c r="W73" s="3" cm="1">
        <f t="array" ref="W73">IF(OR(J73="Brasil",N73="Brasil"),2*_xlfn.IFS(Q73=TRUE,6,R73=TRUE,4,AND(S73=TRUE,T73=FALSE),3,T73=TRUE,2,U73=TRUE,0),_xlfn.IFS(Q73=TRUE,6,R73=TRUE,4,AND(S73=TRUE,T73=FALSE),3,T73=TRUE,2,U73=TRUE,0))</f>
        <v>0</v>
      </c>
      <c r="X73" s="3"/>
      <c r="Y73" s="3"/>
    </row>
    <row r="74" spans="1:25" ht="14.25" customHeight="1" x14ac:dyDescent="0.3">
      <c r="A74" s="3">
        <f>'Tabela de Jogos'!A74</f>
        <v>72</v>
      </c>
      <c r="B74" s="3" t="str">
        <f>'Tabela de Jogos'!B74</f>
        <v>Jordânia</v>
      </c>
      <c r="C74" s="3">
        <f>'Tabela de Jogos'!C74</f>
        <v>0</v>
      </c>
      <c r="D74" s="3" t="str">
        <f>'Tabela de Jogos'!D74</f>
        <v>x</v>
      </c>
      <c r="E74" s="3">
        <f>'Tabela de Jogos'!E74</f>
        <v>0</v>
      </c>
      <c r="F74" s="3" t="str">
        <f>'Tabela de Jogos'!F74</f>
        <v>Argentina</v>
      </c>
      <c r="G74" s="3" t="str">
        <f>'Tabela de Jogos'!G74</f>
        <v>-</v>
      </c>
      <c r="H74" s="3"/>
      <c r="I74" s="3">
        <f t="shared" ref="I74:J74" si="80">A74</f>
        <v>72</v>
      </c>
      <c r="J74" s="3" t="str">
        <f t="shared" si="80"/>
        <v>Jordânia</v>
      </c>
      <c r="K74" s="3"/>
      <c r="L74" s="3" t="str">
        <f t="shared" si="2"/>
        <v>x</v>
      </c>
      <c r="M74" s="3"/>
      <c r="N74" s="3" t="str">
        <f t="shared" si="3"/>
        <v>Argentina</v>
      </c>
      <c r="O74" s="3" t="str">
        <f t="shared" si="4"/>
        <v>-</v>
      </c>
      <c r="P74" s="3"/>
      <c r="Q74" s="3" t="b">
        <f t="shared" si="5"/>
        <v>0</v>
      </c>
      <c r="R74" s="3" t="b">
        <f t="shared" si="6"/>
        <v>0</v>
      </c>
      <c r="S74" s="3" t="b">
        <f t="shared" si="7"/>
        <v>0</v>
      </c>
      <c r="T74" s="3" t="b">
        <f t="shared" si="8"/>
        <v>0</v>
      </c>
      <c r="U74" s="3" t="b">
        <f t="shared" si="9"/>
        <v>1</v>
      </c>
      <c r="V74" s="3"/>
      <c r="W74" s="3" cm="1">
        <f t="array" ref="W74">IF(OR(J74="Brasil",N74="Brasil"),2*_xlfn.IFS(Q74=TRUE,6,R74=TRUE,4,AND(S74=TRUE,T74=FALSE),3,T74=TRUE,2,U74=TRUE,0),_xlfn.IFS(Q74=TRUE,6,R74=TRUE,4,AND(S74=TRUE,T74=FALSE),3,T74=TRUE,2,U74=TRUE,0))</f>
        <v>0</v>
      </c>
      <c r="X74" s="3"/>
      <c r="Y74" s="3"/>
    </row>
    <row r="75" spans="1:25" ht="14.25" customHeight="1" x14ac:dyDescent="0.3">
      <c r="A75" s="3">
        <f>'Tabela de Jogos'!A75</f>
        <v>73</v>
      </c>
      <c r="B75" s="3">
        <f>'Tabela de Jogos'!B75</f>
        <v>0</v>
      </c>
      <c r="C75" s="3">
        <f>'Tabela de Jogos'!C75</f>
        <v>0</v>
      </c>
      <c r="D75" s="3" t="str">
        <f>'Tabela de Jogos'!D75</f>
        <v>x</v>
      </c>
      <c r="E75" s="3">
        <f>'Tabela de Jogos'!E75</f>
        <v>0</v>
      </c>
      <c r="F75" s="3">
        <f>'Tabela de Jogos'!F75</f>
        <v>0</v>
      </c>
      <c r="G75" s="3" t="str">
        <f>'Tabela de Jogos'!G75</f>
        <v>-</v>
      </c>
      <c r="H75" s="3"/>
      <c r="I75" s="3">
        <f t="shared" ref="I75:J75" si="81">A75</f>
        <v>73</v>
      </c>
      <c r="J75" s="3">
        <f t="shared" si="81"/>
        <v>0</v>
      </c>
      <c r="K75" s="3"/>
      <c r="L75" s="3" t="str">
        <f t="shared" si="2"/>
        <v>x</v>
      </c>
      <c r="M75" s="3"/>
      <c r="N75" s="3">
        <f t="shared" si="3"/>
        <v>0</v>
      </c>
      <c r="O75" s="3" t="str">
        <f t="shared" si="4"/>
        <v>-</v>
      </c>
      <c r="P75" s="3"/>
      <c r="Q75" s="3" t="b">
        <f t="shared" si="5"/>
        <v>0</v>
      </c>
      <c r="R75" s="3" t="b">
        <f t="shared" si="6"/>
        <v>0</v>
      </c>
      <c r="S75" s="3" t="b">
        <f t="shared" si="7"/>
        <v>0</v>
      </c>
      <c r="T75" s="3" t="b">
        <f t="shared" si="8"/>
        <v>0</v>
      </c>
      <c r="U75" s="3" t="b">
        <f t="shared" si="9"/>
        <v>1</v>
      </c>
      <c r="V75" s="3"/>
      <c r="W75" s="3" cm="1">
        <f t="array" ref="W75">IF(OR(J75="Brasil",N75="Brasil"),2*_xlfn.IFS(Q75=TRUE,6,R75=TRUE,4,AND(S75=TRUE,T75=FALSE),3,T75=TRUE,2,U75=TRUE,0),_xlfn.IFS(Q75=TRUE,6,R75=TRUE,4,AND(S75=TRUE,T75=FALSE),3,T75=TRUE,2,U75=TRUE,0))</f>
        <v>0</v>
      </c>
      <c r="X75" s="3"/>
      <c r="Y75" s="3"/>
    </row>
    <row r="76" spans="1:25" ht="14.25" customHeight="1" x14ac:dyDescent="0.3">
      <c r="A76" s="3">
        <f>'Tabela de Jogos'!A76</f>
        <v>74</v>
      </c>
      <c r="B76" s="3">
        <f>'Tabela de Jogos'!B76</f>
        <v>0</v>
      </c>
      <c r="C76" s="3">
        <f>'Tabela de Jogos'!C76</f>
        <v>0</v>
      </c>
      <c r="D76" s="3" t="str">
        <f>'Tabela de Jogos'!D76</f>
        <v>x</v>
      </c>
      <c r="E76" s="3">
        <f>'Tabela de Jogos'!E76</f>
        <v>0</v>
      </c>
      <c r="F76" s="3">
        <f>'Tabela de Jogos'!F76</f>
        <v>0</v>
      </c>
      <c r="G76" s="3" t="str">
        <f>'Tabela de Jogos'!G76</f>
        <v>-</v>
      </c>
      <c r="H76" s="3"/>
      <c r="I76" s="3">
        <f t="shared" ref="I76:J76" si="82">A76</f>
        <v>74</v>
      </c>
      <c r="J76" s="3">
        <f t="shared" si="82"/>
        <v>0</v>
      </c>
      <c r="K76" s="3"/>
      <c r="L76" s="3" t="str">
        <f t="shared" si="2"/>
        <v>x</v>
      </c>
      <c r="M76" s="3"/>
      <c r="N76" s="3">
        <f t="shared" si="3"/>
        <v>0</v>
      </c>
      <c r="O76" s="3" t="str">
        <f t="shared" si="4"/>
        <v>-</v>
      </c>
      <c r="P76" s="3"/>
      <c r="Q76" s="3" t="b">
        <f t="shared" si="5"/>
        <v>0</v>
      </c>
      <c r="R76" s="3" t="b">
        <f t="shared" si="6"/>
        <v>0</v>
      </c>
      <c r="S76" s="3" t="b">
        <f t="shared" si="7"/>
        <v>0</v>
      </c>
      <c r="T76" s="3" t="b">
        <f t="shared" si="8"/>
        <v>0</v>
      </c>
      <c r="U76" s="3" t="b">
        <f t="shared" si="9"/>
        <v>1</v>
      </c>
      <c r="V76" s="3"/>
      <c r="W76" s="3" cm="1">
        <f t="array" ref="W76">IF(OR(J76="Brasil",N76="Brasil"),2*_xlfn.IFS(Q76=TRUE,6,R76=TRUE,4,AND(S76=TRUE,T76=FALSE),3,T76=TRUE,2,U76=TRUE,0),_xlfn.IFS(Q76=TRUE,6,R76=TRUE,4,AND(S76=TRUE,T76=FALSE),3,T76=TRUE,2,U76=TRUE,0))</f>
        <v>0</v>
      </c>
      <c r="X76" s="3"/>
      <c r="Y76" s="3"/>
    </row>
    <row r="77" spans="1:25" ht="14.25" customHeight="1" x14ac:dyDescent="0.3">
      <c r="A77" s="3">
        <f>'Tabela de Jogos'!A77</f>
        <v>75</v>
      </c>
      <c r="B77" s="3">
        <f>'Tabela de Jogos'!B77</f>
        <v>0</v>
      </c>
      <c r="C77" s="3">
        <f>'Tabela de Jogos'!C77</f>
        <v>0</v>
      </c>
      <c r="D77" s="3" t="str">
        <f>'Tabela de Jogos'!D77</f>
        <v>x</v>
      </c>
      <c r="E77" s="3">
        <f>'Tabela de Jogos'!E77</f>
        <v>0</v>
      </c>
      <c r="F77" s="3">
        <f>'Tabela de Jogos'!F77</f>
        <v>0</v>
      </c>
      <c r="G77" s="3" t="str">
        <f>'Tabela de Jogos'!G77</f>
        <v>-</v>
      </c>
      <c r="H77" s="3"/>
      <c r="I77" s="3">
        <f t="shared" ref="I77:J77" si="83">A77</f>
        <v>75</v>
      </c>
      <c r="J77" s="3">
        <f t="shared" si="83"/>
        <v>0</v>
      </c>
      <c r="K77" s="3"/>
      <c r="L77" s="3" t="str">
        <f t="shared" si="2"/>
        <v>x</v>
      </c>
      <c r="M77" s="3"/>
      <c r="N77" s="3">
        <f t="shared" si="3"/>
        <v>0</v>
      </c>
      <c r="O77" s="3" t="str">
        <f t="shared" si="4"/>
        <v>-</v>
      </c>
      <c r="P77" s="3"/>
      <c r="Q77" s="3" t="b">
        <f t="shared" si="5"/>
        <v>0</v>
      </c>
      <c r="R77" s="3" t="b">
        <f t="shared" si="6"/>
        <v>0</v>
      </c>
      <c r="S77" s="3" t="b">
        <f t="shared" si="7"/>
        <v>0</v>
      </c>
      <c r="T77" s="3" t="b">
        <f t="shared" si="8"/>
        <v>0</v>
      </c>
      <c r="U77" s="3" t="b">
        <f t="shared" si="9"/>
        <v>1</v>
      </c>
      <c r="V77" s="3"/>
      <c r="W77" s="3" cm="1">
        <f t="array" ref="W77">IF(OR(J77="Brasil",N77="Brasil"),2*_xlfn.IFS(Q77=TRUE,6,R77=TRUE,4,AND(S77=TRUE,T77=FALSE),3,T77=TRUE,2,U77=TRUE,0),_xlfn.IFS(Q77=TRUE,6,R77=TRUE,4,AND(S77=TRUE,T77=FALSE),3,T77=TRUE,2,U77=TRUE,0))</f>
        <v>0</v>
      </c>
      <c r="X77" s="3"/>
      <c r="Y77" s="3"/>
    </row>
    <row r="78" spans="1:25" ht="14.25" customHeight="1" x14ac:dyDescent="0.3">
      <c r="A78" s="3">
        <f>'Tabela de Jogos'!A78</f>
        <v>76</v>
      </c>
      <c r="B78" s="3">
        <f>'Tabela de Jogos'!B78</f>
        <v>0</v>
      </c>
      <c r="C78" s="3">
        <f>'Tabela de Jogos'!C78</f>
        <v>0</v>
      </c>
      <c r="D78" s="3" t="str">
        <f>'Tabela de Jogos'!D78</f>
        <v>x</v>
      </c>
      <c r="E78" s="3">
        <f>'Tabela de Jogos'!E78</f>
        <v>0</v>
      </c>
      <c r="F78" s="3">
        <f>'Tabela de Jogos'!F78</f>
        <v>0</v>
      </c>
      <c r="G78" s="3" t="str">
        <f>'Tabela de Jogos'!G78</f>
        <v>-</v>
      </c>
      <c r="H78" s="3"/>
      <c r="I78" s="3">
        <f t="shared" ref="I78:J78" si="84">A78</f>
        <v>76</v>
      </c>
      <c r="J78" s="3">
        <f t="shared" si="84"/>
        <v>0</v>
      </c>
      <c r="K78" s="3"/>
      <c r="L78" s="3" t="str">
        <f t="shared" si="2"/>
        <v>x</v>
      </c>
      <c r="M78" s="3"/>
      <c r="N78" s="3">
        <f t="shared" si="3"/>
        <v>0</v>
      </c>
      <c r="O78" s="3" t="str">
        <f t="shared" si="4"/>
        <v>-</v>
      </c>
      <c r="P78" s="3"/>
      <c r="Q78" s="3" t="b">
        <f t="shared" si="5"/>
        <v>0</v>
      </c>
      <c r="R78" s="3" t="b">
        <f t="shared" si="6"/>
        <v>0</v>
      </c>
      <c r="S78" s="3" t="b">
        <f t="shared" si="7"/>
        <v>0</v>
      </c>
      <c r="T78" s="3" t="b">
        <f t="shared" si="8"/>
        <v>0</v>
      </c>
      <c r="U78" s="3" t="b">
        <f t="shared" si="9"/>
        <v>1</v>
      </c>
      <c r="V78" s="3"/>
      <c r="W78" s="3" cm="1">
        <f t="array" ref="W78">IF(OR(J78="Brasil",N78="Brasil"),2*_xlfn.IFS(Q78=TRUE,6,R78=TRUE,4,AND(S78=TRUE,T78=FALSE),3,T78=TRUE,2,U78=TRUE,0),_xlfn.IFS(Q78=TRUE,6,R78=TRUE,4,AND(S78=TRUE,T78=FALSE),3,T78=TRUE,2,U78=TRUE,0))</f>
        <v>0</v>
      </c>
      <c r="X78" s="3"/>
      <c r="Y78" s="3"/>
    </row>
    <row r="79" spans="1:25" ht="14.25" customHeight="1" x14ac:dyDescent="0.3">
      <c r="A79" s="3">
        <f>'Tabela de Jogos'!A79</f>
        <v>77</v>
      </c>
      <c r="B79" s="3">
        <f>'Tabela de Jogos'!B79</f>
        <v>0</v>
      </c>
      <c r="C79" s="3">
        <f>'Tabela de Jogos'!C79</f>
        <v>0</v>
      </c>
      <c r="D79" s="3" t="str">
        <f>'Tabela de Jogos'!D79</f>
        <v>x</v>
      </c>
      <c r="E79" s="3">
        <f>'Tabela de Jogos'!E79</f>
        <v>0</v>
      </c>
      <c r="F79" s="3">
        <f>'Tabela de Jogos'!F79</f>
        <v>0</v>
      </c>
      <c r="G79" s="3" t="str">
        <f>'Tabela de Jogos'!G79</f>
        <v>-</v>
      </c>
      <c r="H79" s="3"/>
      <c r="I79" s="3">
        <f t="shared" ref="I79:J79" si="85">A79</f>
        <v>77</v>
      </c>
      <c r="J79" s="3">
        <f t="shared" si="85"/>
        <v>0</v>
      </c>
      <c r="K79" s="3"/>
      <c r="L79" s="3" t="str">
        <f t="shared" si="2"/>
        <v>x</v>
      </c>
      <c r="M79" s="3"/>
      <c r="N79" s="3">
        <f t="shared" si="3"/>
        <v>0</v>
      </c>
      <c r="O79" s="3" t="str">
        <f t="shared" si="4"/>
        <v>-</v>
      </c>
      <c r="P79" s="3"/>
      <c r="Q79" s="3" t="b">
        <f t="shared" si="5"/>
        <v>0</v>
      </c>
      <c r="R79" s="3" t="b">
        <f t="shared" si="6"/>
        <v>0</v>
      </c>
      <c r="S79" s="3" t="b">
        <f t="shared" si="7"/>
        <v>0</v>
      </c>
      <c r="T79" s="3" t="b">
        <f t="shared" si="8"/>
        <v>0</v>
      </c>
      <c r="U79" s="3" t="b">
        <f t="shared" si="9"/>
        <v>1</v>
      </c>
      <c r="V79" s="3"/>
      <c r="W79" s="3" cm="1">
        <f t="array" ref="W79">IF(OR(J79="Brasil",N79="Brasil"),2*_xlfn.IFS(Q79=TRUE,6,R79=TRUE,4,AND(S79=TRUE,T79=FALSE),3,T79=TRUE,2,U79=TRUE,0),_xlfn.IFS(Q79=TRUE,6,R79=TRUE,4,AND(S79=TRUE,T79=FALSE),3,T79=TRUE,2,U79=TRUE,0))</f>
        <v>0</v>
      </c>
      <c r="X79" s="3"/>
      <c r="Y79" s="3"/>
    </row>
    <row r="80" spans="1:25" ht="14.25" customHeight="1" x14ac:dyDescent="0.3">
      <c r="A80" s="3">
        <f>'Tabela de Jogos'!A80</f>
        <v>78</v>
      </c>
      <c r="B80" s="3">
        <f>'Tabela de Jogos'!B80</f>
        <v>0</v>
      </c>
      <c r="C80" s="3">
        <f>'Tabela de Jogos'!C80</f>
        <v>0</v>
      </c>
      <c r="D80" s="3" t="str">
        <f>'Tabela de Jogos'!D80</f>
        <v>x</v>
      </c>
      <c r="E80" s="3">
        <f>'Tabela de Jogos'!E80</f>
        <v>0</v>
      </c>
      <c r="F80" s="3">
        <f>'Tabela de Jogos'!F80</f>
        <v>0</v>
      </c>
      <c r="G80" s="3" t="str">
        <f>'Tabela de Jogos'!G80</f>
        <v>-</v>
      </c>
      <c r="H80" s="3"/>
      <c r="I80" s="3">
        <f t="shared" ref="I80:J80" si="86">A80</f>
        <v>78</v>
      </c>
      <c r="J80" s="3">
        <f t="shared" si="86"/>
        <v>0</v>
      </c>
      <c r="K80" s="3"/>
      <c r="L80" s="3" t="str">
        <f t="shared" si="2"/>
        <v>x</v>
      </c>
      <c r="M80" s="3"/>
      <c r="N80" s="3">
        <f t="shared" si="3"/>
        <v>0</v>
      </c>
      <c r="O80" s="3" t="str">
        <f t="shared" si="4"/>
        <v>-</v>
      </c>
      <c r="P80" s="3"/>
      <c r="Q80" s="3" t="b">
        <f t="shared" si="5"/>
        <v>0</v>
      </c>
      <c r="R80" s="3" t="b">
        <f t="shared" si="6"/>
        <v>0</v>
      </c>
      <c r="S80" s="3" t="b">
        <f t="shared" si="7"/>
        <v>0</v>
      </c>
      <c r="T80" s="3" t="b">
        <f t="shared" si="8"/>
        <v>0</v>
      </c>
      <c r="U80" s="3" t="b">
        <f t="shared" si="9"/>
        <v>1</v>
      </c>
      <c r="V80" s="3"/>
      <c r="W80" s="3" cm="1">
        <f t="array" ref="W80">IF(OR(J80="Brasil",N80="Brasil"),2*_xlfn.IFS(Q80=TRUE,6,R80=TRUE,4,AND(S80=TRUE,T80=FALSE),3,T80=TRUE,2,U80=TRUE,0),_xlfn.IFS(Q80=TRUE,6,R80=TRUE,4,AND(S80=TRUE,T80=FALSE),3,T80=TRUE,2,U80=TRUE,0))</f>
        <v>0</v>
      </c>
      <c r="X80" s="3"/>
      <c r="Y80" s="3"/>
    </row>
    <row r="81" spans="1:25" ht="14.25" customHeight="1" x14ac:dyDescent="0.3">
      <c r="A81" s="3">
        <f>'Tabela de Jogos'!A81</f>
        <v>79</v>
      </c>
      <c r="B81" s="3">
        <f>'Tabela de Jogos'!B81</f>
        <v>0</v>
      </c>
      <c r="C81" s="3">
        <f>'Tabela de Jogos'!C81</f>
        <v>0</v>
      </c>
      <c r="D81" s="3" t="str">
        <f>'Tabela de Jogos'!D81</f>
        <v>x</v>
      </c>
      <c r="E81" s="3">
        <f>'Tabela de Jogos'!E81</f>
        <v>0</v>
      </c>
      <c r="F81" s="3">
        <f>'Tabela de Jogos'!F81</f>
        <v>0</v>
      </c>
      <c r="G81" s="3" t="str">
        <f>'Tabela de Jogos'!G81</f>
        <v>-</v>
      </c>
      <c r="H81" s="3"/>
      <c r="I81" s="3">
        <f t="shared" ref="I81:J81" si="87">A81</f>
        <v>79</v>
      </c>
      <c r="J81" s="3">
        <f t="shared" si="87"/>
        <v>0</v>
      </c>
      <c r="K81" s="3"/>
      <c r="L81" s="3" t="str">
        <f t="shared" si="2"/>
        <v>x</v>
      </c>
      <c r="M81" s="3"/>
      <c r="N81" s="3">
        <f t="shared" si="3"/>
        <v>0</v>
      </c>
      <c r="O81" s="3" t="str">
        <f t="shared" si="4"/>
        <v>-</v>
      </c>
      <c r="P81" s="3"/>
      <c r="Q81" s="3" t="b">
        <f t="shared" si="5"/>
        <v>0</v>
      </c>
      <c r="R81" s="3" t="b">
        <f t="shared" si="6"/>
        <v>0</v>
      </c>
      <c r="S81" s="3" t="b">
        <f t="shared" si="7"/>
        <v>0</v>
      </c>
      <c r="T81" s="3" t="b">
        <f t="shared" si="8"/>
        <v>0</v>
      </c>
      <c r="U81" s="3" t="b">
        <f t="shared" si="9"/>
        <v>1</v>
      </c>
      <c r="V81" s="3"/>
      <c r="W81" s="3" cm="1">
        <f t="array" ref="W81">IF(OR(J81="Brasil",N81="Brasil"),2*_xlfn.IFS(Q81=TRUE,6,R81=TRUE,4,AND(S81=TRUE,T81=FALSE),3,T81=TRUE,2,U81=TRUE,0),_xlfn.IFS(Q81=TRUE,6,R81=TRUE,4,AND(S81=TRUE,T81=FALSE),3,T81=TRUE,2,U81=TRUE,0))</f>
        <v>0</v>
      </c>
      <c r="X81" s="3"/>
      <c r="Y81" s="3"/>
    </row>
    <row r="82" spans="1:25" ht="14.25" customHeight="1" x14ac:dyDescent="0.3">
      <c r="A82" s="3">
        <f>'Tabela de Jogos'!A82</f>
        <v>80</v>
      </c>
      <c r="B82" s="3">
        <f>'Tabela de Jogos'!B82</f>
        <v>0</v>
      </c>
      <c r="C82" s="3">
        <f>'Tabela de Jogos'!C82</f>
        <v>0</v>
      </c>
      <c r="D82" s="3" t="str">
        <f>'Tabela de Jogos'!D82</f>
        <v>x</v>
      </c>
      <c r="E82" s="3">
        <f>'Tabela de Jogos'!E82</f>
        <v>0</v>
      </c>
      <c r="F82" s="3">
        <f>'Tabela de Jogos'!F82</f>
        <v>0</v>
      </c>
      <c r="G82" s="3" t="str">
        <f>'Tabela de Jogos'!G82</f>
        <v>-</v>
      </c>
      <c r="H82" s="3"/>
      <c r="I82" s="3">
        <f t="shared" ref="I82:J82" si="88">A82</f>
        <v>80</v>
      </c>
      <c r="J82" s="3">
        <f t="shared" si="88"/>
        <v>0</v>
      </c>
      <c r="K82" s="3"/>
      <c r="L82" s="3" t="str">
        <f t="shared" si="2"/>
        <v>x</v>
      </c>
      <c r="M82" s="3"/>
      <c r="N82" s="3">
        <f t="shared" si="3"/>
        <v>0</v>
      </c>
      <c r="O82" s="3" t="str">
        <f t="shared" si="4"/>
        <v>-</v>
      </c>
      <c r="P82" s="3"/>
      <c r="Q82" s="3" t="b">
        <f t="shared" si="5"/>
        <v>0</v>
      </c>
      <c r="R82" s="3" t="b">
        <f t="shared" si="6"/>
        <v>0</v>
      </c>
      <c r="S82" s="3" t="b">
        <f t="shared" si="7"/>
        <v>0</v>
      </c>
      <c r="T82" s="3" t="b">
        <f t="shared" si="8"/>
        <v>0</v>
      </c>
      <c r="U82" s="3" t="b">
        <f t="shared" si="9"/>
        <v>1</v>
      </c>
      <c r="V82" s="3"/>
      <c r="W82" s="3" cm="1">
        <f t="array" ref="W82">IF(OR(J82="Brasil",N82="Brasil"),2*_xlfn.IFS(Q82=TRUE,6,R82=TRUE,4,AND(S82=TRUE,T82=FALSE),3,T82=TRUE,2,U82=TRUE,0),_xlfn.IFS(Q82=TRUE,6,R82=TRUE,4,AND(S82=TRUE,T82=FALSE),3,T82=TRUE,2,U82=TRUE,0))</f>
        <v>0</v>
      </c>
      <c r="X82" s="3"/>
      <c r="Y82" s="3"/>
    </row>
    <row r="83" spans="1:25" ht="14.25" customHeight="1" x14ac:dyDescent="0.3">
      <c r="A83" s="3">
        <f>'Tabela de Jogos'!A83</f>
        <v>81</v>
      </c>
      <c r="B83" s="3">
        <f>'Tabela de Jogos'!B83</f>
        <v>0</v>
      </c>
      <c r="C83" s="3">
        <f>'Tabela de Jogos'!C83</f>
        <v>0</v>
      </c>
      <c r="D83" s="3" t="str">
        <f>'Tabela de Jogos'!D83</f>
        <v>x</v>
      </c>
      <c r="E83" s="3">
        <f>'Tabela de Jogos'!E83</f>
        <v>0</v>
      </c>
      <c r="F83" s="3">
        <f>'Tabela de Jogos'!F83</f>
        <v>0</v>
      </c>
      <c r="G83" s="3" t="str">
        <f>'Tabela de Jogos'!G83</f>
        <v>-</v>
      </c>
      <c r="H83" s="3"/>
      <c r="I83" s="3">
        <f t="shared" ref="I83:J83" si="89">A83</f>
        <v>81</v>
      </c>
      <c r="J83" s="3">
        <f t="shared" si="89"/>
        <v>0</v>
      </c>
      <c r="K83" s="3"/>
      <c r="L83" s="3" t="str">
        <f t="shared" si="2"/>
        <v>x</v>
      </c>
      <c r="M83" s="3"/>
      <c r="N83" s="3">
        <f t="shared" si="3"/>
        <v>0</v>
      </c>
      <c r="O83" s="3" t="str">
        <f t="shared" si="4"/>
        <v>-</v>
      </c>
      <c r="P83" s="3"/>
      <c r="Q83" s="3" t="b">
        <f t="shared" si="5"/>
        <v>0</v>
      </c>
      <c r="R83" s="3" t="b">
        <f t="shared" si="6"/>
        <v>0</v>
      </c>
      <c r="S83" s="3" t="b">
        <f t="shared" si="7"/>
        <v>0</v>
      </c>
      <c r="T83" s="3" t="b">
        <f t="shared" si="8"/>
        <v>0</v>
      </c>
      <c r="U83" s="3" t="b">
        <f t="shared" si="9"/>
        <v>1</v>
      </c>
      <c r="V83" s="3"/>
      <c r="W83" s="3" cm="1">
        <f t="array" ref="W83">IF(OR(J83="Brasil",N83="Brasil"),2*_xlfn.IFS(Q83=TRUE,6,R83=TRUE,4,AND(S83=TRUE,T83=FALSE),3,T83=TRUE,2,U83=TRUE,0),_xlfn.IFS(Q83=TRUE,6,R83=TRUE,4,AND(S83=TRUE,T83=FALSE),3,T83=TRUE,2,U83=TRUE,0))</f>
        <v>0</v>
      </c>
      <c r="X83" s="3"/>
      <c r="Y83" s="3"/>
    </row>
    <row r="84" spans="1:25" ht="14.25" customHeight="1" x14ac:dyDescent="0.3">
      <c r="A84" s="3">
        <f>'Tabela de Jogos'!A84</f>
        <v>82</v>
      </c>
      <c r="B84" s="3">
        <f>'Tabela de Jogos'!B84</f>
        <v>0</v>
      </c>
      <c r="C84" s="3">
        <f>'Tabela de Jogos'!C84</f>
        <v>0</v>
      </c>
      <c r="D84" s="3" t="str">
        <f>'Tabela de Jogos'!D84</f>
        <v>x</v>
      </c>
      <c r="E84" s="3">
        <f>'Tabela de Jogos'!E84</f>
        <v>0</v>
      </c>
      <c r="F84" s="3">
        <f>'Tabela de Jogos'!F84</f>
        <v>0</v>
      </c>
      <c r="G84" s="3" t="str">
        <f>'Tabela de Jogos'!G84</f>
        <v>-</v>
      </c>
      <c r="H84" s="3"/>
      <c r="I84" s="3">
        <f t="shared" ref="I84:J84" si="90">A84</f>
        <v>82</v>
      </c>
      <c r="J84" s="3">
        <f t="shared" si="90"/>
        <v>0</v>
      </c>
      <c r="K84" s="3"/>
      <c r="L84" s="3" t="str">
        <f t="shared" si="2"/>
        <v>x</v>
      </c>
      <c r="M84" s="3"/>
      <c r="N84" s="3">
        <f t="shared" si="3"/>
        <v>0</v>
      </c>
      <c r="O84" s="3" t="str">
        <f t="shared" si="4"/>
        <v>-</v>
      </c>
      <c r="P84" s="3"/>
      <c r="Q84" s="3" t="b">
        <f t="shared" si="5"/>
        <v>0</v>
      </c>
      <c r="R84" s="3" t="b">
        <f t="shared" si="6"/>
        <v>0</v>
      </c>
      <c r="S84" s="3" t="b">
        <f t="shared" si="7"/>
        <v>0</v>
      </c>
      <c r="T84" s="3" t="b">
        <f t="shared" si="8"/>
        <v>0</v>
      </c>
      <c r="U84" s="3" t="b">
        <f t="shared" si="9"/>
        <v>1</v>
      </c>
      <c r="V84" s="3"/>
      <c r="W84" s="3" cm="1">
        <f t="array" ref="W84">IF(OR(J84="Brasil",N84="Brasil"),2*_xlfn.IFS(Q84=TRUE,6,R84=TRUE,4,AND(S84=TRUE,T84=FALSE),3,T84=TRUE,2,U84=TRUE,0),_xlfn.IFS(Q84=TRUE,6,R84=TRUE,4,AND(S84=TRUE,T84=FALSE),3,T84=TRUE,2,U84=TRUE,0))</f>
        <v>0</v>
      </c>
      <c r="X84" s="3"/>
      <c r="Y84" s="3"/>
    </row>
    <row r="85" spans="1:25" ht="14.25" customHeight="1" x14ac:dyDescent="0.3">
      <c r="A85" s="3">
        <f>'Tabela de Jogos'!A85</f>
        <v>83</v>
      </c>
      <c r="B85" s="3">
        <f>'Tabela de Jogos'!B85</f>
        <v>0</v>
      </c>
      <c r="C85" s="3">
        <f>'Tabela de Jogos'!C85</f>
        <v>0</v>
      </c>
      <c r="D85" s="3" t="str">
        <f>'Tabela de Jogos'!D85</f>
        <v>x</v>
      </c>
      <c r="E85" s="3">
        <f>'Tabela de Jogos'!E85</f>
        <v>0</v>
      </c>
      <c r="F85" s="3">
        <f>'Tabela de Jogos'!F85</f>
        <v>0</v>
      </c>
      <c r="G85" s="3" t="str">
        <f>'Tabela de Jogos'!G85</f>
        <v>-</v>
      </c>
      <c r="H85" s="3"/>
      <c r="I85" s="3">
        <f t="shared" ref="I85:J85" si="91">A85</f>
        <v>83</v>
      </c>
      <c r="J85" s="3">
        <f t="shared" si="91"/>
        <v>0</v>
      </c>
      <c r="K85" s="3"/>
      <c r="L85" s="3" t="str">
        <f t="shared" si="2"/>
        <v>x</v>
      </c>
      <c r="M85" s="3"/>
      <c r="N85" s="3">
        <f t="shared" si="3"/>
        <v>0</v>
      </c>
      <c r="O85" s="3" t="str">
        <f t="shared" si="4"/>
        <v>-</v>
      </c>
      <c r="P85" s="3"/>
      <c r="Q85" s="3" t="b">
        <f t="shared" si="5"/>
        <v>0</v>
      </c>
      <c r="R85" s="3" t="b">
        <f t="shared" si="6"/>
        <v>0</v>
      </c>
      <c r="S85" s="3" t="b">
        <f t="shared" si="7"/>
        <v>0</v>
      </c>
      <c r="T85" s="3" t="b">
        <f t="shared" si="8"/>
        <v>0</v>
      </c>
      <c r="U85" s="3" t="b">
        <f t="shared" si="9"/>
        <v>1</v>
      </c>
      <c r="V85" s="3"/>
      <c r="W85" s="3" cm="1">
        <f t="array" ref="W85">IF(OR(J85="Brasil",N85="Brasil"),2*_xlfn.IFS(Q85=TRUE,6,R85=TRUE,4,AND(S85=TRUE,T85=FALSE),3,T85=TRUE,2,U85=TRUE,0),_xlfn.IFS(Q85=TRUE,6,R85=TRUE,4,AND(S85=TRUE,T85=FALSE),3,T85=TRUE,2,U85=TRUE,0))</f>
        <v>0</v>
      </c>
      <c r="X85" s="3"/>
      <c r="Y85" s="3"/>
    </row>
    <row r="86" spans="1:25" ht="14.25" customHeight="1" x14ac:dyDescent="0.3">
      <c r="A86" s="3">
        <f>'Tabela de Jogos'!A86</f>
        <v>84</v>
      </c>
      <c r="B86" s="3">
        <f>'Tabela de Jogos'!B86</f>
        <v>0</v>
      </c>
      <c r="C86" s="3">
        <f>'Tabela de Jogos'!C86</f>
        <v>0</v>
      </c>
      <c r="D86" s="3" t="str">
        <f>'Tabela de Jogos'!D86</f>
        <v>x</v>
      </c>
      <c r="E86" s="3">
        <f>'Tabela de Jogos'!E86</f>
        <v>0</v>
      </c>
      <c r="F86" s="3">
        <f>'Tabela de Jogos'!F86</f>
        <v>0</v>
      </c>
      <c r="G86" s="3" t="str">
        <f>'Tabela de Jogos'!G86</f>
        <v>-</v>
      </c>
      <c r="H86" s="3"/>
      <c r="I86" s="3">
        <f t="shared" ref="I86:J86" si="92">A86</f>
        <v>84</v>
      </c>
      <c r="J86" s="3">
        <f t="shared" si="92"/>
        <v>0</v>
      </c>
      <c r="K86" s="3"/>
      <c r="L86" s="3" t="str">
        <f t="shared" si="2"/>
        <v>x</v>
      </c>
      <c r="M86" s="3"/>
      <c r="N86" s="3">
        <f t="shared" si="3"/>
        <v>0</v>
      </c>
      <c r="O86" s="3" t="str">
        <f t="shared" si="4"/>
        <v>-</v>
      </c>
      <c r="P86" s="3"/>
      <c r="Q86" s="3" t="b">
        <f t="shared" si="5"/>
        <v>0</v>
      </c>
      <c r="R86" s="3" t="b">
        <f t="shared" si="6"/>
        <v>0</v>
      </c>
      <c r="S86" s="3" t="b">
        <f t="shared" si="7"/>
        <v>0</v>
      </c>
      <c r="T86" s="3" t="b">
        <f t="shared" si="8"/>
        <v>0</v>
      </c>
      <c r="U86" s="3" t="b">
        <f t="shared" si="9"/>
        <v>1</v>
      </c>
      <c r="V86" s="3"/>
      <c r="W86" s="3" cm="1">
        <f t="array" ref="W86">IF(OR(J86="Brasil",N86="Brasil"),2*_xlfn.IFS(Q86=TRUE,6,R86=TRUE,4,AND(S86=TRUE,T86=FALSE),3,T86=TRUE,2,U86=TRUE,0),_xlfn.IFS(Q86=TRUE,6,R86=TRUE,4,AND(S86=TRUE,T86=FALSE),3,T86=TRUE,2,U86=TRUE,0))</f>
        <v>0</v>
      </c>
      <c r="X86" s="3"/>
      <c r="Y86" s="3"/>
    </row>
    <row r="87" spans="1:25" ht="14.25" customHeight="1" x14ac:dyDescent="0.3">
      <c r="A87" s="3">
        <f>'Tabela de Jogos'!A87</f>
        <v>85</v>
      </c>
      <c r="B87" s="3">
        <f>'Tabela de Jogos'!B87</f>
        <v>0</v>
      </c>
      <c r="C87" s="3">
        <f>'Tabela de Jogos'!C87</f>
        <v>0</v>
      </c>
      <c r="D87" s="3" t="str">
        <f>'Tabela de Jogos'!D87</f>
        <v>x</v>
      </c>
      <c r="E87" s="3">
        <f>'Tabela de Jogos'!E87</f>
        <v>0</v>
      </c>
      <c r="F87" s="3">
        <f>'Tabela de Jogos'!F87</f>
        <v>0</v>
      </c>
      <c r="G87" s="3" t="str">
        <f>'Tabela de Jogos'!G87</f>
        <v>-</v>
      </c>
      <c r="H87" s="3"/>
      <c r="I87" s="3">
        <f t="shared" ref="I87:J87" si="93">A87</f>
        <v>85</v>
      </c>
      <c r="J87" s="3">
        <f t="shared" si="93"/>
        <v>0</v>
      </c>
      <c r="K87" s="3"/>
      <c r="L87" s="3" t="str">
        <f t="shared" si="2"/>
        <v>x</v>
      </c>
      <c r="M87" s="3"/>
      <c r="N87" s="3">
        <f t="shared" si="3"/>
        <v>0</v>
      </c>
      <c r="O87" s="3" t="str">
        <f t="shared" si="4"/>
        <v>-</v>
      </c>
      <c r="P87" s="3"/>
      <c r="Q87" s="3" t="b">
        <f t="shared" si="5"/>
        <v>0</v>
      </c>
      <c r="R87" s="3" t="b">
        <f t="shared" si="6"/>
        <v>0</v>
      </c>
      <c r="S87" s="3" t="b">
        <f t="shared" si="7"/>
        <v>0</v>
      </c>
      <c r="T87" s="3" t="b">
        <f t="shared" si="8"/>
        <v>0</v>
      </c>
      <c r="U87" s="3" t="b">
        <f t="shared" si="9"/>
        <v>1</v>
      </c>
      <c r="V87" s="3"/>
      <c r="W87" s="3" cm="1">
        <f t="array" ref="W87">IF(OR(J87="Brasil",N87="Brasil"),2*_xlfn.IFS(Q87=TRUE,6,R87=TRUE,4,AND(S87=TRUE,T87=FALSE),3,T87=TRUE,2,U87=TRUE,0),_xlfn.IFS(Q87=TRUE,6,R87=TRUE,4,AND(S87=TRUE,T87=FALSE),3,T87=TRUE,2,U87=TRUE,0))</f>
        <v>0</v>
      </c>
      <c r="X87" s="3"/>
      <c r="Y87" s="3"/>
    </row>
    <row r="88" spans="1:25" ht="14.25" customHeight="1" x14ac:dyDescent="0.3">
      <c r="A88" s="3">
        <f>'Tabela de Jogos'!A88</f>
        <v>86</v>
      </c>
      <c r="B88" s="3">
        <f>'Tabela de Jogos'!B88</f>
        <v>0</v>
      </c>
      <c r="C88" s="3">
        <f>'Tabela de Jogos'!C88</f>
        <v>0</v>
      </c>
      <c r="D88" s="3" t="str">
        <f>'Tabela de Jogos'!D88</f>
        <v>x</v>
      </c>
      <c r="E88" s="3">
        <f>'Tabela de Jogos'!E88</f>
        <v>0</v>
      </c>
      <c r="F88" s="3">
        <f>'Tabela de Jogos'!F88</f>
        <v>0</v>
      </c>
      <c r="G88" s="3" t="str">
        <f>'Tabela de Jogos'!G88</f>
        <v>-</v>
      </c>
      <c r="H88" s="3"/>
      <c r="I88" s="3">
        <f t="shared" ref="I88:J88" si="94">A88</f>
        <v>86</v>
      </c>
      <c r="J88" s="3">
        <f t="shared" si="94"/>
        <v>0</v>
      </c>
      <c r="K88" s="3"/>
      <c r="L88" s="3" t="str">
        <f t="shared" si="2"/>
        <v>x</v>
      </c>
      <c r="M88" s="3"/>
      <c r="N88" s="3">
        <f t="shared" si="3"/>
        <v>0</v>
      </c>
      <c r="O88" s="3" t="str">
        <f t="shared" si="4"/>
        <v>-</v>
      </c>
      <c r="P88" s="3"/>
      <c r="Q88" s="3" t="b">
        <f t="shared" si="5"/>
        <v>0</v>
      </c>
      <c r="R88" s="3" t="b">
        <f t="shared" si="6"/>
        <v>0</v>
      </c>
      <c r="S88" s="3" t="b">
        <f t="shared" si="7"/>
        <v>0</v>
      </c>
      <c r="T88" s="3" t="b">
        <f t="shared" si="8"/>
        <v>0</v>
      </c>
      <c r="U88" s="3" t="b">
        <f t="shared" si="9"/>
        <v>1</v>
      </c>
      <c r="V88" s="3"/>
      <c r="W88" s="3" cm="1">
        <f t="array" ref="W88">IF(OR(J88="Brasil",N88="Brasil"),2*_xlfn.IFS(Q88=TRUE,6,R88=TRUE,4,AND(S88=TRUE,T88=FALSE),3,T88=TRUE,2,U88=TRUE,0),_xlfn.IFS(Q88=TRUE,6,R88=TRUE,4,AND(S88=TRUE,T88=FALSE),3,T88=TRUE,2,U88=TRUE,0))</f>
        <v>0</v>
      </c>
      <c r="X88" s="3"/>
      <c r="Y88" s="3"/>
    </row>
    <row r="89" spans="1:25" ht="14.25" customHeight="1" x14ac:dyDescent="0.3">
      <c r="A89" s="3">
        <f>'Tabela de Jogos'!A89</f>
        <v>87</v>
      </c>
      <c r="B89" s="3">
        <f>'Tabela de Jogos'!B89</f>
        <v>0</v>
      </c>
      <c r="C89" s="3">
        <f>'Tabela de Jogos'!C89</f>
        <v>0</v>
      </c>
      <c r="D89" s="3" t="str">
        <f>'Tabela de Jogos'!D89</f>
        <v>x</v>
      </c>
      <c r="E89" s="3">
        <f>'Tabela de Jogos'!E89</f>
        <v>0</v>
      </c>
      <c r="F89" s="3">
        <f>'Tabela de Jogos'!F89</f>
        <v>0</v>
      </c>
      <c r="G89" s="3" t="str">
        <f>'Tabela de Jogos'!G89</f>
        <v>-</v>
      </c>
      <c r="H89" s="3"/>
      <c r="I89" s="3">
        <f t="shared" ref="I89:J89" si="95">A89</f>
        <v>87</v>
      </c>
      <c r="J89" s="3">
        <f t="shared" si="95"/>
        <v>0</v>
      </c>
      <c r="K89" s="3"/>
      <c r="L89" s="3" t="str">
        <f t="shared" si="2"/>
        <v>x</v>
      </c>
      <c r="M89" s="3"/>
      <c r="N89" s="3">
        <f t="shared" si="3"/>
        <v>0</v>
      </c>
      <c r="O89" s="3" t="str">
        <f t="shared" si="4"/>
        <v>-</v>
      </c>
      <c r="P89" s="3"/>
      <c r="Q89" s="3" t="b">
        <f t="shared" si="5"/>
        <v>0</v>
      </c>
      <c r="R89" s="3" t="b">
        <f t="shared" si="6"/>
        <v>0</v>
      </c>
      <c r="S89" s="3" t="b">
        <f t="shared" si="7"/>
        <v>0</v>
      </c>
      <c r="T89" s="3" t="b">
        <f t="shared" si="8"/>
        <v>0</v>
      </c>
      <c r="U89" s="3" t="b">
        <f t="shared" si="9"/>
        <v>1</v>
      </c>
      <c r="V89" s="3"/>
      <c r="W89" s="3" cm="1">
        <f t="array" ref="W89">IF(OR(J89="Brasil",N89="Brasil"),2*_xlfn.IFS(Q89=TRUE,6,R89=TRUE,4,AND(S89=TRUE,T89=FALSE),3,T89=TRUE,2,U89=TRUE,0),_xlfn.IFS(Q89=TRUE,6,R89=TRUE,4,AND(S89=TRUE,T89=FALSE),3,T89=TRUE,2,U89=TRUE,0))</f>
        <v>0</v>
      </c>
      <c r="X89" s="3"/>
      <c r="Y89" s="3"/>
    </row>
    <row r="90" spans="1:25" ht="14.25" customHeight="1" x14ac:dyDescent="0.3">
      <c r="A90" s="3">
        <f>'Tabela de Jogos'!A90</f>
        <v>88</v>
      </c>
      <c r="B90" s="3">
        <f>'Tabela de Jogos'!B90</f>
        <v>0</v>
      </c>
      <c r="C90" s="3">
        <f>'Tabela de Jogos'!C90</f>
        <v>0</v>
      </c>
      <c r="D90" s="3" t="str">
        <f>'Tabela de Jogos'!D90</f>
        <v>x</v>
      </c>
      <c r="E90" s="3">
        <f>'Tabela de Jogos'!E90</f>
        <v>0</v>
      </c>
      <c r="F90" s="3">
        <f>'Tabela de Jogos'!F90</f>
        <v>0</v>
      </c>
      <c r="G90" s="3" t="str">
        <f>'Tabela de Jogos'!G90</f>
        <v>-</v>
      </c>
      <c r="H90" s="3"/>
      <c r="I90" s="3">
        <f t="shared" ref="I90:J90" si="96">A90</f>
        <v>88</v>
      </c>
      <c r="J90" s="3">
        <f t="shared" si="96"/>
        <v>0</v>
      </c>
      <c r="K90" s="3"/>
      <c r="L90" s="3" t="str">
        <f t="shared" si="2"/>
        <v>x</v>
      </c>
      <c r="M90" s="3"/>
      <c r="N90" s="3">
        <f t="shared" si="3"/>
        <v>0</v>
      </c>
      <c r="O90" s="3" t="str">
        <f t="shared" si="4"/>
        <v>-</v>
      </c>
      <c r="P90" s="3"/>
      <c r="Q90" s="3" t="b">
        <f t="shared" si="5"/>
        <v>0</v>
      </c>
      <c r="R90" s="3" t="b">
        <f t="shared" si="6"/>
        <v>0</v>
      </c>
      <c r="S90" s="3" t="b">
        <f t="shared" si="7"/>
        <v>0</v>
      </c>
      <c r="T90" s="3" t="b">
        <f t="shared" si="8"/>
        <v>0</v>
      </c>
      <c r="U90" s="3" t="b">
        <f t="shared" si="9"/>
        <v>1</v>
      </c>
      <c r="V90" s="3"/>
      <c r="W90" s="3" cm="1">
        <f t="array" ref="W90">IF(OR(J90="Brasil",N90="Brasil"),2*_xlfn.IFS(Q90=TRUE,6,R90=TRUE,4,AND(S90=TRUE,T90=FALSE),3,T90=TRUE,2,U90=TRUE,0),_xlfn.IFS(Q90=TRUE,6,R90=TRUE,4,AND(S90=TRUE,T90=FALSE),3,T90=TRUE,2,U90=TRUE,0))</f>
        <v>0</v>
      </c>
      <c r="X90" s="3"/>
      <c r="Y90" s="3"/>
    </row>
    <row r="91" spans="1:25" ht="14.25" customHeight="1" x14ac:dyDescent="0.3">
      <c r="A91" s="3">
        <f>'Tabela de Jogos'!A91</f>
        <v>89</v>
      </c>
      <c r="B91" s="3">
        <f>'Tabela de Jogos'!B91</f>
        <v>0</v>
      </c>
      <c r="C91" s="3">
        <f>'Tabela de Jogos'!C91</f>
        <v>0</v>
      </c>
      <c r="D91" s="3" t="str">
        <f>'Tabela de Jogos'!D91</f>
        <v>x</v>
      </c>
      <c r="E91" s="3">
        <f>'Tabela de Jogos'!E91</f>
        <v>0</v>
      </c>
      <c r="F91" s="3">
        <f>'Tabela de Jogos'!F91</f>
        <v>0</v>
      </c>
      <c r="G91" s="3" t="str">
        <f>'Tabela de Jogos'!G91</f>
        <v>-</v>
      </c>
      <c r="H91" s="3"/>
      <c r="I91" s="3">
        <f t="shared" ref="I91:J91" si="97">A91</f>
        <v>89</v>
      </c>
      <c r="J91" s="3">
        <f t="shared" si="97"/>
        <v>0</v>
      </c>
      <c r="K91" s="3"/>
      <c r="L91" s="3" t="str">
        <f t="shared" si="2"/>
        <v>x</v>
      </c>
      <c r="M91" s="3"/>
      <c r="N91" s="3">
        <f t="shared" si="3"/>
        <v>0</v>
      </c>
      <c r="O91" s="3" t="str">
        <f t="shared" si="4"/>
        <v>-</v>
      </c>
      <c r="P91" s="3"/>
      <c r="Q91" s="3" t="b">
        <f t="shared" si="5"/>
        <v>0</v>
      </c>
      <c r="R91" s="3" t="b">
        <f t="shared" si="6"/>
        <v>0</v>
      </c>
      <c r="S91" s="3" t="b">
        <f t="shared" si="7"/>
        <v>0</v>
      </c>
      <c r="T91" s="3" t="b">
        <f t="shared" si="8"/>
        <v>0</v>
      </c>
      <c r="U91" s="3" t="b">
        <f t="shared" si="9"/>
        <v>1</v>
      </c>
      <c r="V91" s="3"/>
      <c r="W91" s="3" cm="1">
        <f t="array" ref="W91">IF(OR(J91="Brasil",N91="Brasil"),2*_xlfn.IFS(Q91=TRUE,6,R91=TRUE,4,AND(S91=TRUE,T91=FALSE),3,T91=TRUE,2,U91=TRUE,0),_xlfn.IFS(Q91=TRUE,6,R91=TRUE,4,AND(S91=TRUE,T91=FALSE),3,T91=TRUE,2,U91=TRUE,0))</f>
        <v>0</v>
      </c>
      <c r="X91" s="3"/>
      <c r="Y91" s="3"/>
    </row>
    <row r="92" spans="1:25" ht="14.25" customHeight="1" x14ac:dyDescent="0.3">
      <c r="A92" s="3">
        <f>'Tabela de Jogos'!A92</f>
        <v>90</v>
      </c>
      <c r="B92" s="3">
        <f>'Tabela de Jogos'!B92</f>
        <v>0</v>
      </c>
      <c r="C92" s="3">
        <f>'Tabela de Jogos'!C92</f>
        <v>0</v>
      </c>
      <c r="D92" s="3" t="str">
        <f>'Tabela de Jogos'!D92</f>
        <v>x</v>
      </c>
      <c r="E92" s="3">
        <f>'Tabela de Jogos'!E92</f>
        <v>0</v>
      </c>
      <c r="F92" s="3">
        <f>'Tabela de Jogos'!F92</f>
        <v>0</v>
      </c>
      <c r="G92" s="3" t="str">
        <f>'Tabela de Jogos'!G92</f>
        <v>-</v>
      </c>
      <c r="H92" s="3"/>
      <c r="I92" s="3">
        <f t="shared" ref="I92:J92" si="98">A92</f>
        <v>90</v>
      </c>
      <c r="J92" s="3">
        <f t="shared" si="98"/>
        <v>0</v>
      </c>
      <c r="K92" s="3"/>
      <c r="L92" s="3" t="str">
        <f t="shared" si="2"/>
        <v>x</v>
      </c>
      <c r="M92" s="3"/>
      <c r="N92" s="3">
        <f t="shared" si="3"/>
        <v>0</v>
      </c>
      <c r="O92" s="3" t="str">
        <f t="shared" si="4"/>
        <v>-</v>
      </c>
      <c r="P92" s="3"/>
      <c r="Q92" s="3" t="b">
        <f t="shared" si="5"/>
        <v>0</v>
      </c>
      <c r="R92" s="3" t="b">
        <f t="shared" si="6"/>
        <v>0</v>
      </c>
      <c r="S92" s="3" t="b">
        <f t="shared" si="7"/>
        <v>0</v>
      </c>
      <c r="T92" s="3" t="b">
        <f t="shared" si="8"/>
        <v>0</v>
      </c>
      <c r="U92" s="3" t="b">
        <f t="shared" si="9"/>
        <v>1</v>
      </c>
      <c r="V92" s="3"/>
      <c r="W92" s="3" cm="1">
        <f t="array" ref="W92">IF(OR(J92="Brasil",N92="Brasil"),2*_xlfn.IFS(Q92=TRUE,6,R92=TRUE,4,AND(S92=TRUE,T92=FALSE),3,T92=TRUE,2,U92=TRUE,0),_xlfn.IFS(Q92=TRUE,6,R92=TRUE,4,AND(S92=TRUE,T92=FALSE),3,T92=TRUE,2,U92=TRUE,0))</f>
        <v>0</v>
      </c>
      <c r="X92" s="3"/>
      <c r="Y92" s="3"/>
    </row>
    <row r="93" spans="1:25" ht="14.25" customHeight="1" x14ac:dyDescent="0.3">
      <c r="A93" s="3">
        <f>'Tabela de Jogos'!A93</f>
        <v>91</v>
      </c>
      <c r="B93" s="3">
        <f>'Tabela de Jogos'!B93</f>
        <v>0</v>
      </c>
      <c r="C93" s="3">
        <f>'Tabela de Jogos'!C93</f>
        <v>0</v>
      </c>
      <c r="D93" s="3" t="str">
        <f>'Tabela de Jogos'!D93</f>
        <v>x</v>
      </c>
      <c r="E93" s="3">
        <f>'Tabela de Jogos'!E93</f>
        <v>0</v>
      </c>
      <c r="F93" s="3">
        <f>'Tabela de Jogos'!F93</f>
        <v>0</v>
      </c>
      <c r="G93" s="3" t="str">
        <f>'Tabela de Jogos'!G93</f>
        <v>-</v>
      </c>
      <c r="H93" s="3"/>
      <c r="I93" s="3">
        <f t="shared" ref="I93:J93" si="99">A93</f>
        <v>91</v>
      </c>
      <c r="J93" s="3">
        <f t="shared" si="99"/>
        <v>0</v>
      </c>
      <c r="K93" s="3"/>
      <c r="L93" s="3" t="str">
        <f t="shared" si="2"/>
        <v>x</v>
      </c>
      <c r="M93" s="3"/>
      <c r="N93" s="3">
        <f t="shared" si="3"/>
        <v>0</v>
      </c>
      <c r="O93" s="3" t="str">
        <f t="shared" si="4"/>
        <v>-</v>
      </c>
      <c r="P93" s="3"/>
      <c r="Q93" s="3" t="b">
        <f t="shared" si="5"/>
        <v>0</v>
      </c>
      <c r="R93" s="3" t="b">
        <f t="shared" si="6"/>
        <v>0</v>
      </c>
      <c r="S93" s="3" t="b">
        <f t="shared" si="7"/>
        <v>0</v>
      </c>
      <c r="T93" s="3" t="b">
        <f t="shared" si="8"/>
        <v>0</v>
      </c>
      <c r="U93" s="3" t="b">
        <f t="shared" si="9"/>
        <v>1</v>
      </c>
      <c r="V93" s="3"/>
      <c r="W93" s="3" cm="1">
        <f t="array" ref="W93">IF(OR(J93="Brasil",N93="Brasil"),2*_xlfn.IFS(Q93=TRUE,6,R93=TRUE,4,AND(S93=TRUE,T93=FALSE),3,T93=TRUE,2,U93=TRUE,0),_xlfn.IFS(Q93=TRUE,6,R93=TRUE,4,AND(S93=TRUE,T93=FALSE),3,T93=TRUE,2,U93=TRUE,0))</f>
        <v>0</v>
      </c>
      <c r="X93" s="3"/>
      <c r="Y93" s="3"/>
    </row>
    <row r="94" spans="1:25" ht="14.25" customHeight="1" x14ac:dyDescent="0.3">
      <c r="A94" s="3">
        <f>'Tabela de Jogos'!A94</f>
        <v>92</v>
      </c>
      <c r="B94" s="3">
        <f>'Tabela de Jogos'!B94</f>
        <v>0</v>
      </c>
      <c r="C94" s="3">
        <f>'Tabela de Jogos'!C94</f>
        <v>0</v>
      </c>
      <c r="D94" s="3" t="str">
        <f>'Tabela de Jogos'!D94</f>
        <v>x</v>
      </c>
      <c r="E94" s="3">
        <f>'Tabela de Jogos'!E94</f>
        <v>0</v>
      </c>
      <c r="F94" s="3">
        <f>'Tabela de Jogos'!F94</f>
        <v>0</v>
      </c>
      <c r="G94" s="3" t="str">
        <f>'Tabela de Jogos'!G94</f>
        <v>-</v>
      </c>
      <c r="H94" s="3"/>
      <c r="I94" s="3">
        <f t="shared" ref="I94:J94" si="100">A94</f>
        <v>92</v>
      </c>
      <c r="J94" s="3">
        <f t="shared" si="100"/>
        <v>0</v>
      </c>
      <c r="K94" s="3"/>
      <c r="L94" s="3" t="str">
        <f t="shared" si="2"/>
        <v>x</v>
      </c>
      <c r="M94" s="3"/>
      <c r="N94" s="3">
        <f t="shared" si="3"/>
        <v>0</v>
      </c>
      <c r="O94" s="3" t="str">
        <f t="shared" si="4"/>
        <v>-</v>
      </c>
      <c r="P94" s="3"/>
      <c r="Q94" s="3" t="b">
        <f t="shared" si="5"/>
        <v>0</v>
      </c>
      <c r="R94" s="3" t="b">
        <f t="shared" si="6"/>
        <v>0</v>
      </c>
      <c r="S94" s="3" t="b">
        <f t="shared" si="7"/>
        <v>0</v>
      </c>
      <c r="T94" s="3" t="b">
        <f t="shared" si="8"/>
        <v>0</v>
      </c>
      <c r="U94" s="3" t="b">
        <f t="shared" si="9"/>
        <v>1</v>
      </c>
      <c r="V94" s="3"/>
      <c r="W94" s="3" cm="1">
        <f t="array" ref="W94">IF(OR(J94="Brasil",N94="Brasil"),2*_xlfn.IFS(Q94=TRUE,6,R94=TRUE,4,AND(S94=TRUE,T94=FALSE),3,T94=TRUE,2,U94=TRUE,0),_xlfn.IFS(Q94=TRUE,6,R94=TRUE,4,AND(S94=TRUE,T94=FALSE),3,T94=TRUE,2,U94=TRUE,0))</f>
        <v>0</v>
      </c>
      <c r="X94" s="3"/>
      <c r="Y94" s="3"/>
    </row>
    <row r="95" spans="1:25" ht="14.25" customHeight="1" x14ac:dyDescent="0.3">
      <c r="A95" s="3">
        <f>'Tabela de Jogos'!A95</f>
        <v>93</v>
      </c>
      <c r="B95" s="3">
        <f>'Tabela de Jogos'!B95</f>
        <v>0</v>
      </c>
      <c r="C95" s="3">
        <f>'Tabela de Jogos'!C95</f>
        <v>0</v>
      </c>
      <c r="D95" s="3" t="str">
        <f>'Tabela de Jogos'!D95</f>
        <v>x</v>
      </c>
      <c r="E95" s="3">
        <f>'Tabela de Jogos'!E95</f>
        <v>0</v>
      </c>
      <c r="F95" s="3">
        <f>'Tabela de Jogos'!F95</f>
        <v>0</v>
      </c>
      <c r="G95" s="3" t="str">
        <f>'Tabela de Jogos'!G95</f>
        <v>-</v>
      </c>
      <c r="H95" s="3"/>
      <c r="I95" s="3">
        <f t="shared" ref="I95:J95" si="101">A95</f>
        <v>93</v>
      </c>
      <c r="J95" s="3">
        <f t="shared" si="101"/>
        <v>0</v>
      </c>
      <c r="K95" s="3"/>
      <c r="L95" s="3" t="str">
        <f t="shared" si="2"/>
        <v>x</v>
      </c>
      <c r="M95" s="3"/>
      <c r="N95" s="3">
        <f t="shared" si="3"/>
        <v>0</v>
      </c>
      <c r="O95" s="3" t="str">
        <f t="shared" si="4"/>
        <v>-</v>
      </c>
      <c r="P95" s="3"/>
      <c r="Q95" s="3" t="b">
        <f t="shared" si="5"/>
        <v>0</v>
      </c>
      <c r="R95" s="3" t="b">
        <f t="shared" si="6"/>
        <v>0</v>
      </c>
      <c r="S95" s="3" t="b">
        <f t="shared" si="7"/>
        <v>0</v>
      </c>
      <c r="T95" s="3" t="b">
        <f t="shared" si="8"/>
        <v>0</v>
      </c>
      <c r="U95" s="3" t="b">
        <f t="shared" si="9"/>
        <v>1</v>
      </c>
      <c r="V95" s="3"/>
      <c r="W95" s="3" cm="1">
        <f t="array" ref="W95">IF(OR(J95="Brasil",N95="Brasil"),2*_xlfn.IFS(Q95=TRUE,6,R95=TRUE,4,AND(S95=TRUE,T95=FALSE),3,T95=TRUE,2,U95=TRUE,0),_xlfn.IFS(Q95=TRUE,6,R95=TRUE,4,AND(S95=TRUE,T95=FALSE),3,T95=TRUE,2,U95=TRUE,0))</f>
        <v>0</v>
      </c>
      <c r="X95" s="3"/>
      <c r="Y95" s="3"/>
    </row>
    <row r="96" spans="1:25" ht="14.25" customHeight="1" x14ac:dyDescent="0.3">
      <c r="A96" s="3">
        <f>'Tabela de Jogos'!A96</f>
        <v>94</v>
      </c>
      <c r="B96" s="3">
        <f>'Tabela de Jogos'!B96</f>
        <v>0</v>
      </c>
      <c r="C96" s="3">
        <f>'Tabela de Jogos'!C96</f>
        <v>0</v>
      </c>
      <c r="D96" s="3" t="str">
        <f>'Tabela de Jogos'!D96</f>
        <v>x</v>
      </c>
      <c r="E96" s="3">
        <f>'Tabela de Jogos'!E96</f>
        <v>0</v>
      </c>
      <c r="F96" s="3">
        <f>'Tabela de Jogos'!F96</f>
        <v>0</v>
      </c>
      <c r="G96" s="3" t="str">
        <f>'Tabela de Jogos'!G96</f>
        <v>-</v>
      </c>
      <c r="H96" s="3"/>
      <c r="I96" s="3">
        <f t="shared" ref="I96:J96" si="102">A96</f>
        <v>94</v>
      </c>
      <c r="J96" s="3">
        <f t="shared" si="102"/>
        <v>0</v>
      </c>
      <c r="K96" s="3"/>
      <c r="L96" s="3" t="str">
        <f t="shared" si="2"/>
        <v>x</v>
      </c>
      <c r="M96" s="3"/>
      <c r="N96" s="3">
        <f t="shared" si="3"/>
        <v>0</v>
      </c>
      <c r="O96" s="3" t="str">
        <f t="shared" si="4"/>
        <v>-</v>
      </c>
      <c r="P96" s="3"/>
      <c r="Q96" s="3" t="b">
        <f t="shared" si="5"/>
        <v>0</v>
      </c>
      <c r="R96" s="3" t="b">
        <f t="shared" si="6"/>
        <v>0</v>
      </c>
      <c r="S96" s="3" t="b">
        <f t="shared" si="7"/>
        <v>0</v>
      </c>
      <c r="T96" s="3" t="b">
        <f t="shared" si="8"/>
        <v>0</v>
      </c>
      <c r="U96" s="3" t="b">
        <f t="shared" si="9"/>
        <v>1</v>
      </c>
      <c r="V96" s="3"/>
      <c r="W96" s="3" cm="1">
        <f t="array" ref="W96">IF(OR(J96="Brasil",N96="Brasil"),2*_xlfn.IFS(Q96=TRUE,6,R96=TRUE,4,AND(S96=TRUE,T96=FALSE),3,T96=TRUE,2,U96=TRUE,0),_xlfn.IFS(Q96=TRUE,6,R96=TRUE,4,AND(S96=TRUE,T96=FALSE),3,T96=TRUE,2,U96=TRUE,0))</f>
        <v>0</v>
      </c>
      <c r="X96" s="3"/>
      <c r="Y96" s="3"/>
    </row>
    <row r="97" spans="1:25" ht="14.25" customHeight="1" x14ac:dyDescent="0.3">
      <c r="A97" s="3">
        <f>'Tabela de Jogos'!A97</f>
        <v>95</v>
      </c>
      <c r="B97" s="3">
        <f>'Tabela de Jogos'!B97</f>
        <v>0</v>
      </c>
      <c r="C97" s="3">
        <f>'Tabela de Jogos'!C97</f>
        <v>0</v>
      </c>
      <c r="D97" s="3" t="str">
        <f>'Tabela de Jogos'!D97</f>
        <v>x</v>
      </c>
      <c r="E97" s="3">
        <f>'Tabela de Jogos'!E97</f>
        <v>0</v>
      </c>
      <c r="F97" s="3">
        <f>'Tabela de Jogos'!F97</f>
        <v>0</v>
      </c>
      <c r="G97" s="3" t="str">
        <f>'Tabela de Jogos'!G97</f>
        <v>-</v>
      </c>
      <c r="H97" s="3"/>
      <c r="I97" s="3">
        <f t="shared" ref="I97:J97" si="103">A97</f>
        <v>95</v>
      </c>
      <c r="J97" s="3">
        <f t="shared" si="103"/>
        <v>0</v>
      </c>
      <c r="K97" s="3"/>
      <c r="L97" s="3" t="str">
        <f t="shared" si="2"/>
        <v>x</v>
      </c>
      <c r="M97" s="3"/>
      <c r="N97" s="3">
        <f t="shared" si="3"/>
        <v>0</v>
      </c>
      <c r="O97" s="3" t="str">
        <f t="shared" si="4"/>
        <v>-</v>
      </c>
      <c r="P97" s="3"/>
      <c r="Q97" s="3" t="b">
        <f t="shared" si="5"/>
        <v>0</v>
      </c>
      <c r="R97" s="3" t="b">
        <f t="shared" si="6"/>
        <v>0</v>
      </c>
      <c r="S97" s="3" t="b">
        <f t="shared" si="7"/>
        <v>0</v>
      </c>
      <c r="T97" s="3" t="b">
        <f t="shared" si="8"/>
        <v>0</v>
      </c>
      <c r="U97" s="3" t="b">
        <f t="shared" si="9"/>
        <v>1</v>
      </c>
      <c r="V97" s="3"/>
      <c r="W97" s="3" cm="1">
        <f t="array" ref="W97">IF(OR(J97="Brasil",N97="Brasil"),2*_xlfn.IFS(Q97=TRUE,6,R97=TRUE,4,AND(S97=TRUE,T97=FALSE),3,T97=TRUE,2,U97=TRUE,0),_xlfn.IFS(Q97=TRUE,6,R97=TRUE,4,AND(S97=TRUE,T97=FALSE),3,T97=TRUE,2,U97=TRUE,0))</f>
        <v>0</v>
      </c>
      <c r="X97" s="3"/>
      <c r="Y97" s="3"/>
    </row>
    <row r="98" spans="1:25" ht="14.25" customHeight="1" x14ac:dyDescent="0.3">
      <c r="A98" s="3">
        <f>'Tabela de Jogos'!A98</f>
        <v>96</v>
      </c>
      <c r="B98" s="3">
        <f>'Tabela de Jogos'!B98</f>
        <v>0</v>
      </c>
      <c r="C98" s="3">
        <f>'Tabela de Jogos'!C98</f>
        <v>0</v>
      </c>
      <c r="D98" s="3" t="str">
        <f>'Tabela de Jogos'!D98</f>
        <v>x</v>
      </c>
      <c r="E98" s="3">
        <f>'Tabela de Jogos'!E98</f>
        <v>0</v>
      </c>
      <c r="F98" s="3">
        <f>'Tabela de Jogos'!F98</f>
        <v>0</v>
      </c>
      <c r="G98" s="3" t="str">
        <f>'Tabela de Jogos'!G98</f>
        <v>-</v>
      </c>
      <c r="H98" s="3"/>
      <c r="I98" s="3">
        <f t="shared" ref="I98:J98" si="104">A98</f>
        <v>96</v>
      </c>
      <c r="J98" s="3">
        <f t="shared" si="104"/>
        <v>0</v>
      </c>
      <c r="K98" s="3"/>
      <c r="L98" s="3" t="str">
        <f t="shared" si="2"/>
        <v>x</v>
      </c>
      <c r="M98" s="3"/>
      <c r="N98" s="3">
        <f t="shared" si="3"/>
        <v>0</v>
      </c>
      <c r="O98" s="3" t="str">
        <f t="shared" si="4"/>
        <v>-</v>
      </c>
      <c r="P98" s="3"/>
      <c r="Q98" s="3" t="b">
        <f t="shared" si="5"/>
        <v>0</v>
      </c>
      <c r="R98" s="3" t="b">
        <f t="shared" si="6"/>
        <v>0</v>
      </c>
      <c r="S98" s="3" t="b">
        <f t="shared" si="7"/>
        <v>0</v>
      </c>
      <c r="T98" s="3" t="b">
        <f t="shared" si="8"/>
        <v>0</v>
      </c>
      <c r="U98" s="3" t="b">
        <f t="shared" si="9"/>
        <v>1</v>
      </c>
      <c r="V98" s="3"/>
      <c r="W98" s="3" cm="1">
        <f t="array" ref="W98">IF(OR(J98="Brasil",N98="Brasil"),2*_xlfn.IFS(Q98=TRUE,6,R98=TRUE,4,AND(S98=TRUE,T98=FALSE),3,T98=TRUE,2,U98=TRUE,0),_xlfn.IFS(Q98=TRUE,6,R98=TRUE,4,AND(S98=TRUE,T98=FALSE),3,T98=TRUE,2,U98=TRUE,0))</f>
        <v>0</v>
      </c>
      <c r="X98" s="3"/>
      <c r="Y98" s="3"/>
    </row>
    <row r="99" spans="1:25" ht="14.25" customHeight="1" x14ac:dyDescent="0.3">
      <c r="A99" s="3">
        <f>'Tabela de Jogos'!A99</f>
        <v>97</v>
      </c>
      <c r="B99" s="3">
        <f>'Tabela de Jogos'!B99</f>
        <v>0</v>
      </c>
      <c r="C99" s="3">
        <f>'Tabela de Jogos'!C99</f>
        <v>0</v>
      </c>
      <c r="D99" s="3" t="str">
        <f>'Tabela de Jogos'!D99</f>
        <v>x</v>
      </c>
      <c r="E99" s="3">
        <f>'Tabela de Jogos'!E99</f>
        <v>0</v>
      </c>
      <c r="F99" s="3">
        <f>'Tabela de Jogos'!F99</f>
        <v>0</v>
      </c>
      <c r="G99" s="3" t="str">
        <f>'Tabela de Jogos'!G99</f>
        <v>-</v>
      </c>
      <c r="H99" s="3"/>
      <c r="I99" s="3">
        <f t="shared" ref="I99:J99" si="105">A99</f>
        <v>97</v>
      </c>
      <c r="J99" s="3">
        <f t="shared" si="105"/>
        <v>0</v>
      </c>
      <c r="K99" s="3"/>
      <c r="L99" s="3" t="str">
        <f t="shared" si="2"/>
        <v>x</v>
      </c>
      <c r="M99" s="3"/>
      <c r="N99" s="3">
        <f t="shared" si="3"/>
        <v>0</v>
      </c>
      <c r="O99" s="3" t="str">
        <f t="shared" si="4"/>
        <v>-</v>
      </c>
      <c r="P99" s="3"/>
      <c r="Q99" s="3" t="b">
        <f t="shared" si="5"/>
        <v>0</v>
      </c>
      <c r="R99" s="3" t="b">
        <f t="shared" si="6"/>
        <v>0</v>
      </c>
      <c r="S99" s="3" t="b">
        <f t="shared" si="7"/>
        <v>0</v>
      </c>
      <c r="T99" s="3" t="b">
        <f t="shared" si="8"/>
        <v>0</v>
      </c>
      <c r="U99" s="3" t="b">
        <f t="shared" si="9"/>
        <v>1</v>
      </c>
      <c r="V99" s="3"/>
      <c r="W99" s="3" cm="1">
        <f t="array" ref="W99">IF(OR(J99="Brasil",N99="Brasil"),2*_xlfn.IFS(Q99=TRUE,6,R99=TRUE,4,AND(S99=TRUE,T99=FALSE),3,T99=TRUE,2,U99=TRUE,0),_xlfn.IFS(Q99=TRUE,6,R99=TRUE,4,AND(S99=TRUE,T99=FALSE),3,T99=TRUE,2,U99=TRUE,0))</f>
        <v>0</v>
      </c>
      <c r="X99" s="3"/>
      <c r="Y99" s="3"/>
    </row>
    <row r="100" spans="1:25" ht="14.25" customHeight="1" x14ac:dyDescent="0.3">
      <c r="A100" s="3">
        <f>'Tabela de Jogos'!A100</f>
        <v>98</v>
      </c>
      <c r="B100" s="3">
        <f>'Tabela de Jogos'!B100</f>
        <v>0</v>
      </c>
      <c r="C100" s="3">
        <f>'Tabela de Jogos'!C100</f>
        <v>0</v>
      </c>
      <c r="D100" s="3" t="str">
        <f>'Tabela de Jogos'!D100</f>
        <v>x</v>
      </c>
      <c r="E100" s="3">
        <f>'Tabela de Jogos'!E100</f>
        <v>0</v>
      </c>
      <c r="F100" s="3">
        <f>'Tabela de Jogos'!F100</f>
        <v>0</v>
      </c>
      <c r="G100" s="3" t="str">
        <f>'Tabela de Jogos'!G100</f>
        <v>-</v>
      </c>
      <c r="H100" s="3"/>
      <c r="I100" s="3">
        <f t="shared" ref="I100:J100" si="106">A100</f>
        <v>98</v>
      </c>
      <c r="J100" s="3">
        <f t="shared" si="106"/>
        <v>0</v>
      </c>
      <c r="K100" s="3"/>
      <c r="L100" s="3" t="str">
        <f t="shared" si="2"/>
        <v>x</v>
      </c>
      <c r="M100" s="3"/>
      <c r="N100" s="3">
        <f t="shared" si="3"/>
        <v>0</v>
      </c>
      <c r="O100" s="3" t="str">
        <f t="shared" si="4"/>
        <v>-</v>
      </c>
      <c r="P100" s="3"/>
      <c r="Q100" s="3" t="b">
        <f t="shared" si="5"/>
        <v>0</v>
      </c>
      <c r="R100" s="3" t="b">
        <f t="shared" si="6"/>
        <v>0</v>
      </c>
      <c r="S100" s="3" t="b">
        <f t="shared" si="7"/>
        <v>0</v>
      </c>
      <c r="T100" s="3" t="b">
        <f t="shared" si="8"/>
        <v>0</v>
      </c>
      <c r="U100" s="3" t="b">
        <f t="shared" si="9"/>
        <v>1</v>
      </c>
      <c r="V100" s="3"/>
      <c r="W100" s="3" cm="1">
        <f t="array" ref="W100">IF(OR(J100="Brasil",N100="Brasil"),2*_xlfn.IFS(Q100=TRUE,6,R100=TRUE,4,AND(S100=TRUE,T100=FALSE),3,T100=TRUE,2,U100=TRUE,0),_xlfn.IFS(Q100=TRUE,6,R100=TRUE,4,AND(S100=TRUE,T100=FALSE),3,T100=TRUE,2,U100=TRUE,0))</f>
        <v>0</v>
      </c>
      <c r="X100" s="3"/>
      <c r="Y100" s="3"/>
    </row>
    <row r="101" spans="1:25" ht="14.25" customHeight="1" x14ac:dyDescent="0.3">
      <c r="A101" s="3">
        <f>'Tabela de Jogos'!A101</f>
        <v>99</v>
      </c>
      <c r="B101" s="3">
        <f>'Tabela de Jogos'!B101</f>
        <v>0</v>
      </c>
      <c r="C101" s="3">
        <f>'Tabela de Jogos'!C101</f>
        <v>0</v>
      </c>
      <c r="D101" s="3" t="str">
        <f>'Tabela de Jogos'!D101</f>
        <v>x</v>
      </c>
      <c r="E101" s="3">
        <f>'Tabela de Jogos'!E101</f>
        <v>0</v>
      </c>
      <c r="F101" s="3">
        <f>'Tabela de Jogos'!F101</f>
        <v>0</v>
      </c>
      <c r="G101" s="3" t="str">
        <f>'Tabela de Jogos'!G101</f>
        <v>-</v>
      </c>
      <c r="H101" s="3"/>
      <c r="I101" s="3">
        <f t="shared" ref="I101:J101" si="107">A101</f>
        <v>99</v>
      </c>
      <c r="J101" s="3">
        <f t="shared" si="107"/>
        <v>0</v>
      </c>
      <c r="K101" s="3"/>
      <c r="L101" s="3" t="str">
        <f t="shared" si="2"/>
        <v>x</v>
      </c>
      <c r="M101" s="3"/>
      <c r="N101" s="3">
        <f t="shared" si="3"/>
        <v>0</v>
      </c>
      <c r="O101" s="3" t="str">
        <f t="shared" si="4"/>
        <v>-</v>
      </c>
      <c r="P101" s="3"/>
      <c r="Q101" s="3" t="b">
        <f t="shared" si="5"/>
        <v>0</v>
      </c>
      <c r="R101" s="3" t="b">
        <f t="shared" si="6"/>
        <v>0</v>
      </c>
      <c r="S101" s="3" t="b">
        <f t="shared" si="7"/>
        <v>0</v>
      </c>
      <c r="T101" s="3" t="b">
        <f t="shared" si="8"/>
        <v>0</v>
      </c>
      <c r="U101" s="3" t="b">
        <f t="shared" si="9"/>
        <v>1</v>
      </c>
      <c r="V101" s="3"/>
      <c r="W101" s="3" cm="1">
        <f t="array" ref="W101">IF(OR(J101="Brasil",N101="Brasil"),2*_xlfn.IFS(Q101=TRUE,6,R101=TRUE,4,AND(S101=TRUE,T101=FALSE),3,T101=TRUE,2,U101=TRUE,0),_xlfn.IFS(Q101=TRUE,6,R101=TRUE,4,AND(S101=TRUE,T101=FALSE),3,T101=TRUE,2,U101=TRUE,0))</f>
        <v>0</v>
      </c>
      <c r="X101" s="3"/>
      <c r="Y101" s="3"/>
    </row>
    <row r="102" spans="1:25" ht="14.25" customHeight="1" x14ac:dyDescent="0.3">
      <c r="A102" s="3">
        <f>'Tabela de Jogos'!A102</f>
        <v>100</v>
      </c>
      <c r="B102" s="3">
        <f>'Tabela de Jogos'!B102</f>
        <v>0</v>
      </c>
      <c r="C102" s="3">
        <f>'Tabela de Jogos'!C102</f>
        <v>0</v>
      </c>
      <c r="D102" s="3" t="str">
        <f>'Tabela de Jogos'!D102</f>
        <v>x</v>
      </c>
      <c r="E102" s="3">
        <f>'Tabela de Jogos'!E102</f>
        <v>0</v>
      </c>
      <c r="F102" s="3">
        <f>'Tabela de Jogos'!F102</f>
        <v>0</v>
      </c>
      <c r="G102" s="3" t="str">
        <f>'Tabela de Jogos'!G102</f>
        <v>-</v>
      </c>
      <c r="H102" s="3"/>
      <c r="I102" s="3">
        <f t="shared" ref="I102:J102" si="108">A102</f>
        <v>100</v>
      </c>
      <c r="J102" s="3">
        <f t="shared" si="108"/>
        <v>0</v>
      </c>
      <c r="K102" s="3"/>
      <c r="L102" s="3" t="str">
        <f t="shared" si="2"/>
        <v>x</v>
      </c>
      <c r="M102" s="3"/>
      <c r="N102" s="3">
        <f t="shared" si="3"/>
        <v>0</v>
      </c>
      <c r="O102" s="3" t="str">
        <f t="shared" si="4"/>
        <v>-</v>
      </c>
      <c r="P102" s="3"/>
      <c r="Q102" s="3" t="b">
        <f t="shared" si="5"/>
        <v>0</v>
      </c>
      <c r="R102" s="3" t="b">
        <f t="shared" si="6"/>
        <v>0</v>
      </c>
      <c r="S102" s="3" t="b">
        <f t="shared" si="7"/>
        <v>0</v>
      </c>
      <c r="T102" s="3" t="b">
        <f t="shared" si="8"/>
        <v>0</v>
      </c>
      <c r="U102" s="3" t="b">
        <f t="shared" si="9"/>
        <v>1</v>
      </c>
      <c r="V102" s="3"/>
      <c r="W102" s="3" cm="1">
        <f t="array" ref="W102">IF(OR(J102="Brasil",N102="Brasil"),2*_xlfn.IFS(Q102=TRUE,6,R102=TRUE,4,AND(S102=TRUE,T102=FALSE),3,T102=TRUE,2,U102=TRUE,0),_xlfn.IFS(Q102=TRUE,6,R102=TRUE,4,AND(S102=TRUE,T102=FALSE),3,T102=TRUE,2,U102=TRUE,0))</f>
        <v>0</v>
      </c>
      <c r="X102" s="3"/>
      <c r="Y102" s="3"/>
    </row>
    <row r="103" spans="1:25" ht="14.25" customHeight="1" x14ac:dyDescent="0.3">
      <c r="A103" s="3">
        <f>'Tabela de Jogos'!A103</f>
        <v>101</v>
      </c>
      <c r="B103" s="3">
        <f>'Tabela de Jogos'!B103</f>
        <v>0</v>
      </c>
      <c r="C103" s="3">
        <f>'Tabela de Jogos'!C103</f>
        <v>0</v>
      </c>
      <c r="D103" s="3" t="str">
        <f>'Tabela de Jogos'!D103</f>
        <v>x</v>
      </c>
      <c r="E103" s="3">
        <f>'Tabela de Jogos'!E103</f>
        <v>0</v>
      </c>
      <c r="F103" s="3">
        <f>'Tabela de Jogos'!F103</f>
        <v>0</v>
      </c>
      <c r="G103" s="3" t="str">
        <f>'Tabela de Jogos'!G103</f>
        <v>-</v>
      </c>
      <c r="H103" s="3"/>
      <c r="I103" s="3">
        <f t="shared" ref="I103:J103" si="109">A103</f>
        <v>101</v>
      </c>
      <c r="J103" s="3">
        <f t="shared" si="109"/>
        <v>0</v>
      </c>
      <c r="K103" s="3"/>
      <c r="L103" s="3" t="str">
        <f t="shared" si="2"/>
        <v>x</v>
      </c>
      <c r="M103" s="3"/>
      <c r="N103" s="3">
        <f t="shared" si="3"/>
        <v>0</v>
      </c>
      <c r="O103" s="3" t="str">
        <f t="shared" si="4"/>
        <v>-</v>
      </c>
      <c r="P103" s="3"/>
      <c r="Q103" s="3" t="b">
        <f t="shared" si="5"/>
        <v>0</v>
      </c>
      <c r="R103" s="3" t="b">
        <f t="shared" si="6"/>
        <v>0</v>
      </c>
      <c r="S103" s="3" t="b">
        <f t="shared" si="7"/>
        <v>0</v>
      </c>
      <c r="T103" s="3" t="b">
        <f t="shared" si="8"/>
        <v>0</v>
      </c>
      <c r="U103" s="3" t="b">
        <f t="shared" si="9"/>
        <v>1</v>
      </c>
      <c r="V103" s="3"/>
      <c r="W103" s="3" cm="1">
        <f t="array" ref="W103">IF(OR(J103="Brasil",N103="Brasil"),2*_xlfn.IFS(Q103=TRUE,6,R103=TRUE,4,AND(S103=TRUE,T103=FALSE),3,T103=TRUE,2,U103=TRUE,0),_xlfn.IFS(Q103=TRUE,6,R103=TRUE,4,AND(S103=TRUE,T103=FALSE),3,T103=TRUE,2,U103=TRUE,0))</f>
        <v>0</v>
      </c>
      <c r="X103" s="3"/>
      <c r="Y103" s="3"/>
    </row>
    <row r="104" spans="1:25" ht="14.25" customHeight="1" x14ac:dyDescent="0.3">
      <c r="A104" s="3">
        <f>'Tabela de Jogos'!A104</f>
        <v>102</v>
      </c>
      <c r="B104" s="3">
        <f>'Tabela de Jogos'!B104</f>
        <v>0</v>
      </c>
      <c r="C104" s="3">
        <f>'Tabela de Jogos'!C104</f>
        <v>0</v>
      </c>
      <c r="D104" s="3" t="str">
        <f>'Tabela de Jogos'!D104</f>
        <v>x</v>
      </c>
      <c r="E104" s="3">
        <f>'Tabela de Jogos'!E104</f>
        <v>0</v>
      </c>
      <c r="F104" s="3">
        <f>'Tabela de Jogos'!F104</f>
        <v>0</v>
      </c>
      <c r="G104" s="3" t="str">
        <f>'Tabela de Jogos'!G104</f>
        <v>-</v>
      </c>
      <c r="H104" s="3"/>
      <c r="I104" s="3">
        <f t="shared" ref="I104:J104" si="110">A104</f>
        <v>102</v>
      </c>
      <c r="J104" s="3">
        <f t="shared" si="110"/>
        <v>0</v>
      </c>
      <c r="K104" s="3"/>
      <c r="L104" s="3" t="str">
        <f t="shared" si="2"/>
        <v>x</v>
      </c>
      <c r="M104" s="3"/>
      <c r="N104" s="3">
        <f t="shared" si="3"/>
        <v>0</v>
      </c>
      <c r="O104" s="3" t="str">
        <f t="shared" si="4"/>
        <v>-</v>
      </c>
      <c r="P104" s="3"/>
      <c r="Q104" s="3" t="b">
        <f t="shared" si="5"/>
        <v>0</v>
      </c>
      <c r="R104" s="3" t="b">
        <f t="shared" si="6"/>
        <v>0</v>
      </c>
      <c r="S104" s="3" t="b">
        <f t="shared" si="7"/>
        <v>0</v>
      </c>
      <c r="T104" s="3" t="b">
        <f t="shared" si="8"/>
        <v>0</v>
      </c>
      <c r="U104" s="3" t="b">
        <f t="shared" si="9"/>
        <v>1</v>
      </c>
      <c r="V104" s="3"/>
      <c r="W104" s="3" cm="1">
        <f t="array" ref="W104">IF(OR(J104="Brasil",N104="Brasil"),2*_xlfn.IFS(Q104=TRUE,6,R104=TRUE,4,AND(S104=TRUE,T104=FALSE),3,T104=TRUE,2,U104=TRUE,0),_xlfn.IFS(Q104=TRUE,6,R104=TRUE,4,AND(S104=TRUE,T104=FALSE),3,T104=TRUE,2,U104=TRUE,0))</f>
        <v>0</v>
      </c>
      <c r="X104" s="3"/>
      <c r="Y104" s="3"/>
    </row>
    <row r="105" spans="1:25" ht="14.25" customHeight="1" x14ac:dyDescent="0.3">
      <c r="A105" s="3">
        <f>'Tabela de Jogos'!A105</f>
        <v>103</v>
      </c>
      <c r="B105" s="3">
        <f>'Tabela de Jogos'!B105</f>
        <v>0</v>
      </c>
      <c r="C105" s="3">
        <f>'Tabela de Jogos'!C105</f>
        <v>0</v>
      </c>
      <c r="D105" s="3" t="str">
        <f>'Tabela de Jogos'!D105</f>
        <v>x</v>
      </c>
      <c r="E105" s="3">
        <f>'Tabela de Jogos'!E105</f>
        <v>0</v>
      </c>
      <c r="F105" s="3">
        <f>'Tabela de Jogos'!F105</f>
        <v>0</v>
      </c>
      <c r="G105" s="3" t="str">
        <f>'Tabela de Jogos'!G105</f>
        <v>-</v>
      </c>
      <c r="H105" s="3"/>
      <c r="I105" s="3">
        <f t="shared" ref="I105:J105" si="111">A105</f>
        <v>103</v>
      </c>
      <c r="J105" s="3">
        <f t="shared" si="111"/>
        <v>0</v>
      </c>
      <c r="K105" s="3"/>
      <c r="L105" s="3" t="str">
        <f t="shared" si="2"/>
        <v>x</v>
      </c>
      <c r="M105" s="3"/>
      <c r="N105" s="3">
        <f t="shared" si="3"/>
        <v>0</v>
      </c>
      <c r="O105" s="3" t="str">
        <f t="shared" si="4"/>
        <v>-</v>
      </c>
      <c r="P105" s="3"/>
      <c r="Q105" s="3" t="b">
        <f t="shared" si="5"/>
        <v>0</v>
      </c>
      <c r="R105" s="3" t="b">
        <f t="shared" si="6"/>
        <v>0</v>
      </c>
      <c r="S105" s="3" t="b">
        <f t="shared" si="7"/>
        <v>0</v>
      </c>
      <c r="T105" s="3" t="b">
        <f t="shared" si="8"/>
        <v>0</v>
      </c>
      <c r="U105" s="3" t="b">
        <f t="shared" si="9"/>
        <v>1</v>
      </c>
      <c r="V105" s="3"/>
      <c r="W105" s="3" cm="1">
        <f t="array" ref="W105">IF(OR(J105="Brasil",N105="Brasil"),2*_xlfn.IFS(Q105=TRUE,6,R105=TRUE,4,AND(S105=TRUE,T105=FALSE),3,T105=TRUE,2,U105=TRUE,0),_xlfn.IFS(Q105=TRUE,6,R105=TRUE,4,AND(S105=TRUE,T105=FALSE),3,T105=TRUE,2,U105=TRUE,0))</f>
        <v>0</v>
      </c>
      <c r="X105" s="3"/>
      <c r="Y105" s="3"/>
    </row>
    <row r="106" spans="1:25" ht="14.25" customHeight="1" x14ac:dyDescent="0.3">
      <c r="A106" s="3">
        <f>'Tabela de Jogos'!A106</f>
        <v>104</v>
      </c>
      <c r="B106" s="3">
        <f>'Tabela de Jogos'!B106</f>
        <v>0</v>
      </c>
      <c r="C106" s="3">
        <f>'Tabela de Jogos'!C106</f>
        <v>0</v>
      </c>
      <c r="D106" s="3" t="str">
        <f>'Tabela de Jogos'!D106</f>
        <v>x</v>
      </c>
      <c r="E106" s="3">
        <f>'Tabela de Jogos'!E106</f>
        <v>0</v>
      </c>
      <c r="F106" s="3">
        <f>'Tabela de Jogos'!F106</f>
        <v>0</v>
      </c>
      <c r="G106" s="3" t="str">
        <f>'Tabela de Jogos'!G106</f>
        <v>-</v>
      </c>
      <c r="H106" s="3"/>
      <c r="I106" s="3">
        <f t="shared" ref="I106:J106" si="112">A106</f>
        <v>104</v>
      </c>
      <c r="J106" s="3">
        <f t="shared" si="112"/>
        <v>0</v>
      </c>
      <c r="K106" s="3"/>
      <c r="L106" s="3" t="str">
        <f t="shared" si="2"/>
        <v>x</v>
      </c>
      <c r="M106" s="3"/>
      <c r="N106" s="3">
        <f t="shared" si="3"/>
        <v>0</v>
      </c>
      <c r="O106" s="3" t="str">
        <f t="shared" si="4"/>
        <v>-</v>
      </c>
      <c r="P106" s="3"/>
      <c r="Q106" s="3" t="b">
        <f t="shared" si="5"/>
        <v>0</v>
      </c>
      <c r="R106" s="3" t="b">
        <f t="shared" si="6"/>
        <v>0</v>
      </c>
      <c r="S106" s="3" t="b">
        <f t="shared" si="7"/>
        <v>0</v>
      </c>
      <c r="T106" s="3" t="b">
        <f t="shared" si="8"/>
        <v>0</v>
      </c>
      <c r="U106" s="3" t="b">
        <f t="shared" si="9"/>
        <v>1</v>
      </c>
      <c r="V106" s="3"/>
      <c r="W106" s="3" cm="1">
        <f t="array" ref="W106">IF(OR(J106="Brasil",N106="Brasil"),2*_xlfn.IFS(Q106=TRUE,6,R106=TRUE,4,AND(S106=TRUE,T106=FALSE),3,T106=TRUE,2,U106=TRUE,0),_xlfn.IFS(Q106=TRUE,6,R106=TRUE,4,AND(S106=TRUE,T106=FALSE),3,T106=TRUE,2,U106=TRUE,0))</f>
        <v>0</v>
      </c>
      <c r="X106" s="3"/>
      <c r="Y106" s="3"/>
    </row>
  </sheetData>
  <mergeCells count="2">
    <mergeCell ref="A1:G1"/>
    <mergeCell ref="I1:O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6"/>
  <sheetViews>
    <sheetView topLeftCell="I48" workbookViewId="0">
      <selection activeCell="M63" sqref="M63"/>
    </sheetView>
  </sheetViews>
  <sheetFormatPr defaultColWidth="12.6640625" defaultRowHeight="15" customHeight="1" x14ac:dyDescent="0.3"/>
  <cols>
    <col min="1" max="1" width="8.88671875" hidden="1" customWidth="1"/>
    <col min="2" max="2" width="14.109375" hidden="1" customWidth="1"/>
    <col min="3" max="5" width="8.88671875" hidden="1" customWidth="1"/>
    <col min="6" max="7" width="14.109375" hidden="1" customWidth="1"/>
    <col min="8" max="8" width="8.88671875" hidden="1" customWidth="1"/>
    <col min="9" max="9" width="8.88671875" customWidth="1"/>
    <col min="10" max="10" width="14.109375" customWidth="1"/>
    <col min="11" max="13" width="8.88671875" customWidth="1"/>
    <col min="14" max="14" width="14.109375" customWidth="1"/>
    <col min="15" max="15" width="14.33203125" customWidth="1"/>
    <col min="16" max="16" width="8.5546875" hidden="1" customWidth="1"/>
    <col min="17" max="21" width="11.6640625" hidden="1" customWidth="1"/>
    <col min="22" max="22" width="8.5546875" hidden="1" customWidth="1"/>
    <col min="23" max="24" width="8.88671875" customWidth="1"/>
    <col min="25" max="25" width="13.88671875" bestFit="1" customWidth="1"/>
    <col min="26" max="26" width="8.5546875" customWidth="1"/>
  </cols>
  <sheetData>
    <row r="1" spans="1:25" ht="14.25" customHeight="1" x14ac:dyDescent="0.3">
      <c r="A1" s="8" t="str">
        <f>'Tabela de Jogos'!A1</f>
        <v>Tabela de Jogos</v>
      </c>
      <c r="B1" s="9"/>
      <c r="C1" s="9"/>
      <c r="D1" s="9"/>
      <c r="E1" s="9"/>
      <c r="F1" s="9"/>
      <c r="G1" s="9"/>
      <c r="H1" s="3"/>
      <c r="I1" s="8" t="s">
        <v>68</v>
      </c>
      <c r="J1" s="9"/>
      <c r="K1" s="9"/>
      <c r="L1" s="9"/>
      <c r="M1" s="9"/>
      <c r="N1" s="9"/>
      <c r="O1" s="9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3" t="str">
        <f>'Tabela de Jogos'!A2</f>
        <v>Jogo</v>
      </c>
      <c r="B2" s="3" t="str">
        <f>'Tabela de Jogos'!B2</f>
        <v>Seleção A</v>
      </c>
      <c r="C2" s="3" t="str">
        <f>'Tabela de Jogos'!C2</f>
        <v>Gols A</v>
      </c>
      <c r="D2" s="3" t="str">
        <f>'Tabela de Jogos'!D2</f>
        <v>x</v>
      </c>
      <c r="E2" s="3" t="str">
        <f>'Tabela de Jogos'!E2</f>
        <v>Gols B</v>
      </c>
      <c r="F2" s="3" t="str">
        <f>'Tabela de Jogos'!F2</f>
        <v>Seleção B</v>
      </c>
      <c r="G2" s="3" t="str">
        <f>'Tabela de Jogos'!G2</f>
        <v>Vencedor</v>
      </c>
      <c r="H2" s="3"/>
      <c r="I2" s="3" t="str">
        <f t="shared" ref="I2:N2" si="0">A2</f>
        <v>Jogo</v>
      </c>
      <c r="J2" s="3" t="str">
        <f t="shared" si="0"/>
        <v>Seleção A</v>
      </c>
      <c r="K2" s="3" t="str">
        <f t="shared" si="0"/>
        <v>Gols A</v>
      </c>
      <c r="L2" s="3" t="str">
        <f t="shared" si="0"/>
        <v>x</v>
      </c>
      <c r="M2" s="3" t="str">
        <f t="shared" si="0"/>
        <v>Gols B</v>
      </c>
      <c r="N2" s="3" t="str">
        <f t="shared" si="0"/>
        <v>Seleção B</v>
      </c>
      <c r="O2" s="3" t="s">
        <v>7</v>
      </c>
      <c r="P2" s="3"/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 t="s">
        <v>57</v>
      </c>
      <c r="X2" s="3" t="s">
        <v>74</v>
      </c>
      <c r="Y2" s="3" t="s">
        <v>75</v>
      </c>
    </row>
    <row r="3" spans="1:25" ht="14.25" customHeight="1" x14ac:dyDescent="0.3">
      <c r="A3" s="3">
        <f>'Tabela de Jogos'!A3</f>
        <v>1</v>
      </c>
      <c r="B3" s="3" t="str">
        <f>'Tabela de Jogos'!B3</f>
        <v>México</v>
      </c>
      <c r="C3" s="3">
        <f>'Tabela de Jogos'!C3</f>
        <v>2</v>
      </c>
      <c r="D3" s="3" t="str">
        <f>'Tabela de Jogos'!D3</f>
        <v>x</v>
      </c>
      <c r="E3" s="3">
        <f>'Tabela de Jogos'!E3</f>
        <v>0</v>
      </c>
      <c r="F3" s="3" t="str">
        <f>'Tabela de Jogos'!F3</f>
        <v>África do Sul</v>
      </c>
      <c r="G3" s="3" t="str">
        <f>'Tabela de Jogos'!G3</f>
        <v>México</v>
      </c>
      <c r="H3" s="3"/>
      <c r="I3" s="3">
        <f t="shared" ref="I3:J3" si="1">A3</f>
        <v>1</v>
      </c>
      <c r="J3" s="3" t="str">
        <f t="shared" si="1"/>
        <v>México</v>
      </c>
      <c r="K3" s="3">
        <v>2</v>
      </c>
      <c r="L3" s="3" t="str">
        <f t="shared" ref="L3:L106" si="2">D3</f>
        <v>x</v>
      </c>
      <c r="M3" s="3">
        <v>2</v>
      </c>
      <c r="N3" s="3" t="str">
        <f t="shared" ref="N3:N106" si="3">F3</f>
        <v>África do Sul</v>
      </c>
      <c r="O3" s="3" t="str">
        <f t="shared" ref="O3:O106" si="4">IF(K3&gt;M3,J3,IF(M3&gt;K3,N3,IF(ISBLANK(K3),"-","Empate")))</f>
        <v>Empate</v>
      </c>
      <c r="P3" s="3"/>
      <c r="Q3" s="3" t="b">
        <f t="shared" ref="Q3:Q106" si="5">IF(AND(O3=G3,K3=C3,M3=E3,ISBLANK(K3)&lt;&gt;TRUE),TRUE,FALSE)</f>
        <v>0</v>
      </c>
      <c r="R3" s="3" t="b">
        <f t="shared" ref="R3:R106" si="6">IF(OR(AND(O3=G3,K3=C3,K3&gt;M3,M3&lt;&gt;E3,ISBLANK(K3)&lt;&gt;TRUE),AND(O3=G3,M3&gt;K3,K3&lt;&gt;C3,M3=E3,ISBLANK(K3)&lt;&gt;TRUE)),TRUE,FALSE)</f>
        <v>0</v>
      </c>
      <c r="S3" s="3" t="b">
        <f t="shared" ref="S3:S106" si="7">IF(AND(O3=G3,ABS(K3-M3)=ABS(C3-E3),OR(K3&lt;&gt;C3,M3&lt;&gt;E3),ISBLANK(K3)&lt;&gt;TRUE),TRUE,FALSE)</f>
        <v>0</v>
      </c>
      <c r="T3" s="3" t="b">
        <f t="shared" ref="T3:T106" si="8">IF(OR(AND(O3=G3,Q3=FALSE,R3=FALSE,S3=FALSE,G3&lt;&gt;"-"),AND(O3="Empate",S3=TRUE)),TRUE,FALSE)</f>
        <v>0</v>
      </c>
      <c r="U3" s="3" t="b">
        <f t="shared" ref="U3:U106" si="9">IF(AND(Q3=FALSE,R3=FALSE,S3=FALSE,T3=FALSE),TRUE,FALSE)</f>
        <v>1</v>
      </c>
      <c r="V3" s="3"/>
      <c r="W3" s="3" cm="1">
        <f t="array" ref="W3">IF(OR(J3="Brasil",N3="Brasil"),2*_xlfn.IFS(Q3=TRUE,6,R3=TRUE,4,AND(S3=TRUE,T3=FALSE),3,T3=TRUE,2,U3=TRUE,0),_xlfn.IFS(Q3=TRUE,6,R3=TRUE,4,AND(S3=TRUE,T3=FALSE),3,T3=TRUE,2,U3=TRUE,0))</f>
        <v>0</v>
      </c>
      <c r="X3" s="3">
        <f>SUM(W3:W106)</f>
        <v>123</v>
      </c>
      <c r="Y3" s="3">
        <f>COUNTIF(W3:W106,6)+COUNTIF(W3:W106,12)</f>
        <v>5</v>
      </c>
    </row>
    <row r="4" spans="1:25" ht="14.25" customHeight="1" x14ac:dyDescent="0.3">
      <c r="A4" s="3">
        <f>'Tabela de Jogos'!A4</f>
        <v>2</v>
      </c>
      <c r="B4" s="3" t="str">
        <f>'Tabela de Jogos'!B4</f>
        <v>Coreia do Sul</v>
      </c>
      <c r="C4" s="3">
        <f>'Tabela de Jogos'!C4</f>
        <v>2</v>
      </c>
      <c r="D4" s="3" t="str">
        <f>'Tabela de Jogos'!D4</f>
        <v>x</v>
      </c>
      <c r="E4" s="3">
        <f>'Tabela de Jogos'!E4</f>
        <v>1</v>
      </c>
      <c r="F4" s="3" t="str">
        <f>'Tabela de Jogos'!F4</f>
        <v>Tchéquia</v>
      </c>
      <c r="G4" s="3" t="str">
        <f>'Tabela de Jogos'!G4</f>
        <v>Coreia do Sul</v>
      </c>
      <c r="H4" s="3"/>
      <c r="I4" s="3">
        <f t="shared" ref="I4:J4" si="10">A4</f>
        <v>2</v>
      </c>
      <c r="J4" s="3" t="str">
        <f t="shared" si="10"/>
        <v>Coreia do Sul</v>
      </c>
      <c r="K4" s="3">
        <v>2</v>
      </c>
      <c r="L4" s="3" t="str">
        <f t="shared" si="2"/>
        <v>x</v>
      </c>
      <c r="M4" s="3">
        <v>1</v>
      </c>
      <c r="N4" s="3" t="str">
        <f t="shared" si="3"/>
        <v>Tchéquia</v>
      </c>
      <c r="O4" s="3" t="str">
        <f t="shared" si="4"/>
        <v>Coreia do Sul</v>
      </c>
      <c r="P4" s="3"/>
      <c r="Q4" s="3" t="b">
        <f t="shared" si="5"/>
        <v>1</v>
      </c>
      <c r="R4" s="3" t="b">
        <f t="shared" si="6"/>
        <v>0</v>
      </c>
      <c r="S4" s="3" t="b">
        <f t="shared" si="7"/>
        <v>0</v>
      </c>
      <c r="T4" s="3" t="b">
        <f t="shared" si="8"/>
        <v>0</v>
      </c>
      <c r="U4" s="3" t="b">
        <f t="shared" si="9"/>
        <v>0</v>
      </c>
      <c r="V4" s="3"/>
      <c r="W4" s="3" cm="1">
        <f t="array" ref="W4">IF(OR(J4="Brasil",N4="Brasil"),2*_xlfn.IFS(Q4=TRUE,6,R4=TRUE,4,AND(S4=TRUE,T4=FALSE),3,T4=TRUE,2,U4=TRUE,0),_xlfn.IFS(Q4=TRUE,6,R4=TRUE,4,AND(S4=TRUE,T4=FALSE),3,T4=TRUE,2,U4=TRUE,0))</f>
        <v>6</v>
      </c>
      <c r="X4" s="3"/>
      <c r="Y4" s="3"/>
    </row>
    <row r="5" spans="1:25" ht="14.25" customHeight="1" x14ac:dyDescent="0.3">
      <c r="A5" s="3">
        <f>'Tabela de Jogos'!A5</f>
        <v>3</v>
      </c>
      <c r="B5" s="3" t="str">
        <f>'Tabela de Jogos'!B5</f>
        <v>Canadá</v>
      </c>
      <c r="C5" s="3">
        <f>'Tabela de Jogos'!C5</f>
        <v>1</v>
      </c>
      <c r="D5" s="3" t="str">
        <f>'Tabela de Jogos'!D5</f>
        <v>x</v>
      </c>
      <c r="E5" s="3">
        <f>'Tabela de Jogos'!E5</f>
        <v>1</v>
      </c>
      <c r="F5" s="3" t="str">
        <f>'Tabela de Jogos'!F5</f>
        <v>Bósnia</v>
      </c>
      <c r="G5" s="3" t="str">
        <f>'Tabela de Jogos'!G5</f>
        <v>Empate</v>
      </c>
      <c r="H5" s="3"/>
      <c r="I5" s="3">
        <f t="shared" ref="I5:J5" si="11">A5</f>
        <v>3</v>
      </c>
      <c r="J5" s="3" t="str">
        <f t="shared" si="11"/>
        <v>Canadá</v>
      </c>
      <c r="K5" s="3">
        <v>2</v>
      </c>
      <c r="L5" s="3" t="str">
        <f t="shared" si="2"/>
        <v>x</v>
      </c>
      <c r="M5" s="3">
        <v>0</v>
      </c>
      <c r="N5" s="3" t="str">
        <f t="shared" si="3"/>
        <v>Bósnia</v>
      </c>
      <c r="O5" s="3" t="str">
        <f t="shared" si="4"/>
        <v>Canadá</v>
      </c>
      <c r="P5" s="3"/>
      <c r="Q5" s="3" t="b">
        <f t="shared" si="5"/>
        <v>0</v>
      </c>
      <c r="R5" s="3" t="b">
        <f t="shared" si="6"/>
        <v>0</v>
      </c>
      <c r="S5" s="3" t="b">
        <f t="shared" si="7"/>
        <v>0</v>
      </c>
      <c r="T5" s="3" t="b">
        <f t="shared" si="8"/>
        <v>0</v>
      </c>
      <c r="U5" s="3" t="b">
        <f t="shared" si="9"/>
        <v>1</v>
      </c>
      <c r="V5" s="3"/>
      <c r="W5" s="3" cm="1">
        <f t="array" ref="W5">IF(OR(J5="Brasil",N5="Brasil"),2*_xlfn.IFS(Q5=TRUE,6,R5=TRUE,4,AND(S5=TRUE,T5=FALSE),3,T5=TRUE,2,U5=TRUE,0),_xlfn.IFS(Q5=TRUE,6,R5=TRUE,4,AND(S5=TRUE,T5=FALSE),3,T5=TRUE,2,U5=TRUE,0))</f>
        <v>0</v>
      </c>
      <c r="X5" s="3"/>
      <c r="Y5" s="3"/>
    </row>
    <row r="6" spans="1:25" ht="14.25" customHeight="1" x14ac:dyDescent="0.3">
      <c r="A6" s="3">
        <f>'Tabela de Jogos'!A6</f>
        <v>4</v>
      </c>
      <c r="B6" s="3" t="str">
        <f>'Tabela de Jogos'!B6</f>
        <v>EUA</v>
      </c>
      <c r="C6" s="3">
        <f>'Tabela de Jogos'!C6</f>
        <v>4</v>
      </c>
      <c r="D6" s="3" t="str">
        <f>'Tabela de Jogos'!D6</f>
        <v>x</v>
      </c>
      <c r="E6" s="3">
        <f>'Tabela de Jogos'!E6</f>
        <v>1</v>
      </c>
      <c r="F6" s="3" t="str">
        <f>'Tabela de Jogos'!F6</f>
        <v>Paraguai</v>
      </c>
      <c r="G6" s="3" t="str">
        <f>'Tabela de Jogos'!G6</f>
        <v>EUA</v>
      </c>
      <c r="H6" s="3"/>
      <c r="I6" s="3">
        <f t="shared" ref="I6:J6" si="12">A6</f>
        <v>4</v>
      </c>
      <c r="J6" s="3" t="str">
        <f t="shared" si="12"/>
        <v>EUA</v>
      </c>
      <c r="K6" s="3">
        <v>1</v>
      </c>
      <c r="L6" s="3" t="str">
        <f t="shared" si="2"/>
        <v>x</v>
      </c>
      <c r="M6" s="3">
        <v>2</v>
      </c>
      <c r="N6" s="3" t="str">
        <f t="shared" si="3"/>
        <v>Paraguai</v>
      </c>
      <c r="O6" s="3" t="str">
        <f t="shared" si="4"/>
        <v>Paraguai</v>
      </c>
      <c r="P6" s="3"/>
      <c r="Q6" s="3" t="b">
        <f t="shared" si="5"/>
        <v>0</v>
      </c>
      <c r="R6" s="3" t="b">
        <f t="shared" si="6"/>
        <v>0</v>
      </c>
      <c r="S6" s="3" t="b">
        <f t="shared" si="7"/>
        <v>0</v>
      </c>
      <c r="T6" s="3" t="b">
        <f t="shared" si="8"/>
        <v>0</v>
      </c>
      <c r="U6" s="3" t="b">
        <f t="shared" si="9"/>
        <v>1</v>
      </c>
      <c r="V6" s="3"/>
      <c r="W6" s="3" cm="1">
        <f t="array" ref="W6">IF(OR(J6="Brasil",N6="Brasil"),2*_xlfn.IFS(Q6=TRUE,6,R6=TRUE,4,AND(S6=TRUE,T6=FALSE),3,T6=TRUE,2,U6=TRUE,0),_xlfn.IFS(Q6=TRUE,6,R6=TRUE,4,AND(S6=TRUE,T6=FALSE),3,T6=TRUE,2,U6=TRUE,0))</f>
        <v>0</v>
      </c>
      <c r="X6" s="3"/>
      <c r="Y6" s="3"/>
    </row>
    <row r="7" spans="1:25" ht="14.25" customHeight="1" x14ac:dyDescent="0.3">
      <c r="A7" s="3">
        <f>'Tabela de Jogos'!A7</f>
        <v>5</v>
      </c>
      <c r="B7" s="3" t="str">
        <f>'Tabela de Jogos'!B7</f>
        <v>Catar</v>
      </c>
      <c r="C7" s="3">
        <f>'Tabela de Jogos'!C7</f>
        <v>1</v>
      </c>
      <c r="D7" s="3" t="str">
        <f>'Tabela de Jogos'!D7</f>
        <v>x</v>
      </c>
      <c r="E7" s="3">
        <f>'Tabela de Jogos'!E7</f>
        <v>1</v>
      </c>
      <c r="F7" s="3" t="str">
        <f>'Tabela de Jogos'!F7</f>
        <v>Suíça</v>
      </c>
      <c r="G7" s="3" t="str">
        <f>'Tabela de Jogos'!G7</f>
        <v>Empate</v>
      </c>
      <c r="H7" s="3"/>
      <c r="I7" s="3">
        <f t="shared" ref="I7:J7" si="13">A7</f>
        <v>5</v>
      </c>
      <c r="J7" s="3" t="str">
        <f t="shared" si="13"/>
        <v>Catar</v>
      </c>
      <c r="K7" s="3">
        <v>0</v>
      </c>
      <c r="L7" s="3" t="str">
        <f t="shared" si="2"/>
        <v>x</v>
      </c>
      <c r="M7" s="3">
        <v>2</v>
      </c>
      <c r="N7" s="3" t="str">
        <f t="shared" si="3"/>
        <v>Suíça</v>
      </c>
      <c r="O7" s="3" t="str">
        <f t="shared" si="4"/>
        <v>Suíça</v>
      </c>
      <c r="P7" s="3"/>
      <c r="Q7" s="3" t="b">
        <f t="shared" si="5"/>
        <v>0</v>
      </c>
      <c r="R7" s="3" t="b">
        <f t="shared" si="6"/>
        <v>0</v>
      </c>
      <c r="S7" s="3" t="b">
        <f t="shared" si="7"/>
        <v>0</v>
      </c>
      <c r="T7" s="3" t="b">
        <f t="shared" si="8"/>
        <v>0</v>
      </c>
      <c r="U7" s="3" t="b">
        <f t="shared" si="9"/>
        <v>1</v>
      </c>
      <c r="V7" s="3"/>
      <c r="W7" s="3" cm="1">
        <f t="array" ref="W7">IF(OR(J7="Brasil",N7="Brasil"),2*_xlfn.IFS(Q7=TRUE,6,R7=TRUE,4,AND(S7=TRUE,T7=FALSE),3,T7=TRUE,2,U7=TRUE,0),_xlfn.IFS(Q7=TRUE,6,R7=TRUE,4,AND(S7=TRUE,T7=FALSE),3,T7=TRUE,2,U7=TRUE,0))</f>
        <v>0</v>
      </c>
      <c r="X7" s="3"/>
      <c r="Y7" s="3"/>
    </row>
    <row r="8" spans="1:25" ht="14.25" customHeight="1" x14ac:dyDescent="0.3">
      <c r="A8" s="3">
        <f>'Tabela de Jogos'!A8</f>
        <v>6</v>
      </c>
      <c r="B8" s="3" t="str">
        <f>'Tabela de Jogos'!B8</f>
        <v>Brasil</v>
      </c>
      <c r="C8" s="3">
        <f>'Tabela de Jogos'!C8</f>
        <v>1</v>
      </c>
      <c r="D8" s="3" t="str">
        <f>'Tabela de Jogos'!D8</f>
        <v>x</v>
      </c>
      <c r="E8" s="3">
        <f>'Tabela de Jogos'!E8</f>
        <v>1</v>
      </c>
      <c r="F8" s="3" t="str">
        <f>'Tabela de Jogos'!F8</f>
        <v>Marrocos</v>
      </c>
      <c r="G8" s="3" t="str">
        <f>'Tabela de Jogos'!G8</f>
        <v>Empate</v>
      </c>
      <c r="H8" s="3"/>
      <c r="I8" s="3">
        <f t="shared" ref="I8:J8" si="14">A8</f>
        <v>6</v>
      </c>
      <c r="J8" s="3" t="str">
        <f t="shared" si="14"/>
        <v>Brasil</v>
      </c>
      <c r="K8" s="3">
        <v>3</v>
      </c>
      <c r="L8" s="3" t="str">
        <f t="shared" si="2"/>
        <v>x</v>
      </c>
      <c r="M8" s="3">
        <v>1</v>
      </c>
      <c r="N8" s="3" t="str">
        <f t="shared" si="3"/>
        <v>Marrocos</v>
      </c>
      <c r="O8" s="3" t="str">
        <f t="shared" si="4"/>
        <v>Brasil</v>
      </c>
      <c r="P8" s="3"/>
      <c r="Q8" s="3" t="b">
        <f t="shared" si="5"/>
        <v>0</v>
      </c>
      <c r="R8" s="3" t="b">
        <f t="shared" si="6"/>
        <v>0</v>
      </c>
      <c r="S8" s="3" t="b">
        <f t="shared" si="7"/>
        <v>0</v>
      </c>
      <c r="T8" s="3" t="b">
        <f t="shared" si="8"/>
        <v>0</v>
      </c>
      <c r="U8" s="3" t="b">
        <f t="shared" si="9"/>
        <v>1</v>
      </c>
      <c r="V8" s="3"/>
      <c r="W8" s="3" cm="1">
        <f t="array" ref="W8">IF(OR(J8="Brasil",N8="Brasil"),2*_xlfn.IFS(Q8=TRUE,6,R8=TRUE,4,AND(S8=TRUE,T8=FALSE),3,T8=TRUE,2,U8=TRUE,0),_xlfn.IFS(Q8=TRUE,6,R8=TRUE,4,AND(S8=TRUE,T8=FALSE),3,T8=TRUE,2,U8=TRUE,0))</f>
        <v>0</v>
      </c>
      <c r="X8" s="3"/>
      <c r="Y8" s="3"/>
    </row>
    <row r="9" spans="1:25" ht="14.25" customHeight="1" x14ac:dyDescent="0.3">
      <c r="A9" s="3">
        <f>'Tabela de Jogos'!A9</f>
        <v>7</v>
      </c>
      <c r="B9" s="3" t="str">
        <f>'Tabela de Jogos'!B9</f>
        <v>Haiti</v>
      </c>
      <c r="C9" s="3">
        <f>'Tabela de Jogos'!C9</f>
        <v>0</v>
      </c>
      <c r="D9" s="3" t="str">
        <f>'Tabela de Jogos'!D9</f>
        <v>x</v>
      </c>
      <c r="E9" s="3">
        <f>'Tabela de Jogos'!E9</f>
        <v>1</v>
      </c>
      <c r="F9" s="3" t="str">
        <f>'Tabela de Jogos'!F9</f>
        <v>Escócia</v>
      </c>
      <c r="G9" s="3" t="str">
        <f>'Tabela de Jogos'!G9</f>
        <v>Escócia</v>
      </c>
      <c r="H9" s="3"/>
      <c r="I9" s="3">
        <f t="shared" ref="I9:J9" si="15">A9</f>
        <v>7</v>
      </c>
      <c r="J9" s="3" t="str">
        <f t="shared" si="15"/>
        <v>Haiti</v>
      </c>
      <c r="K9" s="3">
        <v>0</v>
      </c>
      <c r="L9" s="3" t="str">
        <f t="shared" si="2"/>
        <v>x</v>
      </c>
      <c r="M9" s="3">
        <v>2</v>
      </c>
      <c r="N9" s="3" t="str">
        <f t="shared" si="3"/>
        <v>Escócia</v>
      </c>
      <c r="O9" s="3" t="str">
        <f t="shared" si="4"/>
        <v>Escócia</v>
      </c>
      <c r="P9" s="3"/>
      <c r="Q9" s="3" t="b">
        <f t="shared" si="5"/>
        <v>0</v>
      </c>
      <c r="R9" s="3" t="b">
        <f t="shared" si="6"/>
        <v>0</v>
      </c>
      <c r="S9" s="3" t="b">
        <f t="shared" si="7"/>
        <v>0</v>
      </c>
      <c r="T9" s="3" t="b">
        <f t="shared" si="8"/>
        <v>1</v>
      </c>
      <c r="U9" s="3" t="b">
        <f t="shared" si="9"/>
        <v>0</v>
      </c>
      <c r="V9" s="3"/>
      <c r="W9" s="3" cm="1">
        <f t="array" ref="W9">IF(OR(J9="Brasil",N9="Brasil"),2*_xlfn.IFS(Q9=TRUE,6,R9=TRUE,4,AND(S9=TRUE,T9=FALSE),3,T9=TRUE,2,U9=TRUE,0),_xlfn.IFS(Q9=TRUE,6,R9=TRUE,4,AND(S9=TRUE,T9=FALSE),3,T9=TRUE,2,U9=TRUE,0))</f>
        <v>2</v>
      </c>
      <c r="X9" s="3"/>
      <c r="Y9" s="3"/>
    </row>
    <row r="10" spans="1:25" ht="14.25" customHeight="1" x14ac:dyDescent="0.3">
      <c r="A10" s="3">
        <f>'Tabela de Jogos'!A10</f>
        <v>8</v>
      </c>
      <c r="B10" s="3" t="str">
        <f>'Tabela de Jogos'!B10</f>
        <v>Austrália</v>
      </c>
      <c r="C10" s="3">
        <f>'Tabela de Jogos'!C10</f>
        <v>2</v>
      </c>
      <c r="D10" s="3" t="str">
        <f>'Tabela de Jogos'!D10</f>
        <v>x</v>
      </c>
      <c r="E10" s="3">
        <f>'Tabela de Jogos'!E10</f>
        <v>0</v>
      </c>
      <c r="F10" s="3" t="str">
        <f>'Tabela de Jogos'!F10</f>
        <v>Turquia</v>
      </c>
      <c r="G10" s="3" t="str">
        <f>'Tabela de Jogos'!G10</f>
        <v>Austrália</v>
      </c>
      <c r="H10" s="3"/>
      <c r="I10" s="3">
        <f t="shared" ref="I10:J10" si="16">A10</f>
        <v>8</v>
      </c>
      <c r="J10" s="3" t="str">
        <f t="shared" si="16"/>
        <v>Austrália</v>
      </c>
      <c r="K10" s="3">
        <v>2</v>
      </c>
      <c r="L10" s="3" t="str">
        <f t="shared" si="2"/>
        <v>x</v>
      </c>
      <c r="M10" s="3">
        <v>1</v>
      </c>
      <c r="N10" s="3" t="str">
        <f t="shared" si="3"/>
        <v>Turquia</v>
      </c>
      <c r="O10" s="3" t="str">
        <f t="shared" si="4"/>
        <v>Austrália</v>
      </c>
      <c r="P10" s="3"/>
      <c r="Q10" s="3" t="b">
        <f t="shared" si="5"/>
        <v>0</v>
      </c>
      <c r="R10" s="3" t="b">
        <f t="shared" si="6"/>
        <v>1</v>
      </c>
      <c r="S10" s="3" t="b">
        <f t="shared" si="7"/>
        <v>0</v>
      </c>
      <c r="T10" s="3" t="b">
        <f t="shared" si="8"/>
        <v>0</v>
      </c>
      <c r="U10" s="3" t="b">
        <f t="shared" si="9"/>
        <v>0</v>
      </c>
      <c r="V10" s="3"/>
      <c r="W10" s="3" cm="1">
        <f t="array" ref="W10">IF(OR(J10="Brasil",N10="Brasil"),2*_xlfn.IFS(Q10=TRUE,6,R10=TRUE,4,AND(S10=TRUE,T10=FALSE),3,T10=TRUE,2,U10=TRUE,0),_xlfn.IFS(Q10=TRUE,6,R10=TRUE,4,AND(S10=TRUE,T10=FALSE),3,T10=TRUE,2,U10=TRUE,0))</f>
        <v>4</v>
      </c>
      <c r="X10" s="3"/>
      <c r="Y10" s="3"/>
    </row>
    <row r="11" spans="1:25" ht="14.25" customHeight="1" x14ac:dyDescent="0.3">
      <c r="A11" s="3">
        <f>'Tabela de Jogos'!A11</f>
        <v>9</v>
      </c>
      <c r="B11" s="3" t="str">
        <f>'Tabela de Jogos'!B11</f>
        <v>Alemanha</v>
      </c>
      <c r="C11" s="3">
        <f>'Tabela de Jogos'!C11</f>
        <v>7</v>
      </c>
      <c r="D11" s="3" t="str">
        <f>'Tabela de Jogos'!D11</f>
        <v>x</v>
      </c>
      <c r="E11" s="3">
        <f>'Tabela de Jogos'!E11</f>
        <v>1</v>
      </c>
      <c r="F11" s="3" t="str">
        <f>'Tabela de Jogos'!F11</f>
        <v>Curaçao</v>
      </c>
      <c r="G11" s="3" t="str">
        <f>'Tabela de Jogos'!G11</f>
        <v>Alemanha</v>
      </c>
      <c r="H11" s="3"/>
      <c r="I11" s="3">
        <f t="shared" ref="I11:J11" si="17">A11</f>
        <v>9</v>
      </c>
      <c r="J11" s="3" t="str">
        <f t="shared" si="17"/>
        <v>Alemanha</v>
      </c>
      <c r="K11" s="3">
        <v>4</v>
      </c>
      <c r="L11" s="3" t="str">
        <f t="shared" si="2"/>
        <v>x</v>
      </c>
      <c r="M11" s="3">
        <v>0</v>
      </c>
      <c r="N11" s="3" t="str">
        <f t="shared" si="3"/>
        <v>Curaçao</v>
      </c>
      <c r="O11" s="3" t="str">
        <f t="shared" si="4"/>
        <v>Alemanha</v>
      </c>
      <c r="P11" s="3"/>
      <c r="Q11" s="3" t="b">
        <f t="shared" si="5"/>
        <v>0</v>
      </c>
      <c r="R11" s="3" t="b">
        <f t="shared" si="6"/>
        <v>0</v>
      </c>
      <c r="S11" s="3" t="b">
        <f t="shared" si="7"/>
        <v>0</v>
      </c>
      <c r="T11" s="3" t="b">
        <f t="shared" si="8"/>
        <v>1</v>
      </c>
      <c r="U11" s="3" t="b">
        <f t="shared" si="9"/>
        <v>0</v>
      </c>
      <c r="V11" s="3"/>
      <c r="W11" s="3" cm="1">
        <f t="array" ref="W11">IF(OR(J11="Brasil",N11="Brasil"),2*_xlfn.IFS(Q11=TRUE,6,R11=TRUE,4,AND(S11=TRUE,T11=FALSE),3,T11=TRUE,2,U11=TRUE,0),_xlfn.IFS(Q11=TRUE,6,R11=TRUE,4,AND(S11=TRUE,T11=FALSE),3,T11=TRUE,2,U11=TRUE,0))</f>
        <v>2</v>
      </c>
      <c r="X11" s="3"/>
      <c r="Y11" s="3"/>
    </row>
    <row r="12" spans="1:25" ht="14.25" customHeight="1" x14ac:dyDescent="0.3">
      <c r="A12" s="3">
        <f>'Tabela de Jogos'!A12</f>
        <v>10</v>
      </c>
      <c r="B12" s="3" t="str">
        <f>'Tabela de Jogos'!B12</f>
        <v>Holanda</v>
      </c>
      <c r="C12" s="3">
        <f>'Tabela de Jogos'!C12</f>
        <v>2</v>
      </c>
      <c r="D12" s="3" t="str">
        <f>'Tabela de Jogos'!D12</f>
        <v>x</v>
      </c>
      <c r="E12" s="3">
        <f>'Tabela de Jogos'!E12</f>
        <v>2</v>
      </c>
      <c r="F12" s="3" t="str">
        <f>'Tabela de Jogos'!F12</f>
        <v>Japão</v>
      </c>
      <c r="G12" s="3" t="str">
        <f>'Tabela de Jogos'!G12</f>
        <v>Empate</v>
      </c>
      <c r="H12" s="3"/>
      <c r="I12" s="3">
        <f t="shared" ref="I12:J12" si="18">A12</f>
        <v>10</v>
      </c>
      <c r="J12" s="3" t="str">
        <f t="shared" si="18"/>
        <v>Holanda</v>
      </c>
      <c r="K12" s="3">
        <v>2</v>
      </c>
      <c r="L12" s="3" t="str">
        <f t="shared" si="2"/>
        <v>x</v>
      </c>
      <c r="M12" s="3">
        <v>3</v>
      </c>
      <c r="N12" s="3" t="str">
        <f t="shared" si="3"/>
        <v>Japão</v>
      </c>
      <c r="O12" s="3" t="str">
        <f t="shared" si="4"/>
        <v>Japão</v>
      </c>
      <c r="P12" s="3"/>
      <c r="Q12" s="3" t="b">
        <f t="shared" si="5"/>
        <v>0</v>
      </c>
      <c r="R12" s="3" t="b">
        <f t="shared" si="6"/>
        <v>0</v>
      </c>
      <c r="S12" s="3" t="b">
        <f t="shared" si="7"/>
        <v>0</v>
      </c>
      <c r="T12" s="3" t="b">
        <f t="shared" si="8"/>
        <v>0</v>
      </c>
      <c r="U12" s="3" t="b">
        <f t="shared" si="9"/>
        <v>1</v>
      </c>
      <c r="V12" s="3"/>
      <c r="W12" s="3" cm="1">
        <f t="array" ref="W12">IF(OR(J12="Brasil",N12="Brasil"),2*_xlfn.IFS(Q12=TRUE,6,R12=TRUE,4,AND(S12=TRUE,T12=FALSE),3,T12=TRUE,2,U12=TRUE,0),_xlfn.IFS(Q12=TRUE,6,R12=TRUE,4,AND(S12=TRUE,T12=FALSE),3,T12=TRUE,2,U12=TRUE,0))</f>
        <v>0</v>
      </c>
      <c r="X12" s="3"/>
      <c r="Y12" s="3"/>
    </row>
    <row r="13" spans="1:25" ht="14.25" customHeight="1" x14ac:dyDescent="0.3">
      <c r="A13" s="3">
        <f>'Tabela de Jogos'!A13</f>
        <v>11</v>
      </c>
      <c r="B13" s="3" t="str">
        <f>'Tabela de Jogos'!B13</f>
        <v>Costa do Marfim</v>
      </c>
      <c r="C13" s="3">
        <f>'Tabela de Jogos'!C13</f>
        <v>1</v>
      </c>
      <c r="D13" s="3" t="str">
        <f>'Tabela de Jogos'!D13</f>
        <v>x</v>
      </c>
      <c r="E13" s="3">
        <f>'Tabela de Jogos'!E13</f>
        <v>0</v>
      </c>
      <c r="F13" s="3" t="str">
        <f>'Tabela de Jogos'!F13</f>
        <v>Equador</v>
      </c>
      <c r="G13" s="3" t="str">
        <f>'Tabela de Jogos'!G13</f>
        <v>Costa do Marfim</v>
      </c>
      <c r="H13" s="3"/>
      <c r="I13" s="3">
        <f t="shared" ref="I13:J13" si="19">A13</f>
        <v>11</v>
      </c>
      <c r="J13" s="3" t="str">
        <f t="shared" si="19"/>
        <v>Costa do Marfim</v>
      </c>
      <c r="K13" s="3">
        <v>1</v>
      </c>
      <c r="L13" s="3" t="str">
        <f t="shared" si="2"/>
        <v>x</v>
      </c>
      <c r="M13" s="3">
        <v>2</v>
      </c>
      <c r="N13" s="3" t="str">
        <f t="shared" si="3"/>
        <v>Equador</v>
      </c>
      <c r="O13" s="3" t="str">
        <f t="shared" si="4"/>
        <v>Equador</v>
      </c>
      <c r="P13" s="3"/>
      <c r="Q13" s="3" t="b">
        <f t="shared" si="5"/>
        <v>0</v>
      </c>
      <c r="R13" s="3" t="b">
        <f t="shared" si="6"/>
        <v>0</v>
      </c>
      <c r="S13" s="3" t="b">
        <f t="shared" si="7"/>
        <v>0</v>
      </c>
      <c r="T13" s="3" t="b">
        <f t="shared" si="8"/>
        <v>0</v>
      </c>
      <c r="U13" s="3" t="b">
        <f t="shared" si="9"/>
        <v>1</v>
      </c>
      <c r="V13" s="3"/>
      <c r="W13" s="3" cm="1">
        <f t="array" ref="W13">IF(OR(J13="Brasil",N13="Brasil"),2*_xlfn.IFS(Q13=TRUE,6,R13=TRUE,4,AND(S13=TRUE,T13=FALSE),3,T13=TRUE,2,U13=TRUE,0),_xlfn.IFS(Q13=TRUE,6,R13=TRUE,4,AND(S13=TRUE,T13=FALSE),3,T13=TRUE,2,U13=TRUE,0))</f>
        <v>0</v>
      </c>
      <c r="X13" s="3"/>
      <c r="Y13" s="3"/>
    </row>
    <row r="14" spans="1:25" ht="14.25" customHeight="1" x14ac:dyDescent="0.3">
      <c r="A14" s="3">
        <f>'Tabela de Jogos'!A14</f>
        <v>12</v>
      </c>
      <c r="B14" s="3" t="str">
        <f>'Tabela de Jogos'!B14</f>
        <v>Suécia</v>
      </c>
      <c r="C14" s="3">
        <f>'Tabela de Jogos'!C14</f>
        <v>5</v>
      </c>
      <c r="D14" s="3" t="str">
        <f>'Tabela de Jogos'!D14</f>
        <v>x</v>
      </c>
      <c r="E14" s="3">
        <f>'Tabela de Jogos'!E14</f>
        <v>1</v>
      </c>
      <c r="F14" s="3" t="str">
        <f>'Tabela de Jogos'!F14</f>
        <v>Tunísia</v>
      </c>
      <c r="G14" s="3" t="str">
        <f>'Tabela de Jogos'!G14</f>
        <v>Suécia</v>
      </c>
      <c r="H14" s="3"/>
      <c r="I14" s="3">
        <f t="shared" ref="I14:J14" si="20">A14</f>
        <v>12</v>
      </c>
      <c r="J14" s="3" t="str">
        <f t="shared" si="20"/>
        <v>Suécia</v>
      </c>
      <c r="K14" s="3">
        <v>2</v>
      </c>
      <c r="L14" s="3" t="str">
        <f t="shared" si="2"/>
        <v>x</v>
      </c>
      <c r="M14" s="3">
        <v>1</v>
      </c>
      <c r="N14" s="3" t="str">
        <f t="shared" si="3"/>
        <v>Tunísia</v>
      </c>
      <c r="O14" s="3" t="str">
        <f t="shared" si="4"/>
        <v>Suécia</v>
      </c>
      <c r="P14" s="3"/>
      <c r="Q14" s="3" t="b">
        <f t="shared" si="5"/>
        <v>0</v>
      </c>
      <c r="R14" s="3" t="b">
        <f t="shared" si="6"/>
        <v>0</v>
      </c>
      <c r="S14" s="3" t="b">
        <f t="shared" si="7"/>
        <v>0</v>
      </c>
      <c r="T14" s="3" t="b">
        <f t="shared" si="8"/>
        <v>1</v>
      </c>
      <c r="U14" s="3" t="b">
        <f t="shared" si="9"/>
        <v>0</v>
      </c>
      <c r="V14" s="3"/>
      <c r="W14" s="3" cm="1">
        <f t="array" ref="W14">IF(OR(J14="Brasil",N14="Brasil"),2*_xlfn.IFS(Q14=TRUE,6,R14=TRUE,4,AND(S14=TRUE,T14=FALSE),3,T14=TRUE,2,U14=TRUE,0),_xlfn.IFS(Q14=TRUE,6,R14=TRUE,4,AND(S14=TRUE,T14=FALSE),3,T14=TRUE,2,U14=TRUE,0))</f>
        <v>2</v>
      </c>
      <c r="X14" s="3"/>
      <c r="Y14" s="3"/>
    </row>
    <row r="15" spans="1:25" ht="14.25" customHeight="1" x14ac:dyDescent="0.3">
      <c r="A15" s="3">
        <f>'Tabela de Jogos'!A15</f>
        <v>13</v>
      </c>
      <c r="B15" s="3" t="str">
        <f>'Tabela de Jogos'!B15</f>
        <v>Espanha</v>
      </c>
      <c r="C15" s="3">
        <f>'Tabela de Jogos'!C15</f>
        <v>0</v>
      </c>
      <c r="D15" s="3" t="str">
        <f>'Tabela de Jogos'!D15</f>
        <v>x</v>
      </c>
      <c r="E15" s="3">
        <f>'Tabela de Jogos'!E15</f>
        <v>0</v>
      </c>
      <c r="F15" s="3" t="str">
        <f>'Tabela de Jogos'!F15</f>
        <v>Cabo Verde</v>
      </c>
      <c r="G15" s="3" t="str">
        <f>'Tabela de Jogos'!G15</f>
        <v>Empate</v>
      </c>
      <c r="H15" s="3"/>
      <c r="I15" s="3">
        <f t="shared" ref="I15:J15" si="21">A15</f>
        <v>13</v>
      </c>
      <c r="J15" s="3" t="str">
        <f t="shared" si="21"/>
        <v>Espanha</v>
      </c>
      <c r="K15" s="3">
        <v>5</v>
      </c>
      <c r="L15" s="3" t="str">
        <f t="shared" si="2"/>
        <v>x</v>
      </c>
      <c r="M15" s="3">
        <v>1</v>
      </c>
      <c r="N15" s="3" t="str">
        <f t="shared" si="3"/>
        <v>Cabo Verde</v>
      </c>
      <c r="O15" s="3" t="str">
        <f t="shared" si="4"/>
        <v>Espanha</v>
      </c>
      <c r="P15" s="3"/>
      <c r="Q15" s="3" t="b">
        <f t="shared" si="5"/>
        <v>0</v>
      </c>
      <c r="R15" s="3" t="b">
        <f t="shared" si="6"/>
        <v>0</v>
      </c>
      <c r="S15" s="3" t="b">
        <f t="shared" si="7"/>
        <v>0</v>
      </c>
      <c r="T15" s="3" t="b">
        <f t="shared" si="8"/>
        <v>0</v>
      </c>
      <c r="U15" s="3" t="b">
        <f t="shared" si="9"/>
        <v>1</v>
      </c>
      <c r="V15" s="3"/>
      <c r="W15" s="3" cm="1">
        <f t="array" ref="W15">IF(OR(J15="Brasil",N15="Brasil"),2*_xlfn.IFS(Q15=TRUE,6,R15=TRUE,4,AND(S15=TRUE,T15=FALSE),3,T15=TRUE,2,U15=TRUE,0),_xlfn.IFS(Q15=TRUE,6,R15=TRUE,4,AND(S15=TRUE,T15=FALSE),3,T15=TRUE,2,U15=TRUE,0))</f>
        <v>0</v>
      </c>
      <c r="X15" s="3"/>
      <c r="Y15" s="3"/>
    </row>
    <row r="16" spans="1:25" ht="14.25" customHeight="1" x14ac:dyDescent="0.3">
      <c r="A16" s="3">
        <f>'Tabela de Jogos'!A16</f>
        <v>14</v>
      </c>
      <c r="B16" s="3" t="str">
        <f>'Tabela de Jogos'!B16</f>
        <v>Bélgica</v>
      </c>
      <c r="C16" s="3">
        <f>'Tabela de Jogos'!C16</f>
        <v>1</v>
      </c>
      <c r="D16" s="3" t="str">
        <f>'Tabela de Jogos'!D16</f>
        <v>x</v>
      </c>
      <c r="E16" s="3">
        <f>'Tabela de Jogos'!E16</f>
        <v>1</v>
      </c>
      <c r="F16" s="3" t="str">
        <f>'Tabela de Jogos'!F16</f>
        <v>Egito</v>
      </c>
      <c r="G16" s="3" t="str">
        <f>'Tabela de Jogos'!G16</f>
        <v>Empate</v>
      </c>
      <c r="H16" s="3"/>
      <c r="I16" s="3">
        <f t="shared" ref="I16:J16" si="22">A16</f>
        <v>14</v>
      </c>
      <c r="J16" s="3" t="str">
        <f t="shared" si="22"/>
        <v>Bélgica</v>
      </c>
      <c r="K16" s="3">
        <v>2</v>
      </c>
      <c r="L16" s="3" t="str">
        <f t="shared" si="2"/>
        <v>x</v>
      </c>
      <c r="M16" s="3">
        <v>0</v>
      </c>
      <c r="N16" s="3" t="str">
        <f t="shared" si="3"/>
        <v>Egito</v>
      </c>
      <c r="O16" s="3" t="str">
        <f t="shared" si="4"/>
        <v>Bélgica</v>
      </c>
      <c r="P16" s="3"/>
      <c r="Q16" s="3" t="b">
        <f t="shared" si="5"/>
        <v>0</v>
      </c>
      <c r="R16" s="3" t="b">
        <f t="shared" si="6"/>
        <v>0</v>
      </c>
      <c r="S16" s="3" t="b">
        <f t="shared" si="7"/>
        <v>0</v>
      </c>
      <c r="T16" s="3" t="b">
        <f t="shared" si="8"/>
        <v>0</v>
      </c>
      <c r="U16" s="3" t="b">
        <f t="shared" si="9"/>
        <v>1</v>
      </c>
      <c r="V16" s="3"/>
      <c r="W16" s="3" cm="1">
        <f t="array" ref="W16">IF(OR(J16="Brasil",N16="Brasil"),2*_xlfn.IFS(Q16=TRUE,6,R16=TRUE,4,AND(S16=TRUE,T16=FALSE),3,T16=TRUE,2,U16=TRUE,0),_xlfn.IFS(Q16=TRUE,6,R16=TRUE,4,AND(S16=TRUE,T16=FALSE),3,T16=TRUE,2,U16=TRUE,0))</f>
        <v>0</v>
      </c>
      <c r="X16" s="3"/>
      <c r="Y16" s="3"/>
    </row>
    <row r="17" spans="1:25" ht="14.25" customHeight="1" x14ac:dyDescent="0.3">
      <c r="A17" s="3">
        <f>'Tabela de Jogos'!A17</f>
        <v>15</v>
      </c>
      <c r="B17" s="3" t="str">
        <f>'Tabela de Jogos'!B17</f>
        <v>Arábia Saudita</v>
      </c>
      <c r="C17" s="3">
        <f>'Tabela de Jogos'!C17</f>
        <v>1</v>
      </c>
      <c r="D17" s="3" t="str">
        <f>'Tabela de Jogos'!D17</f>
        <v>x</v>
      </c>
      <c r="E17" s="3">
        <f>'Tabela de Jogos'!E17</f>
        <v>1</v>
      </c>
      <c r="F17" s="3" t="str">
        <f>'Tabela de Jogos'!F17</f>
        <v>Uruguai</v>
      </c>
      <c r="G17" s="3" t="str">
        <f>'Tabela de Jogos'!G17</f>
        <v>Empate</v>
      </c>
      <c r="H17" s="3"/>
      <c r="I17" s="3">
        <f t="shared" ref="I17:J17" si="23">A17</f>
        <v>15</v>
      </c>
      <c r="J17" s="3" t="str">
        <f t="shared" si="23"/>
        <v>Arábia Saudita</v>
      </c>
      <c r="K17" s="3">
        <v>1</v>
      </c>
      <c r="L17" s="3" t="str">
        <f t="shared" si="2"/>
        <v>x</v>
      </c>
      <c r="M17" s="3">
        <v>3</v>
      </c>
      <c r="N17" s="3" t="str">
        <f t="shared" si="3"/>
        <v>Uruguai</v>
      </c>
      <c r="O17" s="3" t="str">
        <f t="shared" si="4"/>
        <v>Uruguai</v>
      </c>
      <c r="P17" s="3"/>
      <c r="Q17" s="3" t="b">
        <f t="shared" si="5"/>
        <v>0</v>
      </c>
      <c r="R17" s="3" t="b">
        <f t="shared" si="6"/>
        <v>0</v>
      </c>
      <c r="S17" s="3" t="b">
        <f t="shared" si="7"/>
        <v>0</v>
      </c>
      <c r="T17" s="3" t="b">
        <f t="shared" si="8"/>
        <v>0</v>
      </c>
      <c r="U17" s="3" t="b">
        <f t="shared" si="9"/>
        <v>1</v>
      </c>
      <c r="V17" s="3"/>
      <c r="W17" s="3" cm="1">
        <f t="array" ref="W17">IF(OR(J17="Brasil",N17="Brasil"),2*_xlfn.IFS(Q17=TRUE,6,R17=TRUE,4,AND(S17=TRUE,T17=FALSE),3,T17=TRUE,2,U17=TRUE,0),_xlfn.IFS(Q17=TRUE,6,R17=TRUE,4,AND(S17=TRUE,T17=FALSE),3,T17=TRUE,2,U17=TRUE,0))</f>
        <v>0</v>
      </c>
      <c r="X17" s="3"/>
      <c r="Y17" s="3"/>
    </row>
    <row r="18" spans="1:25" ht="14.25" customHeight="1" x14ac:dyDescent="0.3">
      <c r="A18" s="3">
        <f>'Tabela de Jogos'!A18</f>
        <v>16</v>
      </c>
      <c r="B18" s="3" t="str">
        <f>'Tabela de Jogos'!B18</f>
        <v>Irã</v>
      </c>
      <c r="C18" s="3">
        <f>'Tabela de Jogos'!C18</f>
        <v>2</v>
      </c>
      <c r="D18" s="3" t="str">
        <f>'Tabela de Jogos'!D18</f>
        <v>x</v>
      </c>
      <c r="E18" s="3">
        <f>'Tabela de Jogos'!E18</f>
        <v>2</v>
      </c>
      <c r="F18" s="3" t="str">
        <f>'Tabela de Jogos'!F18</f>
        <v>Nova Zelândia</v>
      </c>
      <c r="G18" s="3" t="str">
        <f>'Tabela de Jogos'!G18</f>
        <v>Empate</v>
      </c>
      <c r="H18" s="3"/>
      <c r="I18" s="3">
        <f t="shared" ref="I18:J18" si="24">A18</f>
        <v>16</v>
      </c>
      <c r="J18" s="3" t="str">
        <f t="shared" si="24"/>
        <v>Irã</v>
      </c>
      <c r="K18" s="3">
        <v>2</v>
      </c>
      <c r="L18" s="3" t="str">
        <f t="shared" si="2"/>
        <v>x</v>
      </c>
      <c r="M18" s="3">
        <v>1</v>
      </c>
      <c r="N18" s="3" t="str">
        <f t="shared" si="3"/>
        <v>Nova Zelândia</v>
      </c>
      <c r="O18" s="3" t="str">
        <f t="shared" si="4"/>
        <v>Irã</v>
      </c>
      <c r="P18" s="3"/>
      <c r="Q18" s="3" t="b">
        <f t="shared" si="5"/>
        <v>0</v>
      </c>
      <c r="R18" s="3" t="b">
        <f t="shared" si="6"/>
        <v>0</v>
      </c>
      <c r="S18" s="3" t="b">
        <f t="shared" si="7"/>
        <v>0</v>
      </c>
      <c r="T18" s="3" t="b">
        <f t="shared" si="8"/>
        <v>0</v>
      </c>
      <c r="U18" s="3" t="b">
        <f t="shared" si="9"/>
        <v>1</v>
      </c>
      <c r="V18" s="3"/>
      <c r="W18" s="3" cm="1">
        <f t="array" ref="W18">IF(OR(J18="Brasil",N18="Brasil"),2*_xlfn.IFS(Q18=TRUE,6,R18=TRUE,4,AND(S18=TRUE,T18=FALSE),3,T18=TRUE,2,U18=TRUE,0),_xlfn.IFS(Q18=TRUE,6,R18=TRUE,4,AND(S18=TRUE,T18=FALSE),3,T18=TRUE,2,U18=TRUE,0))</f>
        <v>0</v>
      </c>
      <c r="X18" s="3"/>
      <c r="Y18" s="3"/>
    </row>
    <row r="19" spans="1:25" ht="14.25" customHeight="1" x14ac:dyDescent="0.3">
      <c r="A19" s="3">
        <f>'Tabela de Jogos'!A19</f>
        <v>17</v>
      </c>
      <c r="B19" s="3" t="str">
        <f>'Tabela de Jogos'!B19</f>
        <v>França</v>
      </c>
      <c r="C19" s="3">
        <f>'Tabela de Jogos'!C19</f>
        <v>3</v>
      </c>
      <c r="D19" s="3" t="str">
        <f>'Tabela de Jogos'!D19</f>
        <v>x</v>
      </c>
      <c r="E19" s="3">
        <f>'Tabela de Jogos'!E19</f>
        <v>1</v>
      </c>
      <c r="F19" s="3" t="str">
        <f>'Tabela de Jogos'!F19</f>
        <v>Senegal</v>
      </c>
      <c r="G19" s="3" t="str">
        <f>'Tabela de Jogos'!G19</f>
        <v>França</v>
      </c>
      <c r="H19" s="3"/>
      <c r="I19" s="3">
        <f t="shared" ref="I19:J19" si="25">A19</f>
        <v>17</v>
      </c>
      <c r="J19" s="3" t="str">
        <f t="shared" si="25"/>
        <v>França</v>
      </c>
      <c r="K19" s="3">
        <v>3</v>
      </c>
      <c r="L19" s="3" t="str">
        <f t="shared" si="2"/>
        <v>x</v>
      </c>
      <c r="M19" s="3">
        <v>1</v>
      </c>
      <c r="N19" s="3" t="str">
        <f t="shared" si="3"/>
        <v>Senegal</v>
      </c>
      <c r="O19" s="3" t="str">
        <f t="shared" si="4"/>
        <v>França</v>
      </c>
      <c r="P19" s="3"/>
      <c r="Q19" s="3" t="b">
        <f t="shared" si="5"/>
        <v>1</v>
      </c>
      <c r="R19" s="3" t="b">
        <f t="shared" si="6"/>
        <v>0</v>
      </c>
      <c r="S19" s="3" t="b">
        <f t="shared" si="7"/>
        <v>0</v>
      </c>
      <c r="T19" s="3" t="b">
        <f t="shared" si="8"/>
        <v>0</v>
      </c>
      <c r="U19" s="3" t="b">
        <f t="shared" si="9"/>
        <v>0</v>
      </c>
      <c r="V19" s="3"/>
      <c r="W19" s="3" cm="1">
        <f t="array" ref="W19">IF(OR(J19="Brasil",N19="Brasil"),2*_xlfn.IFS(Q19=TRUE,6,R19=TRUE,4,AND(S19=TRUE,T19=FALSE),3,T19=TRUE,2,U19=TRUE,0),_xlfn.IFS(Q19=TRUE,6,R19=TRUE,4,AND(S19=TRUE,T19=FALSE),3,T19=TRUE,2,U19=TRUE,0))</f>
        <v>6</v>
      </c>
      <c r="X19" s="3"/>
      <c r="Y19" s="3"/>
    </row>
    <row r="20" spans="1:25" ht="14.25" customHeight="1" x14ac:dyDescent="0.3">
      <c r="A20" s="3">
        <f>'Tabela de Jogos'!A20</f>
        <v>18</v>
      </c>
      <c r="B20" s="3" t="str">
        <f>'Tabela de Jogos'!B20</f>
        <v>Iraque</v>
      </c>
      <c r="C20" s="3">
        <f>'Tabela de Jogos'!C20</f>
        <v>1</v>
      </c>
      <c r="D20" s="3" t="str">
        <f>'Tabela de Jogos'!D20</f>
        <v>x</v>
      </c>
      <c r="E20" s="3">
        <f>'Tabela de Jogos'!E20</f>
        <v>4</v>
      </c>
      <c r="F20" s="3" t="str">
        <f>'Tabela de Jogos'!F20</f>
        <v>Noruega</v>
      </c>
      <c r="G20" s="3" t="str">
        <f>'Tabela de Jogos'!G20</f>
        <v>Noruega</v>
      </c>
      <c r="H20" s="3"/>
      <c r="I20" s="3">
        <f t="shared" ref="I20:J20" si="26">A20</f>
        <v>18</v>
      </c>
      <c r="J20" s="3" t="str">
        <f t="shared" si="26"/>
        <v>Iraque</v>
      </c>
      <c r="K20" s="3">
        <v>1</v>
      </c>
      <c r="L20" s="3" t="str">
        <f t="shared" si="2"/>
        <v>x</v>
      </c>
      <c r="M20" s="3">
        <v>3</v>
      </c>
      <c r="N20" s="3" t="str">
        <f t="shared" si="3"/>
        <v>Noruega</v>
      </c>
      <c r="O20" s="3" t="str">
        <f t="shared" si="4"/>
        <v>Noruega</v>
      </c>
      <c r="P20" s="3"/>
      <c r="Q20" s="3" t="b">
        <f t="shared" si="5"/>
        <v>0</v>
      </c>
      <c r="R20" s="3" t="b">
        <f t="shared" si="6"/>
        <v>0</v>
      </c>
      <c r="S20" s="3" t="b">
        <f t="shared" si="7"/>
        <v>0</v>
      </c>
      <c r="T20" s="3" t="b">
        <f t="shared" si="8"/>
        <v>1</v>
      </c>
      <c r="U20" s="3" t="b">
        <f t="shared" si="9"/>
        <v>0</v>
      </c>
      <c r="V20" s="3"/>
      <c r="W20" s="3" cm="1">
        <f t="array" ref="W20">IF(OR(J20="Brasil",N20="Brasil"),2*_xlfn.IFS(Q20=TRUE,6,R20=TRUE,4,AND(S20=TRUE,T20=FALSE),3,T20=TRUE,2,U20=TRUE,0),_xlfn.IFS(Q20=TRUE,6,R20=TRUE,4,AND(S20=TRUE,T20=FALSE),3,T20=TRUE,2,U20=TRUE,0))</f>
        <v>2</v>
      </c>
      <c r="X20" s="3"/>
      <c r="Y20" s="3"/>
    </row>
    <row r="21" spans="1:25" ht="14.25" customHeight="1" x14ac:dyDescent="0.3">
      <c r="A21" s="3">
        <f>'Tabela de Jogos'!A21</f>
        <v>19</v>
      </c>
      <c r="B21" s="3" t="str">
        <f>'Tabela de Jogos'!B21</f>
        <v>Argentina</v>
      </c>
      <c r="C21" s="3">
        <f>'Tabela de Jogos'!C21</f>
        <v>3</v>
      </c>
      <c r="D21" s="3" t="str">
        <f>'Tabela de Jogos'!D21</f>
        <v>x</v>
      </c>
      <c r="E21" s="3">
        <f>'Tabela de Jogos'!E21</f>
        <v>0</v>
      </c>
      <c r="F21" s="3" t="str">
        <f>'Tabela de Jogos'!F21</f>
        <v>Argélia</v>
      </c>
      <c r="G21" s="3" t="str">
        <f>'Tabela de Jogos'!G21</f>
        <v>Argentina</v>
      </c>
      <c r="H21" s="3"/>
      <c r="I21" s="3">
        <f t="shared" ref="I21:J21" si="27">A21</f>
        <v>19</v>
      </c>
      <c r="J21" s="3" t="str">
        <f t="shared" si="27"/>
        <v>Argentina</v>
      </c>
      <c r="K21" s="3">
        <v>3</v>
      </c>
      <c r="L21" s="3" t="str">
        <f t="shared" si="2"/>
        <v>x</v>
      </c>
      <c r="M21" s="3">
        <v>1</v>
      </c>
      <c r="N21" s="3" t="str">
        <f t="shared" si="3"/>
        <v>Argélia</v>
      </c>
      <c r="O21" s="3" t="str">
        <f t="shared" si="4"/>
        <v>Argentina</v>
      </c>
      <c r="P21" s="3"/>
      <c r="Q21" s="3" t="b">
        <f t="shared" si="5"/>
        <v>0</v>
      </c>
      <c r="R21" s="3" t="b">
        <f t="shared" si="6"/>
        <v>1</v>
      </c>
      <c r="S21" s="3" t="b">
        <f t="shared" si="7"/>
        <v>0</v>
      </c>
      <c r="T21" s="3" t="b">
        <f t="shared" si="8"/>
        <v>0</v>
      </c>
      <c r="U21" s="3" t="b">
        <f t="shared" si="9"/>
        <v>0</v>
      </c>
      <c r="V21" s="3"/>
      <c r="W21" s="3" cm="1">
        <f t="array" ref="W21">IF(OR(J21="Brasil",N21="Brasil"),2*_xlfn.IFS(Q21=TRUE,6,R21=TRUE,4,AND(S21=TRUE,T21=FALSE),3,T21=TRUE,2,U21=TRUE,0),_xlfn.IFS(Q21=TRUE,6,R21=TRUE,4,AND(S21=TRUE,T21=FALSE),3,T21=TRUE,2,U21=TRUE,0))</f>
        <v>4</v>
      </c>
      <c r="X21" s="3"/>
      <c r="Y21" s="3"/>
    </row>
    <row r="22" spans="1:25" ht="14.25" customHeight="1" x14ac:dyDescent="0.3">
      <c r="A22" s="3">
        <f>'Tabela de Jogos'!A22</f>
        <v>20</v>
      </c>
      <c r="B22" s="3" t="str">
        <f>'Tabela de Jogos'!B22</f>
        <v>Áustria</v>
      </c>
      <c r="C22" s="3">
        <f>'Tabela de Jogos'!C22</f>
        <v>3</v>
      </c>
      <c r="D22" s="3" t="str">
        <f>'Tabela de Jogos'!D22</f>
        <v>x</v>
      </c>
      <c r="E22" s="3">
        <f>'Tabela de Jogos'!E22</f>
        <v>1</v>
      </c>
      <c r="F22" s="3" t="str">
        <f>'Tabela de Jogos'!F22</f>
        <v>Jordânia</v>
      </c>
      <c r="G22" s="3" t="str">
        <f>'Tabela de Jogos'!G22</f>
        <v>Áustria</v>
      </c>
      <c r="H22" s="3"/>
      <c r="I22" s="3">
        <f t="shared" ref="I22:J22" si="28">A22</f>
        <v>20</v>
      </c>
      <c r="J22" s="3" t="str">
        <f t="shared" si="28"/>
        <v>Áustria</v>
      </c>
      <c r="K22" s="3">
        <v>2</v>
      </c>
      <c r="L22" s="3" t="str">
        <f t="shared" si="2"/>
        <v>x</v>
      </c>
      <c r="M22" s="3">
        <v>1</v>
      </c>
      <c r="N22" s="3" t="str">
        <f t="shared" si="3"/>
        <v>Jordânia</v>
      </c>
      <c r="O22" s="3" t="str">
        <f t="shared" si="4"/>
        <v>Áustria</v>
      </c>
      <c r="P22" s="3"/>
      <c r="Q22" s="3" t="b">
        <f t="shared" si="5"/>
        <v>0</v>
      </c>
      <c r="R22" s="3" t="b">
        <f t="shared" si="6"/>
        <v>0</v>
      </c>
      <c r="S22" s="3" t="b">
        <f t="shared" si="7"/>
        <v>0</v>
      </c>
      <c r="T22" s="3" t="b">
        <f t="shared" si="8"/>
        <v>1</v>
      </c>
      <c r="U22" s="3" t="b">
        <f t="shared" si="9"/>
        <v>0</v>
      </c>
      <c r="V22" s="3"/>
      <c r="W22" s="3" cm="1">
        <f t="array" ref="W22">IF(OR(J22="Brasil",N22="Brasil"),2*_xlfn.IFS(Q22=TRUE,6,R22=TRUE,4,AND(S22=TRUE,T22=FALSE),3,T22=TRUE,2,U22=TRUE,0),_xlfn.IFS(Q22=TRUE,6,R22=TRUE,4,AND(S22=TRUE,T22=FALSE),3,T22=TRUE,2,U22=TRUE,0))</f>
        <v>2</v>
      </c>
      <c r="X22" s="3"/>
      <c r="Y22" s="3"/>
    </row>
    <row r="23" spans="1:25" ht="14.25" customHeight="1" x14ac:dyDescent="0.3">
      <c r="A23" s="3">
        <f>'Tabela de Jogos'!A23</f>
        <v>21</v>
      </c>
      <c r="B23" s="3" t="str">
        <f>'Tabela de Jogos'!B23</f>
        <v>Portugal</v>
      </c>
      <c r="C23" s="3">
        <f>'Tabela de Jogos'!C23</f>
        <v>1</v>
      </c>
      <c r="D23" s="3" t="str">
        <f>'Tabela de Jogos'!D23</f>
        <v>x</v>
      </c>
      <c r="E23" s="3">
        <f>'Tabela de Jogos'!E23</f>
        <v>1</v>
      </c>
      <c r="F23" s="3" t="str">
        <f>'Tabela de Jogos'!F23</f>
        <v>RD Congo</v>
      </c>
      <c r="G23" s="3" t="str">
        <f>'Tabela de Jogos'!G23</f>
        <v>Empate</v>
      </c>
      <c r="H23" s="3"/>
      <c r="I23" s="3">
        <f t="shared" ref="I23:J23" si="29">A23</f>
        <v>21</v>
      </c>
      <c r="J23" s="3" t="str">
        <f t="shared" si="29"/>
        <v>Portugal</v>
      </c>
      <c r="K23" s="3">
        <v>4</v>
      </c>
      <c r="L23" s="3" t="str">
        <f t="shared" si="2"/>
        <v>x</v>
      </c>
      <c r="M23" s="3">
        <v>1</v>
      </c>
      <c r="N23" s="3" t="str">
        <f t="shared" si="3"/>
        <v>RD Congo</v>
      </c>
      <c r="O23" s="3" t="str">
        <f t="shared" si="4"/>
        <v>Portugal</v>
      </c>
      <c r="P23" s="3"/>
      <c r="Q23" s="3" t="b">
        <f t="shared" si="5"/>
        <v>0</v>
      </c>
      <c r="R23" s="3" t="b">
        <f t="shared" si="6"/>
        <v>0</v>
      </c>
      <c r="S23" s="3" t="b">
        <f t="shared" si="7"/>
        <v>0</v>
      </c>
      <c r="T23" s="3" t="b">
        <f t="shared" si="8"/>
        <v>0</v>
      </c>
      <c r="U23" s="3" t="b">
        <f t="shared" si="9"/>
        <v>1</v>
      </c>
      <c r="V23" s="3"/>
      <c r="W23" s="3" cm="1">
        <f t="array" ref="W23">IF(OR(J23="Brasil",N23="Brasil"),2*_xlfn.IFS(Q23=TRUE,6,R23=TRUE,4,AND(S23=TRUE,T23=FALSE),3,T23=TRUE,2,U23=TRUE,0),_xlfn.IFS(Q23=TRUE,6,R23=TRUE,4,AND(S23=TRUE,T23=FALSE),3,T23=TRUE,2,U23=TRUE,0))</f>
        <v>0</v>
      </c>
      <c r="X23" s="3"/>
      <c r="Y23" s="3"/>
    </row>
    <row r="24" spans="1:25" ht="14.25" customHeight="1" x14ac:dyDescent="0.3">
      <c r="A24" s="3">
        <f>'Tabela de Jogos'!A24</f>
        <v>22</v>
      </c>
      <c r="B24" s="3" t="str">
        <f>'Tabela de Jogos'!B24</f>
        <v>Inglaterra</v>
      </c>
      <c r="C24" s="3">
        <f>'Tabela de Jogos'!C24</f>
        <v>4</v>
      </c>
      <c r="D24" s="3" t="str">
        <f>'Tabela de Jogos'!D24</f>
        <v>x</v>
      </c>
      <c r="E24" s="3">
        <f>'Tabela de Jogos'!E24</f>
        <v>2</v>
      </c>
      <c r="F24" s="3" t="str">
        <f>'Tabela de Jogos'!F24</f>
        <v>Croácia</v>
      </c>
      <c r="G24" s="3" t="str">
        <f>'Tabela de Jogos'!G24</f>
        <v>Inglaterra</v>
      </c>
      <c r="H24" s="3"/>
      <c r="I24" s="3">
        <f t="shared" ref="I24:J24" si="30">A24</f>
        <v>22</v>
      </c>
      <c r="J24" s="3" t="str">
        <f t="shared" si="30"/>
        <v>Inglaterra</v>
      </c>
      <c r="K24" s="3">
        <v>3</v>
      </c>
      <c r="L24" s="3" t="str">
        <f t="shared" si="2"/>
        <v>x</v>
      </c>
      <c r="M24" s="3">
        <v>2</v>
      </c>
      <c r="N24" s="3" t="str">
        <f t="shared" si="3"/>
        <v>Croácia</v>
      </c>
      <c r="O24" s="3" t="str">
        <f t="shared" si="4"/>
        <v>Inglaterra</v>
      </c>
      <c r="P24" s="3"/>
      <c r="Q24" s="3" t="b">
        <f t="shared" si="5"/>
        <v>0</v>
      </c>
      <c r="R24" s="3" t="b">
        <f t="shared" si="6"/>
        <v>0</v>
      </c>
      <c r="S24" s="3" t="b">
        <f t="shared" si="7"/>
        <v>0</v>
      </c>
      <c r="T24" s="3" t="b">
        <f t="shared" si="8"/>
        <v>1</v>
      </c>
      <c r="U24" s="3" t="b">
        <f t="shared" si="9"/>
        <v>0</v>
      </c>
      <c r="V24" s="3"/>
      <c r="W24" s="3" cm="1">
        <f t="array" ref="W24">IF(OR(J24="Brasil",N24="Brasil"),2*_xlfn.IFS(Q24=TRUE,6,R24=TRUE,4,AND(S24=TRUE,T24=FALSE),3,T24=TRUE,2,U24=TRUE,0),_xlfn.IFS(Q24=TRUE,6,R24=TRUE,4,AND(S24=TRUE,T24=FALSE),3,T24=TRUE,2,U24=TRUE,0))</f>
        <v>2</v>
      </c>
      <c r="X24" s="3"/>
      <c r="Y24" s="3"/>
    </row>
    <row r="25" spans="1:25" ht="14.25" customHeight="1" x14ac:dyDescent="0.3">
      <c r="A25" s="3">
        <f>'Tabela de Jogos'!A25</f>
        <v>23</v>
      </c>
      <c r="B25" s="3" t="str">
        <f>'Tabela de Jogos'!B25</f>
        <v>Gana</v>
      </c>
      <c r="C25" s="3">
        <f>'Tabela de Jogos'!C25</f>
        <v>1</v>
      </c>
      <c r="D25" s="3" t="str">
        <f>'Tabela de Jogos'!D25</f>
        <v>x</v>
      </c>
      <c r="E25" s="3">
        <f>'Tabela de Jogos'!E25</f>
        <v>0</v>
      </c>
      <c r="F25" s="3" t="str">
        <f>'Tabela de Jogos'!F25</f>
        <v>Panamá</v>
      </c>
      <c r="G25" s="3" t="str">
        <f>'Tabela de Jogos'!G25</f>
        <v>Gana</v>
      </c>
      <c r="H25" s="3"/>
      <c r="I25" s="3">
        <f t="shared" ref="I25:J25" si="31">A25</f>
        <v>23</v>
      </c>
      <c r="J25" s="3" t="str">
        <f t="shared" si="31"/>
        <v>Gana</v>
      </c>
      <c r="K25" s="3">
        <v>2</v>
      </c>
      <c r="L25" s="3" t="str">
        <f t="shared" si="2"/>
        <v>x</v>
      </c>
      <c r="M25" s="3">
        <v>1</v>
      </c>
      <c r="N25" s="3" t="str">
        <f t="shared" si="3"/>
        <v>Panamá</v>
      </c>
      <c r="O25" s="3" t="str">
        <f t="shared" si="4"/>
        <v>Gana</v>
      </c>
      <c r="P25" s="3"/>
      <c r="Q25" s="3" t="b">
        <f t="shared" si="5"/>
        <v>0</v>
      </c>
      <c r="R25" s="3" t="b">
        <f t="shared" si="6"/>
        <v>0</v>
      </c>
      <c r="S25" s="3" t="b">
        <f t="shared" si="7"/>
        <v>1</v>
      </c>
      <c r="T25" s="3" t="b">
        <f t="shared" si="8"/>
        <v>0</v>
      </c>
      <c r="U25" s="3" t="b">
        <f t="shared" si="9"/>
        <v>0</v>
      </c>
      <c r="V25" s="3"/>
      <c r="W25" s="3" cm="1">
        <f t="array" ref="W25">IF(OR(J25="Brasil",N25="Brasil"),2*_xlfn.IFS(Q25=TRUE,6,R25=TRUE,4,AND(S25=TRUE,T25=FALSE),3,T25=TRUE,2,U25=TRUE,0),_xlfn.IFS(Q25=TRUE,6,R25=TRUE,4,AND(S25=TRUE,T25=FALSE),3,T25=TRUE,2,U25=TRUE,0))</f>
        <v>3</v>
      </c>
      <c r="X25" s="3"/>
      <c r="Y25" s="3"/>
    </row>
    <row r="26" spans="1:25" ht="14.25" customHeight="1" x14ac:dyDescent="0.3">
      <c r="A26" s="3">
        <f>'Tabela de Jogos'!A26</f>
        <v>24</v>
      </c>
      <c r="B26" s="3" t="str">
        <f>'Tabela de Jogos'!B26</f>
        <v>Uzbequistão</v>
      </c>
      <c r="C26" s="3">
        <f>'Tabela de Jogos'!C26</f>
        <v>1</v>
      </c>
      <c r="D26" s="3" t="str">
        <f>'Tabela de Jogos'!D26</f>
        <v>x</v>
      </c>
      <c r="E26" s="3">
        <f>'Tabela de Jogos'!E26</f>
        <v>3</v>
      </c>
      <c r="F26" s="3" t="str">
        <f>'Tabela de Jogos'!F26</f>
        <v>Colômbia</v>
      </c>
      <c r="G26" s="3" t="str">
        <f>'Tabela de Jogos'!G26</f>
        <v>Colômbia</v>
      </c>
      <c r="H26" s="3"/>
      <c r="I26" s="3">
        <f t="shared" ref="I26:J26" si="32">A26</f>
        <v>24</v>
      </c>
      <c r="J26" s="3" t="str">
        <f t="shared" si="32"/>
        <v>Uzbequistão</v>
      </c>
      <c r="K26" s="3">
        <v>1</v>
      </c>
      <c r="L26" s="3" t="str">
        <f t="shared" si="2"/>
        <v>x</v>
      </c>
      <c r="M26" s="3">
        <v>3</v>
      </c>
      <c r="N26" s="3" t="str">
        <f t="shared" si="3"/>
        <v>Colômbia</v>
      </c>
      <c r="O26" s="3" t="str">
        <f t="shared" si="4"/>
        <v>Colômbia</v>
      </c>
      <c r="P26" s="3"/>
      <c r="Q26" s="3" t="b">
        <f t="shared" si="5"/>
        <v>1</v>
      </c>
      <c r="R26" s="3" t="b">
        <f t="shared" si="6"/>
        <v>0</v>
      </c>
      <c r="S26" s="3" t="b">
        <f t="shared" si="7"/>
        <v>0</v>
      </c>
      <c r="T26" s="3" t="b">
        <f t="shared" si="8"/>
        <v>0</v>
      </c>
      <c r="U26" s="3" t="b">
        <f t="shared" si="9"/>
        <v>0</v>
      </c>
      <c r="V26" s="3"/>
      <c r="W26" s="3" cm="1">
        <f t="array" ref="W26">IF(OR(J26="Brasil",N26="Brasil"),2*_xlfn.IFS(Q26=TRUE,6,R26=TRUE,4,AND(S26=TRUE,T26=FALSE),3,T26=TRUE,2,U26=TRUE,0),_xlfn.IFS(Q26=TRUE,6,R26=TRUE,4,AND(S26=TRUE,T26=FALSE),3,T26=TRUE,2,U26=TRUE,0))</f>
        <v>6</v>
      </c>
      <c r="X26" s="3"/>
      <c r="Y26" s="3"/>
    </row>
    <row r="27" spans="1:25" ht="14.25" customHeight="1" x14ac:dyDescent="0.3">
      <c r="A27" s="3">
        <f>'Tabela de Jogos'!A27</f>
        <v>25</v>
      </c>
      <c r="B27" s="3" t="str">
        <f>'Tabela de Jogos'!B27</f>
        <v>Tchéquia</v>
      </c>
      <c r="C27" s="3">
        <f>'Tabela de Jogos'!C27</f>
        <v>1</v>
      </c>
      <c r="D27" s="3" t="str">
        <f>'Tabela de Jogos'!D27</f>
        <v>x</v>
      </c>
      <c r="E27" s="3">
        <f>'Tabela de Jogos'!E27</f>
        <v>1</v>
      </c>
      <c r="F27" s="3" t="str">
        <f>'Tabela de Jogos'!F27</f>
        <v>África do Sul</v>
      </c>
      <c r="G27" s="3" t="str">
        <f>'Tabela de Jogos'!G27</f>
        <v>Empate</v>
      </c>
      <c r="H27" s="3"/>
      <c r="I27" s="3">
        <f t="shared" ref="I27:J27" si="33">A27</f>
        <v>25</v>
      </c>
      <c r="J27" s="3" t="str">
        <f t="shared" si="33"/>
        <v>Tchéquia</v>
      </c>
      <c r="K27" s="3">
        <v>2</v>
      </c>
      <c r="L27" s="3" t="str">
        <f t="shared" si="2"/>
        <v>x</v>
      </c>
      <c r="M27" s="3">
        <v>1</v>
      </c>
      <c r="N27" s="3" t="str">
        <f t="shared" si="3"/>
        <v>África do Sul</v>
      </c>
      <c r="O27" s="3" t="str">
        <f t="shared" si="4"/>
        <v>Tchéquia</v>
      </c>
      <c r="P27" s="3"/>
      <c r="Q27" s="3" t="b">
        <f t="shared" si="5"/>
        <v>0</v>
      </c>
      <c r="R27" s="3" t="b">
        <f t="shared" si="6"/>
        <v>0</v>
      </c>
      <c r="S27" s="3" t="b">
        <f t="shared" si="7"/>
        <v>0</v>
      </c>
      <c r="T27" s="3" t="b">
        <f t="shared" si="8"/>
        <v>0</v>
      </c>
      <c r="U27" s="3" t="b">
        <f t="shared" si="9"/>
        <v>1</v>
      </c>
      <c r="V27" s="3"/>
      <c r="W27" s="3" cm="1">
        <f t="array" ref="W27">IF(OR(J27="Brasil",N27="Brasil"),2*_xlfn.IFS(Q27=TRUE,6,R27=TRUE,4,AND(S27=TRUE,T27=FALSE),3,T27=TRUE,2,U27=TRUE,0),_xlfn.IFS(Q27=TRUE,6,R27=TRUE,4,AND(S27=TRUE,T27=FALSE),3,T27=TRUE,2,U27=TRUE,0))</f>
        <v>0</v>
      </c>
      <c r="X27" s="3"/>
      <c r="Y27" s="3"/>
    </row>
    <row r="28" spans="1:25" ht="14.25" customHeight="1" x14ac:dyDescent="0.3">
      <c r="A28" s="3">
        <f>'Tabela de Jogos'!A28</f>
        <v>26</v>
      </c>
      <c r="B28" s="3" t="str">
        <f>'Tabela de Jogos'!B28</f>
        <v>Suíça</v>
      </c>
      <c r="C28" s="3">
        <f>'Tabela de Jogos'!C28</f>
        <v>4</v>
      </c>
      <c r="D28" s="3" t="str">
        <f>'Tabela de Jogos'!D28</f>
        <v>x</v>
      </c>
      <c r="E28" s="3">
        <f>'Tabela de Jogos'!E28</f>
        <v>1</v>
      </c>
      <c r="F28" s="3" t="str">
        <f>'Tabela de Jogos'!F28</f>
        <v>Bósnia</v>
      </c>
      <c r="G28" s="3" t="str">
        <f>'Tabela de Jogos'!G28</f>
        <v>Suíça</v>
      </c>
      <c r="H28" s="3"/>
      <c r="I28" s="3">
        <f t="shared" ref="I28:J28" si="34">A28</f>
        <v>26</v>
      </c>
      <c r="J28" s="3" t="str">
        <f t="shared" si="34"/>
        <v>Suíça</v>
      </c>
      <c r="K28" s="3">
        <v>2</v>
      </c>
      <c r="L28" s="3" t="str">
        <f t="shared" si="2"/>
        <v>x</v>
      </c>
      <c r="M28" s="3">
        <v>1</v>
      </c>
      <c r="N28" s="3" t="str">
        <f t="shared" si="3"/>
        <v>Bósnia</v>
      </c>
      <c r="O28" s="3" t="str">
        <f t="shared" si="4"/>
        <v>Suíça</v>
      </c>
      <c r="P28" s="3"/>
      <c r="Q28" s="3" t="b">
        <f t="shared" si="5"/>
        <v>0</v>
      </c>
      <c r="R28" s="3" t="b">
        <f t="shared" si="6"/>
        <v>0</v>
      </c>
      <c r="S28" s="3" t="b">
        <f t="shared" si="7"/>
        <v>0</v>
      </c>
      <c r="T28" s="3" t="b">
        <f t="shared" si="8"/>
        <v>1</v>
      </c>
      <c r="U28" s="3" t="b">
        <f t="shared" si="9"/>
        <v>0</v>
      </c>
      <c r="V28" s="3"/>
      <c r="W28" s="3" cm="1">
        <f t="array" ref="W28">IF(OR(J28="Brasil",N28="Brasil"),2*_xlfn.IFS(Q28=TRUE,6,R28=TRUE,4,AND(S28=TRUE,T28=FALSE),3,T28=TRUE,2,U28=TRUE,0),_xlfn.IFS(Q28=TRUE,6,R28=TRUE,4,AND(S28=TRUE,T28=FALSE),3,T28=TRUE,2,U28=TRUE,0))</f>
        <v>2</v>
      </c>
      <c r="X28" s="3"/>
      <c r="Y28" s="3"/>
    </row>
    <row r="29" spans="1:25" ht="14.25" customHeight="1" x14ac:dyDescent="0.3">
      <c r="A29" s="3">
        <f>'Tabela de Jogos'!A29</f>
        <v>27</v>
      </c>
      <c r="B29" s="3" t="str">
        <f>'Tabela de Jogos'!B29</f>
        <v>Canadá</v>
      </c>
      <c r="C29" s="3">
        <f>'Tabela de Jogos'!C29</f>
        <v>6</v>
      </c>
      <c r="D29" s="3" t="str">
        <f>'Tabela de Jogos'!D29</f>
        <v>x</v>
      </c>
      <c r="E29" s="3">
        <f>'Tabela de Jogos'!E29</f>
        <v>0</v>
      </c>
      <c r="F29" s="3" t="str">
        <f>'Tabela de Jogos'!F29</f>
        <v>Catar</v>
      </c>
      <c r="G29" s="3" t="str">
        <f>'Tabela de Jogos'!G29</f>
        <v>Canadá</v>
      </c>
      <c r="H29" s="3"/>
      <c r="I29" s="3">
        <f t="shared" ref="I29:J29" si="35">A29</f>
        <v>27</v>
      </c>
      <c r="J29" s="3" t="str">
        <f t="shared" si="35"/>
        <v>Canadá</v>
      </c>
      <c r="K29" s="3">
        <v>2</v>
      </c>
      <c r="L29" s="3" t="str">
        <f t="shared" si="2"/>
        <v>x</v>
      </c>
      <c r="M29" s="3">
        <v>1</v>
      </c>
      <c r="N29" s="3" t="str">
        <f t="shared" si="3"/>
        <v>Catar</v>
      </c>
      <c r="O29" s="3" t="str">
        <f t="shared" si="4"/>
        <v>Canadá</v>
      </c>
      <c r="P29" s="3"/>
      <c r="Q29" s="3" t="b">
        <f t="shared" si="5"/>
        <v>0</v>
      </c>
      <c r="R29" s="3" t="b">
        <f t="shared" si="6"/>
        <v>0</v>
      </c>
      <c r="S29" s="3" t="b">
        <f t="shared" si="7"/>
        <v>0</v>
      </c>
      <c r="T29" s="3" t="b">
        <f t="shared" si="8"/>
        <v>1</v>
      </c>
      <c r="U29" s="3" t="b">
        <f t="shared" si="9"/>
        <v>0</v>
      </c>
      <c r="V29" s="3"/>
      <c r="W29" s="3" cm="1">
        <f t="array" ref="W29">IF(OR(J29="Brasil",N29="Brasil"),2*_xlfn.IFS(Q29=TRUE,6,R29=TRUE,4,AND(S29=TRUE,T29=FALSE),3,T29=TRUE,2,U29=TRUE,0),_xlfn.IFS(Q29=TRUE,6,R29=TRUE,4,AND(S29=TRUE,T29=FALSE),3,T29=TRUE,2,U29=TRUE,0))</f>
        <v>2</v>
      </c>
      <c r="X29" s="3"/>
      <c r="Y29" s="3"/>
    </row>
    <row r="30" spans="1:25" ht="14.25" customHeight="1" x14ac:dyDescent="0.3">
      <c r="A30" s="3">
        <f>'Tabela de Jogos'!A30</f>
        <v>28</v>
      </c>
      <c r="B30" s="3" t="str">
        <f>'Tabela de Jogos'!B30</f>
        <v>México</v>
      </c>
      <c r="C30" s="3">
        <f>'Tabela de Jogos'!C30</f>
        <v>1</v>
      </c>
      <c r="D30" s="3" t="str">
        <f>'Tabela de Jogos'!D30</f>
        <v>x</v>
      </c>
      <c r="E30" s="3">
        <f>'Tabela de Jogos'!E30</f>
        <v>0</v>
      </c>
      <c r="F30" s="3" t="str">
        <f>'Tabela de Jogos'!F30</f>
        <v>Coreia do Sul</v>
      </c>
      <c r="G30" s="3" t="str">
        <f>'Tabela de Jogos'!G30</f>
        <v>México</v>
      </c>
      <c r="H30" s="3"/>
      <c r="I30" s="3">
        <f t="shared" ref="I30:J30" si="36">A30</f>
        <v>28</v>
      </c>
      <c r="J30" s="3" t="str">
        <f t="shared" si="36"/>
        <v>México</v>
      </c>
      <c r="K30" s="3">
        <v>3</v>
      </c>
      <c r="L30" s="3" t="str">
        <f t="shared" si="2"/>
        <v>x</v>
      </c>
      <c r="M30" s="3">
        <v>2</v>
      </c>
      <c r="N30" s="3" t="str">
        <f t="shared" si="3"/>
        <v>Coreia do Sul</v>
      </c>
      <c r="O30" s="3" t="str">
        <f t="shared" si="4"/>
        <v>México</v>
      </c>
      <c r="P30" s="3"/>
      <c r="Q30" s="3" t="b">
        <f t="shared" si="5"/>
        <v>0</v>
      </c>
      <c r="R30" s="3" t="b">
        <f t="shared" si="6"/>
        <v>0</v>
      </c>
      <c r="S30" s="3" t="b">
        <f t="shared" si="7"/>
        <v>1</v>
      </c>
      <c r="T30" s="3" t="b">
        <f t="shared" si="8"/>
        <v>0</v>
      </c>
      <c r="U30" s="3" t="b">
        <f t="shared" si="9"/>
        <v>0</v>
      </c>
      <c r="V30" s="3"/>
      <c r="W30" s="3" cm="1">
        <f t="array" ref="W30">IF(OR(J30="Brasil",N30="Brasil"),2*_xlfn.IFS(Q30=TRUE,6,R30=TRUE,4,AND(S30=TRUE,T30=FALSE),3,T30=TRUE,2,U30=TRUE,0),_xlfn.IFS(Q30=TRUE,6,R30=TRUE,4,AND(S30=TRUE,T30=FALSE),3,T30=TRUE,2,U30=TRUE,0))</f>
        <v>3</v>
      </c>
      <c r="X30" s="3"/>
      <c r="Y30" s="3"/>
    </row>
    <row r="31" spans="1:25" ht="14.25" customHeight="1" x14ac:dyDescent="0.3">
      <c r="A31" s="3">
        <f>'Tabela de Jogos'!A31</f>
        <v>29</v>
      </c>
      <c r="B31" s="3" t="str">
        <f>'Tabela de Jogos'!B31</f>
        <v>EUA</v>
      </c>
      <c r="C31" s="3">
        <f>'Tabela de Jogos'!C31</f>
        <v>2</v>
      </c>
      <c r="D31" s="3" t="str">
        <f>'Tabela de Jogos'!D31</f>
        <v>x</v>
      </c>
      <c r="E31" s="3">
        <f>'Tabela de Jogos'!E31</f>
        <v>0</v>
      </c>
      <c r="F31" s="3" t="str">
        <f>'Tabela de Jogos'!F31</f>
        <v>Austrália</v>
      </c>
      <c r="G31" s="3" t="str">
        <f>'Tabela de Jogos'!G31</f>
        <v>EUA</v>
      </c>
      <c r="H31" s="3"/>
      <c r="I31" s="3">
        <f t="shared" ref="I31:J31" si="37">A31</f>
        <v>29</v>
      </c>
      <c r="J31" s="3" t="str">
        <f t="shared" si="37"/>
        <v>EUA</v>
      </c>
      <c r="K31" s="3">
        <v>3</v>
      </c>
      <c r="L31" s="3" t="str">
        <f t="shared" si="2"/>
        <v>x</v>
      </c>
      <c r="M31" s="3">
        <v>2</v>
      </c>
      <c r="N31" s="3" t="str">
        <f t="shared" si="3"/>
        <v>Austrália</v>
      </c>
      <c r="O31" s="3" t="str">
        <f t="shared" si="4"/>
        <v>EUA</v>
      </c>
      <c r="P31" s="3"/>
      <c r="Q31" s="3" t="b">
        <f t="shared" si="5"/>
        <v>0</v>
      </c>
      <c r="R31" s="3" t="b">
        <f t="shared" si="6"/>
        <v>0</v>
      </c>
      <c r="S31" s="3" t="b">
        <f t="shared" si="7"/>
        <v>0</v>
      </c>
      <c r="T31" s="3" t="b">
        <f t="shared" si="8"/>
        <v>1</v>
      </c>
      <c r="U31" s="3" t="b">
        <f t="shared" si="9"/>
        <v>0</v>
      </c>
      <c r="V31" s="3"/>
      <c r="W31" s="3" cm="1">
        <f t="array" ref="W31">IF(OR(J31="Brasil",N31="Brasil"),2*_xlfn.IFS(Q31=TRUE,6,R31=TRUE,4,AND(S31=TRUE,T31=FALSE),3,T31=TRUE,2,U31=TRUE,0),_xlfn.IFS(Q31=TRUE,6,R31=TRUE,4,AND(S31=TRUE,T31=FALSE),3,T31=TRUE,2,U31=TRUE,0))</f>
        <v>2</v>
      </c>
      <c r="X31" s="3"/>
      <c r="Y31" s="3"/>
    </row>
    <row r="32" spans="1:25" ht="14.25" customHeight="1" x14ac:dyDescent="0.3">
      <c r="A32" s="3">
        <f>'Tabela de Jogos'!A32</f>
        <v>30</v>
      </c>
      <c r="B32" s="3" t="str">
        <f>'Tabela de Jogos'!B32</f>
        <v>Escócia</v>
      </c>
      <c r="C32" s="3">
        <f>'Tabela de Jogos'!C32</f>
        <v>0</v>
      </c>
      <c r="D32" s="3" t="str">
        <f>'Tabela de Jogos'!D32</f>
        <v>x</v>
      </c>
      <c r="E32" s="3">
        <f>'Tabela de Jogos'!E32</f>
        <v>1</v>
      </c>
      <c r="F32" s="3" t="str">
        <f>'Tabela de Jogos'!F32</f>
        <v>Marrocos</v>
      </c>
      <c r="G32" s="3" t="str">
        <f>'Tabela de Jogos'!G32</f>
        <v>Marrocos</v>
      </c>
      <c r="H32" s="3"/>
      <c r="I32" s="3">
        <f t="shared" ref="I32:J32" si="38">A32</f>
        <v>30</v>
      </c>
      <c r="J32" s="3" t="str">
        <f t="shared" si="38"/>
        <v>Escócia</v>
      </c>
      <c r="K32" s="3">
        <v>1</v>
      </c>
      <c r="L32" s="3" t="str">
        <f t="shared" si="2"/>
        <v>x</v>
      </c>
      <c r="M32" s="3">
        <v>3</v>
      </c>
      <c r="N32" s="3" t="str">
        <f t="shared" si="3"/>
        <v>Marrocos</v>
      </c>
      <c r="O32" s="3" t="str">
        <f t="shared" si="4"/>
        <v>Marrocos</v>
      </c>
      <c r="P32" s="3"/>
      <c r="Q32" s="3" t="b">
        <f t="shared" si="5"/>
        <v>0</v>
      </c>
      <c r="R32" s="3" t="b">
        <f t="shared" si="6"/>
        <v>0</v>
      </c>
      <c r="S32" s="3" t="b">
        <f t="shared" si="7"/>
        <v>0</v>
      </c>
      <c r="T32" s="3" t="b">
        <f t="shared" si="8"/>
        <v>1</v>
      </c>
      <c r="U32" s="3" t="b">
        <f t="shared" si="9"/>
        <v>0</v>
      </c>
      <c r="V32" s="3"/>
      <c r="W32" s="3" cm="1">
        <f t="array" ref="W32">IF(OR(J32="Brasil",N32="Brasil"),2*_xlfn.IFS(Q32=TRUE,6,R32=TRUE,4,AND(S32=TRUE,T32=FALSE),3,T32=TRUE,2,U32=TRUE,0),_xlfn.IFS(Q32=TRUE,6,R32=TRUE,4,AND(S32=TRUE,T32=FALSE),3,T32=TRUE,2,U32=TRUE,0))</f>
        <v>2</v>
      </c>
      <c r="X32" s="3"/>
      <c r="Y32" s="3"/>
    </row>
    <row r="33" spans="1:25" ht="14.25" customHeight="1" x14ac:dyDescent="0.3">
      <c r="A33" s="3">
        <f>'Tabela de Jogos'!A33</f>
        <v>31</v>
      </c>
      <c r="B33" s="3" t="str">
        <f>'Tabela de Jogos'!B33</f>
        <v>Brasil</v>
      </c>
      <c r="C33" s="3">
        <f>'Tabela de Jogos'!C33</f>
        <v>3</v>
      </c>
      <c r="D33" s="3" t="str">
        <f>'Tabela de Jogos'!D33</f>
        <v>x</v>
      </c>
      <c r="E33" s="3">
        <f>'Tabela de Jogos'!E33</f>
        <v>0</v>
      </c>
      <c r="F33" s="3" t="str">
        <f>'Tabela de Jogos'!F33</f>
        <v>Haiti</v>
      </c>
      <c r="G33" s="3" t="str">
        <f>'Tabela de Jogos'!G33</f>
        <v>Brasil</v>
      </c>
      <c r="H33" s="3"/>
      <c r="I33" s="3">
        <f t="shared" ref="I33:J33" si="39">A33</f>
        <v>31</v>
      </c>
      <c r="J33" s="3" t="str">
        <f t="shared" si="39"/>
        <v>Brasil</v>
      </c>
      <c r="K33" s="3">
        <v>3</v>
      </c>
      <c r="L33" s="3" t="str">
        <f t="shared" si="2"/>
        <v>x</v>
      </c>
      <c r="M33" s="3">
        <v>1</v>
      </c>
      <c r="N33" s="3" t="str">
        <f t="shared" si="3"/>
        <v>Haiti</v>
      </c>
      <c r="O33" s="3" t="str">
        <f t="shared" si="4"/>
        <v>Brasil</v>
      </c>
      <c r="P33" s="3"/>
      <c r="Q33" s="3" t="b">
        <f t="shared" si="5"/>
        <v>0</v>
      </c>
      <c r="R33" s="3" t="b">
        <f t="shared" si="6"/>
        <v>1</v>
      </c>
      <c r="S33" s="3" t="b">
        <f t="shared" si="7"/>
        <v>0</v>
      </c>
      <c r="T33" s="3" t="b">
        <f t="shared" si="8"/>
        <v>0</v>
      </c>
      <c r="U33" s="3" t="b">
        <f t="shared" si="9"/>
        <v>0</v>
      </c>
      <c r="V33" s="3"/>
      <c r="W33" s="3" cm="1">
        <f t="array" ref="W33">IF(OR(J33="Brasil",N33="Brasil"),2*_xlfn.IFS(Q33=TRUE,6,R33=TRUE,4,AND(S33=TRUE,T33=FALSE),3,T33=TRUE,2,U33=TRUE,0),_xlfn.IFS(Q33=TRUE,6,R33=TRUE,4,AND(S33=TRUE,T33=FALSE),3,T33=TRUE,2,U33=TRUE,0))</f>
        <v>8</v>
      </c>
      <c r="X33" s="3"/>
      <c r="Y33" s="3"/>
    </row>
    <row r="34" spans="1:25" ht="14.25" customHeight="1" x14ac:dyDescent="0.3">
      <c r="A34" s="3">
        <f>'Tabela de Jogos'!A34</f>
        <v>32</v>
      </c>
      <c r="B34" s="3" t="str">
        <f>'Tabela de Jogos'!B34</f>
        <v>Turquia</v>
      </c>
      <c r="C34" s="3">
        <f>'Tabela de Jogos'!C34</f>
        <v>0</v>
      </c>
      <c r="D34" s="3" t="str">
        <f>'Tabela de Jogos'!D34</f>
        <v>x</v>
      </c>
      <c r="E34" s="3">
        <f>'Tabela de Jogos'!E34</f>
        <v>1</v>
      </c>
      <c r="F34" s="3" t="str">
        <f>'Tabela de Jogos'!F34</f>
        <v>Paraguai</v>
      </c>
      <c r="G34" s="3" t="str">
        <f>'Tabela de Jogos'!G34</f>
        <v>Paraguai</v>
      </c>
      <c r="H34" s="3"/>
      <c r="I34" s="3">
        <f t="shared" ref="I34:J34" si="40">A34</f>
        <v>32</v>
      </c>
      <c r="J34" s="3" t="str">
        <f t="shared" si="40"/>
        <v>Turquia</v>
      </c>
      <c r="K34" s="3">
        <v>1</v>
      </c>
      <c r="L34" s="3" t="str">
        <f t="shared" si="2"/>
        <v>x</v>
      </c>
      <c r="M34" s="3">
        <v>2</v>
      </c>
      <c r="N34" s="3" t="str">
        <f t="shared" si="3"/>
        <v>Paraguai</v>
      </c>
      <c r="O34" s="3" t="str">
        <f t="shared" si="4"/>
        <v>Paraguai</v>
      </c>
      <c r="P34" s="3"/>
      <c r="Q34" s="3" t="b">
        <f t="shared" si="5"/>
        <v>0</v>
      </c>
      <c r="R34" s="3" t="b">
        <f t="shared" si="6"/>
        <v>0</v>
      </c>
      <c r="S34" s="3" t="b">
        <f t="shared" si="7"/>
        <v>1</v>
      </c>
      <c r="T34" s="3" t="b">
        <f t="shared" si="8"/>
        <v>0</v>
      </c>
      <c r="U34" s="3" t="b">
        <f t="shared" si="9"/>
        <v>0</v>
      </c>
      <c r="V34" s="3"/>
      <c r="W34" s="3" cm="1">
        <f t="array" ref="W34">IF(OR(J34="Brasil",N34="Brasil"),2*_xlfn.IFS(Q34=TRUE,6,R34=TRUE,4,AND(S34=TRUE,T34=FALSE),3,T34=TRUE,2,U34=TRUE,0),_xlfn.IFS(Q34=TRUE,6,R34=TRUE,4,AND(S34=TRUE,T34=FALSE),3,T34=TRUE,2,U34=TRUE,0))</f>
        <v>3</v>
      </c>
      <c r="X34" s="3"/>
      <c r="Y34" s="3"/>
    </row>
    <row r="35" spans="1:25" ht="14.25" customHeight="1" x14ac:dyDescent="0.3">
      <c r="A35" s="3">
        <f>'Tabela de Jogos'!A35</f>
        <v>33</v>
      </c>
      <c r="B35" s="3" t="str">
        <f>'Tabela de Jogos'!B35</f>
        <v>Holanda</v>
      </c>
      <c r="C35" s="3">
        <f>'Tabela de Jogos'!C35</f>
        <v>5</v>
      </c>
      <c r="D35" s="3" t="str">
        <f>'Tabela de Jogos'!D35</f>
        <v>x</v>
      </c>
      <c r="E35" s="3">
        <f>'Tabela de Jogos'!E35</f>
        <v>1</v>
      </c>
      <c r="F35" s="3" t="str">
        <f>'Tabela de Jogos'!F35</f>
        <v>Suécia</v>
      </c>
      <c r="G35" s="3" t="str">
        <f>'Tabela de Jogos'!G35</f>
        <v>Holanda</v>
      </c>
      <c r="H35" s="3"/>
      <c r="I35" s="3">
        <f t="shared" ref="I35:J35" si="41">A35</f>
        <v>33</v>
      </c>
      <c r="J35" s="3" t="str">
        <f t="shared" si="41"/>
        <v>Holanda</v>
      </c>
      <c r="K35" s="3">
        <v>3</v>
      </c>
      <c r="L35" s="3" t="str">
        <f t="shared" si="2"/>
        <v>x</v>
      </c>
      <c r="M35" s="3">
        <v>2</v>
      </c>
      <c r="N35" s="3" t="str">
        <f t="shared" si="3"/>
        <v>Suécia</v>
      </c>
      <c r="O35" s="3" t="str">
        <f t="shared" si="4"/>
        <v>Holanda</v>
      </c>
      <c r="P35" s="3"/>
      <c r="Q35" s="3" t="b">
        <f t="shared" si="5"/>
        <v>0</v>
      </c>
      <c r="R35" s="3" t="b">
        <f t="shared" si="6"/>
        <v>0</v>
      </c>
      <c r="S35" s="3" t="b">
        <f t="shared" si="7"/>
        <v>0</v>
      </c>
      <c r="T35" s="3" t="b">
        <f t="shared" si="8"/>
        <v>1</v>
      </c>
      <c r="U35" s="3" t="b">
        <f t="shared" si="9"/>
        <v>0</v>
      </c>
      <c r="V35" s="3"/>
      <c r="W35" s="3" cm="1">
        <f t="array" ref="W35">IF(OR(J35="Brasil",N35="Brasil"),2*_xlfn.IFS(Q35=TRUE,6,R35=TRUE,4,AND(S35=TRUE,T35=FALSE),3,T35=TRUE,2,U35=TRUE,0),_xlfn.IFS(Q35=TRUE,6,R35=TRUE,4,AND(S35=TRUE,T35=FALSE),3,T35=TRUE,2,U35=TRUE,0))</f>
        <v>2</v>
      </c>
      <c r="X35" s="3"/>
      <c r="Y35" s="3"/>
    </row>
    <row r="36" spans="1:25" ht="14.25" customHeight="1" x14ac:dyDescent="0.3">
      <c r="A36" s="3">
        <f>'Tabela de Jogos'!A36</f>
        <v>34</v>
      </c>
      <c r="B36" s="3" t="str">
        <f>'Tabela de Jogos'!B36</f>
        <v>Alemanha</v>
      </c>
      <c r="C36" s="3">
        <f>'Tabela de Jogos'!C36</f>
        <v>2</v>
      </c>
      <c r="D36" s="3" t="str">
        <f>'Tabela de Jogos'!D36</f>
        <v>x</v>
      </c>
      <c r="E36" s="3">
        <f>'Tabela de Jogos'!E36</f>
        <v>1</v>
      </c>
      <c r="F36" s="3" t="str">
        <f>'Tabela de Jogos'!F36</f>
        <v>Costa do Marfim</v>
      </c>
      <c r="G36" s="3" t="str">
        <f>'Tabela de Jogos'!G36</f>
        <v>Alemanha</v>
      </c>
      <c r="H36" s="3"/>
      <c r="I36" s="3">
        <f t="shared" ref="I36:J36" si="42">A36</f>
        <v>34</v>
      </c>
      <c r="J36" s="3" t="str">
        <f t="shared" si="42"/>
        <v>Alemanha</v>
      </c>
      <c r="K36" s="3">
        <v>5</v>
      </c>
      <c r="L36" s="3" t="str">
        <f t="shared" si="2"/>
        <v>x</v>
      </c>
      <c r="M36" s="3">
        <v>2</v>
      </c>
      <c r="N36" s="3" t="str">
        <f t="shared" si="3"/>
        <v>Costa do Marfim</v>
      </c>
      <c r="O36" s="3" t="str">
        <f t="shared" si="4"/>
        <v>Alemanha</v>
      </c>
      <c r="P36" s="3"/>
      <c r="Q36" s="3" t="b">
        <f t="shared" si="5"/>
        <v>0</v>
      </c>
      <c r="R36" s="3" t="b">
        <f t="shared" si="6"/>
        <v>0</v>
      </c>
      <c r="S36" s="3" t="b">
        <f t="shared" si="7"/>
        <v>0</v>
      </c>
      <c r="T36" s="3" t="b">
        <f t="shared" si="8"/>
        <v>1</v>
      </c>
      <c r="U36" s="3" t="b">
        <f t="shared" si="9"/>
        <v>0</v>
      </c>
      <c r="V36" s="3"/>
      <c r="W36" s="3" cm="1">
        <f t="array" ref="W36">IF(OR(J36="Brasil",N36="Brasil"),2*_xlfn.IFS(Q36=TRUE,6,R36=TRUE,4,AND(S36=TRUE,T36=FALSE),3,T36=TRUE,2,U36=TRUE,0),_xlfn.IFS(Q36=TRUE,6,R36=TRUE,4,AND(S36=TRUE,T36=FALSE),3,T36=TRUE,2,U36=TRUE,0))</f>
        <v>2</v>
      </c>
      <c r="X36" s="3"/>
      <c r="Y36" s="3"/>
    </row>
    <row r="37" spans="1:25" ht="14.25" customHeight="1" x14ac:dyDescent="0.3">
      <c r="A37" s="3">
        <f>'Tabela de Jogos'!A37</f>
        <v>35</v>
      </c>
      <c r="B37" s="3" t="str">
        <f>'Tabela de Jogos'!B37</f>
        <v>Equador</v>
      </c>
      <c r="C37" s="3">
        <f>'Tabela de Jogos'!C37</f>
        <v>0</v>
      </c>
      <c r="D37" s="3" t="str">
        <f>'Tabela de Jogos'!D37</f>
        <v>x</v>
      </c>
      <c r="E37" s="3">
        <f>'Tabela de Jogos'!E37</f>
        <v>0</v>
      </c>
      <c r="F37" s="3" t="str">
        <f>'Tabela de Jogos'!F37</f>
        <v>Curaçao</v>
      </c>
      <c r="G37" s="3" t="str">
        <f>'Tabela de Jogos'!G37</f>
        <v>Empate</v>
      </c>
      <c r="H37" s="3"/>
      <c r="I37" s="3">
        <f t="shared" ref="I37:J37" si="43">A37</f>
        <v>35</v>
      </c>
      <c r="J37" s="3" t="str">
        <f t="shared" si="43"/>
        <v>Equador</v>
      </c>
      <c r="K37" s="3">
        <v>3</v>
      </c>
      <c r="L37" s="3" t="str">
        <f t="shared" si="2"/>
        <v>x</v>
      </c>
      <c r="M37" s="3">
        <v>1</v>
      </c>
      <c r="N37" s="3" t="str">
        <f t="shared" si="3"/>
        <v>Curaçao</v>
      </c>
      <c r="O37" s="3" t="str">
        <f t="shared" si="4"/>
        <v>Equador</v>
      </c>
      <c r="P37" s="3"/>
      <c r="Q37" s="3" t="b">
        <f t="shared" si="5"/>
        <v>0</v>
      </c>
      <c r="R37" s="3" t="b">
        <f t="shared" si="6"/>
        <v>0</v>
      </c>
      <c r="S37" s="3" t="b">
        <f t="shared" si="7"/>
        <v>0</v>
      </c>
      <c r="T37" s="3" t="b">
        <f t="shared" si="8"/>
        <v>0</v>
      </c>
      <c r="U37" s="3" t="b">
        <f t="shared" si="9"/>
        <v>1</v>
      </c>
      <c r="V37" s="3"/>
      <c r="W37" s="3" cm="1">
        <f t="array" ref="W37">IF(OR(J37="Brasil",N37="Brasil"),2*_xlfn.IFS(Q37=TRUE,6,R37=TRUE,4,AND(S37=TRUE,T37=FALSE),3,T37=TRUE,2,U37=TRUE,0),_xlfn.IFS(Q37=TRUE,6,R37=TRUE,4,AND(S37=TRUE,T37=FALSE),3,T37=TRUE,2,U37=TRUE,0))</f>
        <v>0</v>
      </c>
      <c r="X37" s="3"/>
      <c r="Y37" s="3"/>
    </row>
    <row r="38" spans="1:25" ht="14.25" customHeight="1" x14ac:dyDescent="0.3">
      <c r="A38" s="3">
        <f>'Tabela de Jogos'!A38</f>
        <v>36</v>
      </c>
      <c r="B38" s="3" t="str">
        <f>'Tabela de Jogos'!B38</f>
        <v>Tunísia</v>
      </c>
      <c r="C38" s="3">
        <f>'Tabela de Jogos'!C38</f>
        <v>0</v>
      </c>
      <c r="D38" s="3" t="str">
        <f>'Tabela de Jogos'!D38</f>
        <v>x</v>
      </c>
      <c r="E38" s="3">
        <f>'Tabela de Jogos'!E38</f>
        <v>4</v>
      </c>
      <c r="F38" s="3" t="str">
        <f>'Tabela de Jogos'!F38</f>
        <v>Japão</v>
      </c>
      <c r="G38" s="3" t="str">
        <f>'Tabela de Jogos'!G38</f>
        <v>Japão</v>
      </c>
      <c r="H38" s="3"/>
      <c r="I38" s="3">
        <f t="shared" ref="I38:J38" si="44">A38</f>
        <v>36</v>
      </c>
      <c r="J38" s="3" t="str">
        <f t="shared" si="44"/>
        <v>Tunísia</v>
      </c>
      <c r="K38" s="3">
        <v>1</v>
      </c>
      <c r="L38" s="3" t="str">
        <f t="shared" si="2"/>
        <v>x</v>
      </c>
      <c r="M38" s="3">
        <v>3</v>
      </c>
      <c r="N38" s="3" t="str">
        <f t="shared" si="3"/>
        <v>Japão</v>
      </c>
      <c r="O38" s="3" t="str">
        <f t="shared" si="4"/>
        <v>Japão</v>
      </c>
      <c r="P38" s="3"/>
      <c r="Q38" s="3" t="b">
        <f t="shared" si="5"/>
        <v>0</v>
      </c>
      <c r="R38" s="3" t="b">
        <f t="shared" si="6"/>
        <v>0</v>
      </c>
      <c r="S38" s="3" t="b">
        <f t="shared" si="7"/>
        <v>0</v>
      </c>
      <c r="T38" s="3" t="b">
        <f t="shared" si="8"/>
        <v>1</v>
      </c>
      <c r="U38" s="3" t="b">
        <f t="shared" si="9"/>
        <v>0</v>
      </c>
      <c r="V38" s="3"/>
      <c r="W38" s="3" cm="1">
        <f t="array" ref="W38">IF(OR(J38="Brasil",N38="Brasil"),2*_xlfn.IFS(Q38=TRUE,6,R38=TRUE,4,AND(S38=TRUE,T38=FALSE),3,T38=TRUE,2,U38=TRUE,0),_xlfn.IFS(Q38=TRUE,6,R38=TRUE,4,AND(S38=TRUE,T38=FALSE),3,T38=TRUE,2,U38=TRUE,0))</f>
        <v>2</v>
      </c>
      <c r="X38" s="3"/>
      <c r="Y38" s="3"/>
    </row>
    <row r="39" spans="1:25" ht="14.25" customHeight="1" x14ac:dyDescent="0.3">
      <c r="A39" s="3">
        <f>'Tabela de Jogos'!A39</f>
        <v>37</v>
      </c>
      <c r="B39" s="3" t="str">
        <f>'Tabela de Jogos'!B39</f>
        <v>Espanha</v>
      </c>
      <c r="C39" s="3">
        <f>'Tabela de Jogos'!C39</f>
        <v>4</v>
      </c>
      <c r="D39" s="3" t="str">
        <f>'Tabela de Jogos'!D39</f>
        <v>x</v>
      </c>
      <c r="E39" s="3">
        <f>'Tabela de Jogos'!E39</f>
        <v>0</v>
      </c>
      <c r="F39" s="3" t="str">
        <f>'Tabela de Jogos'!F39</f>
        <v>Arábia Saudita</v>
      </c>
      <c r="G39" s="3" t="str">
        <f>'Tabela de Jogos'!G39</f>
        <v>Espanha</v>
      </c>
      <c r="H39" s="3"/>
      <c r="I39" s="3">
        <f t="shared" ref="I39:J39" si="45">A39</f>
        <v>37</v>
      </c>
      <c r="J39" s="3" t="str">
        <f t="shared" si="45"/>
        <v>Espanha</v>
      </c>
      <c r="K39" s="3">
        <v>4</v>
      </c>
      <c r="L39" s="3" t="str">
        <f t="shared" si="2"/>
        <v>x</v>
      </c>
      <c r="M39" s="3">
        <v>0</v>
      </c>
      <c r="N39" s="3" t="str">
        <f t="shared" si="3"/>
        <v>Arábia Saudita</v>
      </c>
      <c r="O39" s="3" t="str">
        <f t="shared" si="4"/>
        <v>Espanha</v>
      </c>
      <c r="P39" s="3"/>
      <c r="Q39" s="3" t="b">
        <f t="shared" si="5"/>
        <v>1</v>
      </c>
      <c r="R39" s="3" t="b">
        <f t="shared" si="6"/>
        <v>0</v>
      </c>
      <c r="S39" s="3" t="b">
        <f t="shared" si="7"/>
        <v>0</v>
      </c>
      <c r="T39" s="3" t="b">
        <f t="shared" si="8"/>
        <v>0</v>
      </c>
      <c r="U39" s="3" t="b">
        <f t="shared" si="9"/>
        <v>0</v>
      </c>
      <c r="V39" s="3"/>
      <c r="W39" s="3" cm="1">
        <f t="array" ref="W39">IF(OR(J39="Brasil",N39="Brasil"),2*_xlfn.IFS(Q39=TRUE,6,R39=TRUE,4,AND(S39=TRUE,T39=FALSE),3,T39=TRUE,2,U39=TRUE,0),_xlfn.IFS(Q39=TRUE,6,R39=TRUE,4,AND(S39=TRUE,T39=FALSE),3,T39=TRUE,2,U39=TRUE,0))</f>
        <v>6</v>
      </c>
      <c r="X39" s="3"/>
      <c r="Y39" s="3"/>
    </row>
    <row r="40" spans="1:25" ht="14.25" customHeight="1" x14ac:dyDescent="0.3">
      <c r="A40" s="3">
        <f>'Tabela de Jogos'!A40</f>
        <v>38</v>
      </c>
      <c r="B40" s="3" t="str">
        <f>'Tabela de Jogos'!B40</f>
        <v>Bélgica</v>
      </c>
      <c r="C40" s="3">
        <f>'Tabela de Jogos'!C40</f>
        <v>0</v>
      </c>
      <c r="D40" s="3" t="str">
        <f>'Tabela de Jogos'!D40</f>
        <v>x</v>
      </c>
      <c r="E40" s="3">
        <f>'Tabela de Jogos'!E40</f>
        <v>0</v>
      </c>
      <c r="F40" s="3" t="str">
        <f>'Tabela de Jogos'!F40</f>
        <v>Irã</v>
      </c>
      <c r="G40" s="3" t="str">
        <f>'Tabela de Jogos'!G40</f>
        <v>Empate</v>
      </c>
      <c r="H40" s="3"/>
      <c r="I40" s="3">
        <f t="shared" ref="I40:J40" si="46">A40</f>
        <v>38</v>
      </c>
      <c r="J40" s="3" t="str">
        <f t="shared" si="46"/>
        <v>Bélgica</v>
      </c>
      <c r="K40" s="3">
        <v>3</v>
      </c>
      <c r="L40" s="3" t="str">
        <f t="shared" si="2"/>
        <v>x</v>
      </c>
      <c r="M40" s="3">
        <v>1</v>
      </c>
      <c r="N40" s="3" t="str">
        <f t="shared" si="3"/>
        <v>Irã</v>
      </c>
      <c r="O40" s="3" t="str">
        <f t="shared" si="4"/>
        <v>Bélgica</v>
      </c>
      <c r="P40" s="3"/>
      <c r="Q40" s="3" t="b">
        <f t="shared" si="5"/>
        <v>0</v>
      </c>
      <c r="R40" s="3" t="b">
        <f t="shared" si="6"/>
        <v>0</v>
      </c>
      <c r="S40" s="3" t="b">
        <f t="shared" si="7"/>
        <v>0</v>
      </c>
      <c r="T40" s="3" t="b">
        <f t="shared" si="8"/>
        <v>0</v>
      </c>
      <c r="U40" s="3" t="b">
        <f t="shared" si="9"/>
        <v>1</v>
      </c>
      <c r="V40" s="3"/>
      <c r="W40" s="3" cm="1">
        <f t="array" ref="W40">IF(OR(J40="Brasil",N40="Brasil"),2*_xlfn.IFS(Q40=TRUE,6,R40=TRUE,4,AND(S40=TRUE,T40=FALSE),3,T40=TRUE,2,U40=TRUE,0),_xlfn.IFS(Q40=TRUE,6,R40=TRUE,4,AND(S40=TRUE,T40=FALSE),3,T40=TRUE,2,U40=TRUE,0))</f>
        <v>0</v>
      </c>
      <c r="X40" s="3"/>
      <c r="Y40" s="3"/>
    </row>
    <row r="41" spans="1:25" ht="14.25" customHeight="1" x14ac:dyDescent="0.3">
      <c r="A41" s="3">
        <f>'Tabela de Jogos'!A41</f>
        <v>39</v>
      </c>
      <c r="B41" s="3" t="str">
        <f>'Tabela de Jogos'!B41</f>
        <v>Uruguai</v>
      </c>
      <c r="C41" s="3">
        <f>'Tabela de Jogos'!C41</f>
        <v>2</v>
      </c>
      <c r="D41" s="3" t="str">
        <f>'Tabela de Jogos'!D41</f>
        <v>x</v>
      </c>
      <c r="E41" s="3">
        <f>'Tabela de Jogos'!E41</f>
        <v>2</v>
      </c>
      <c r="F41" s="3" t="str">
        <f>'Tabela de Jogos'!F41</f>
        <v>Cabo Verde</v>
      </c>
      <c r="G41" s="3" t="str">
        <f>'Tabela de Jogos'!G41</f>
        <v>Empate</v>
      </c>
      <c r="H41" s="3"/>
      <c r="I41" s="3">
        <f t="shared" ref="I41:J41" si="47">A41</f>
        <v>39</v>
      </c>
      <c r="J41" s="3" t="str">
        <f t="shared" si="47"/>
        <v>Uruguai</v>
      </c>
      <c r="K41" s="3">
        <v>2</v>
      </c>
      <c r="L41" s="3" t="str">
        <f t="shared" si="2"/>
        <v>x</v>
      </c>
      <c r="M41" s="3">
        <v>1</v>
      </c>
      <c r="N41" s="3" t="str">
        <f t="shared" si="3"/>
        <v>Cabo Verde</v>
      </c>
      <c r="O41" s="3" t="str">
        <f t="shared" si="4"/>
        <v>Uruguai</v>
      </c>
      <c r="P41" s="3"/>
      <c r="Q41" s="3" t="b">
        <f t="shared" si="5"/>
        <v>0</v>
      </c>
      <c r="R41" s="3" t="b">
        <f t="shared" si="6"/>
        <v>0</v>
      </c>
      <c r="S41" s="3" t="b">
        <f t="shared" si="7"/>
        <v>0</v>
      </c>
      <c r="T41" s="3" t="b">
        <f t="shared" si="8"/>
        <v>0</v>
      </c>
      <c r="U41" s="3" t="b">
        <f t="shared" si="9"/>
        <v>1</v>
      </c>
      <c r="V41" s="3"/>
      <c r="W41" s="3" cm="1">
        <f t="array" ref="W41">IF(OR(J41="Brasil",N41="Brasil"),2*_xlfn.IFS(Q41=TRUE,6,R41=TRUE,4,AND(S41=TRUE,T41=FALSE),3,T41=TRUE,2,U41=TRUE,0),_xlfn.IFS(Q41=TRUE,6,R41=TRUE,4,AND(S41=TRUE,T41=FALSE),3,T41=TRUE,2,U41=TRUE,0))</f>
        <v>0</v>
      </c>
      <c r="X41" s="3"/>
      <c r="Y41" s="3"/>
    </row>
    <row r="42" spans="1:25" ht="14.25" customHeight="1" x14ac:dyDescent="0.3">
      <c r="A42" s="3">
        <f>'Tabela de Jogos'!A42</f>
        <v>40</v>
      </c>
      <c r="B42" s="3" t="str">
        <f>'Tabela de Jogos'!B42</f>
        <v>Nova Zelândia</v>
      </c>
      <c r="C42" s="3">
        <f>'Tabela de Jogos'!C42</f>
        <v>1</v>
      </c>
      <c r="D42" s="3" t="str">
        <f>'Tabela de Jogos'!D42</f>
        <v>x</v>
      </c>
      <c r="E42" s="3">
        <f>'Tabela de Jogos'!E42</f>
        <v>3</v>
      </c>
      <c r="F42" s="3" t="str">
        <f>'Tabela de Jogos'!F42</f>
        <v>Egito</v>
      </c>
      <c r="G42" s="3" t="str">
        <f>'Tabela de Jogos'!G42</f>
        <v>Egito</v>
      </c>
      <c r="H42" s="3"/>
      <c r="I42" s="3">
        <f t="shared" ref="I42:J42" si="48">A42</f>
        <v>40</v>
      </c>
      <c r="J42" s="3" t="str">
        <f t="shared" si="48"/>
        <v>Nova Zelândia</v>
      </c>
      <c r="K42" s="3">
        <v>1</v>
      </c>
      <c r="L42" s="3" t="str">
        <f t="shared" si="2"/>
        <v>x</v>
      </c>
      <c r="M42" s="3">
        <v>2</v>
      </c>
      <c r="N42" s="3" t="str">
        <f t="shared" si="3"/>
        <v>Egito</v>
      </c>
      <c r="O42" s="3" t="str">
        <f t="shared" si="4"/>
        <v>Egito</v>
      </c>
      <c r="P42" s="3"/>
      <c r="Q42" s="3" t="b">
        <f t="shared" si="5"/>
        <v>0</v>
      </c>
      <c r="R42" s="3" t="b">
        <f t="shared" si="6"/>
        <v>0</v>
      </c>
      <c r="S42" s="3" t="b">
        <f t="shared" si="7"/>
        <v>0</v>
      </c>
      <c r="T42" s="3" t="b">
        <f t="shared" si="8"/>
        <v>1</v>
      </c>
      <c r="U42" s="3" t="b">
        <f t="shared" si="9"/>
        <v>0</v>
      </c>
      <c r="V42" s="3"/>
      <c r="W42" s="3" cm="1">
        <f t="array" ref="W42">IF(OR(J42="Brasil",N42="Brasil"),2*_xlfn.IFS(Q42=TRUE,6,R42=TRUE,4,AND(S42=TRUE,T42=FALSE),3,T42=TRUE,2,U42=TRUE,0),_xlfn.IFS(Q42=TRUE,6,R42=TRUE,4,AND(S42=TRUE,T42=FALSE),3,T42=TRUE,2,U42=TRUE,0))</f>
        <v>2</v>
      </c>
      <c r="X42" s="3"/>
      <c r="Y42" s="3"/>
    </row>
    <row r="43" spans="1:25" ht="14.25" customHeight="1" x14ac:dyDescent="0.3">
      <c r="A43" s="3">
        <f>'Tabela de Jogos'!A43</f>
        <v>41</v>
      </c>
      <c r="B43" s="3" t="str">
        <f>'Tabela de Jogos'!B43</f>
        <v>Argentina</v>
      </c>
      <c r="C43" s="3">
        <f>'Tabela de Jogos'!C43</f>
        <v>2</v>
      </c>
      <c r="D43" s="3" t="str">
        <f>'Tabela de Jogos'!D43</f>
        <v>x</v>
      </c>
      <c r="E43" s="3">
        <f>'Tabela de Jogos'!E43</f>
        <v>0</v>
      </c>
      <c r="F43" s="3" t="str">
        <f>'Tabela de Jogos'!F43</f>
        <v>Áustria</v>
      </c>
      <c r="G43" s="3" t="str">
        <f>'Tabela de Jogos'!G43</f>
        <v>Argentina</v>
      </c>
      <c r="H43" s="3"/>
      <c r="I43" s="3">
        <f t="shared" ref="I43:J43" si="49">A43</f>
        <v>41</v>
      </c>
      <c r="J43" s="3" t="str">
        <f t="shared" si="49"/>
        <v>Argentina</v>
      </c>
      <c r="K43" s="3">
        <v>3</v>
      </c>
      <c r="L43" s="3" t="str">
        <f t="shared" si="2"/>
        <v>x</v>
      </c>
      <c r="M43" s="3">
        <v>1</v>
      </c>
      <c r="N43" s="3" t="str">
        <f t="shared" si="3"/>
        <v>Áustria</v>
      </c>
      <c r="O43" s="3" t="str">
        <f t="shared" si="4"/>
        <v>Argentina</v>
      </c>
      <c r="P43" s="3"/>
      <c r="Q43" s="3" t="b">
        <f t="shared" si="5"/>
        <v>0</v>
      </c>
      <c r="R43" s="3" t="b">
        <f t="shared" si="6"/>
        <v>0</v>
      </c>
      <c r="S43" s="3" t="b">
        <f t="shared" si="7"/>
        <v>1</v>
      </c>
      <c r="T43" s="3" t="b">
        <f t="shared" si="8"/>
        <v>0</v>
      </c>
      <c r="U43" s="3" t="b">
        <f t="shared" si="9"/>
        <v>0</v>
      </c>
      <c r="V43" s="3"/>
      <c r="W43" s="3" cm="1">
        <f t="array" ref="W43">IF(OR(J43="Brasil",N43="Brasil"),2*_xlfn.IFS(Q43=TRUE,6,R43=TRUE,4,AND(S43=TRUE,T43=FALSE),3,T43=TRUE,2,U43=TRUE,0),_xlfn.IFS(Q43=TRUE,6,R43=TRUE,4,AND(S43=TRUE,T43=FALSE),3,T43=TRUE,2,U43=TRUE,0))</f>
        <v>3</v>
      </c>
      <c r="X43" s="3"/>
      <c r="Y43" s="3"/>
    </row>
    <row r="44" spans="1:25" ht="14.25" customHeight="1" x14ac:dyDescent="0.3">
      <c r="A44" s="3">
        <f>'Tabela de Jogos'!A44</f>
        <v>42</v>
      </c>
      <c r="B44" s="3" t="str">
        <f>'Tabela de Jogos'!B44</f>
        <v>França</v>
      </c>
      <c r="C44" s="3">
        <f>'Tabela de Jogos'!C44</f>
        <v>3</v>
      </c>
      <c r="D44" s="3" t="str">
        <f>'Tabela de Jogos'!D44</f>
        <v>x</v>
      </c>
      <c r="E44" s="3">
        <f>'Tabela de Jogos'!E44</f>
        <v>0</v>
      </c>
      <c r="F44" s="3" t="str">
        <f>'Tabela de Jogos'!F44</f>
        <v>Iraque</v>
      </c>
      <c r="G44" s="3" t="str">
        <f>'Tabela de Jogos'!G44</f>
        <v>França</v>
      </c>
      <c r="H44" s="3"/>
      <c r="I44" s="3">
        <f t="shared" ref="I44:J44" si="50">A44</f>
        <v>42</v>
      </c>
      <c r="J44" s="3" t="str">
        <f t="shared" si="50"/>
        <v>França</v>
      </c>
      <c r="K44" s="3">
        <v>3</v>
      </c>
      <c r="L44" s="3" t="str">
        <f t="shared" si="2"/>
        <v>x</v>
      </c>
      <c r="M44" s="3">
        <v>1</v>
      </c>
      <c r="N44" s="3" t="str">
        <f t="shared" si="3"/>
        <v>Iraque</v>
      </c>
      <c r="O44" s="3" t="str">
        <f t="shared" si="4"/>
        <v>França</v>
      </c>
      <c r="P44" s="3"/>
      <c r="Q44" s="3" t="b">
        <f t="shared" si="5"/>
        <v>0</v>
      </c>
      <c r="R44" s="3" t="b">
        <f t="shared" si="6"/>
        <v>1</v>
      </c>
      <c r="S44" s="3" t="b">
        <f t="shared" si="7"/>
        <v>0</v>
      </c>
      <c r="T44" s="3" t="b">
        <f t="shared" si="8"/>
        <v>0</v>
      </c>
      <c r="U44" s="3" t="b">
        <f t="shared" si="9"/>
        <v>0</v>
      </c>
      <c r="V44" s="3"/>
      <c r="W44" s="3" cm="1">
        <f t="array" ref="W44">IF(OR(J44="Brasil",N44="Brasil"),2*_xlfn.IFS(Q44=TRUE,6,R44=TRUE,4,AND(S44=TRUE,T44=FALSE),3,T44=TRUE,2,U44=TRUE,0),_xlfn.IFS(Q44=TRUE,6,R44=TRUE,4,AND(S44=TRUE,T44=FALSE),3,T44=TRUE,2,U44=TRUE,0))</f>
        <v>4</v>
      </c>
      <c r="X44" s="3"/>
      <c r="Y44" s="3"/>
    </row>
    <row r="45" spans="1:25" ht="14.25" customHeight="1" x14ac:dyDescent="0.3">
      <c r="A45" s="3">
        <f>'Tabela de Jogos'!A45</f>
        <v>43</v>
      </c>
      <c r="B45" s="3" t="str">
        <f>'Tabela de Jogos'!B45</f>
        <v>Noruega</v>
      </c>
      <c r="C45" s="3">
        <f>'Tabela de Jogos'!C45</f>
        <v>3</v>
      </c>
      <c r="D45" s="3" t="str">
        <f>'Tabela de Jogos'!D45</f>
        <v>x</v>
      </c>
      <c r="E45" s="3">
        <f>'Tabela de Jogos'!E45</f>
        <v>2</v>
      </c>
      <c r="F45" s="3" t="str">
        <f>'Tabela de Jogos'!F45</f>
        <v>Senegal</v>
      </c>
      <c r="G45" s="3" t="str">
        <f>'Tabela de Jogos'!G45</f>
        <v>Noruega</v>
      </c>
      <c r="H45" s="3"/>
      <c r="I45" s="3">
        <f t="shared" ref="I45:J45" si="51">A45</f>
        <v>43</v>
      </c>
      <c r="J45" s="3" t="str">
        <f t="shared" si="51"/>
        <v>Noruega</v>
      </c>
      <c r="K45" s="3">
        <v>4</v>
      </c>
      <c r="L45" s="3" t="str">
        <f t="shared" si="2"/>
        <v>x</v>
      </c>
      <c r="M45" s="3">
        <v>2</v>
      </c>
      <c r="N45" s="3" t="str">
        <f t="shared" si="3"/>
        <v>Senegal</v>
      </c>
      <c r="O45" s="3" t="str">
        <f t="shared" si="4"/>
        <v>Noruega</v>
      </c>
      <c r="P45" s="3"/>
      <c r="Q45" s="3" t="b">
        <f t="shared" si="5"/>
        <v>0</v>
      </c>
      <c r="R45" s="3" t="b">
        <f t="shared" si="6"/>
        <v>0</v>
      </c>
      <c r="S45" s="3" t="b">
        <f t="shared" si="7"/>
        <v>0</v>
      </c>
      <c r="T45" s="3" t="b">
        <f t="shared" si="8"/>
        <v>1</v>
      </c>
      <c r="U45" s="3" t="b">
        <f t="shared" si="9"/>
        <v>0</v>
      </c>
      <c r="V45" s="3"/>
      <c r="W45" s="3" cm="1">
        <f t="array" ref="W45">IF(OR(J45="Brasil",N45="Brasil"),2*_xlfn.IFS(Q45=TRUE,6,R45=TRUE,4,AND(S45=TRUE,T45=FALSE),3,T45=TRUE,2,U45=TRUE,0),_xlfn.IFS(Q45=TRUE,6,R45=TRUE,4,AND(S45=TRUE,T45=FALSE),3,T45=TRUE,2,U45=TRUE,0))</f>
        <v>2</v>
      </c>
      <c r="X45" s="3"/>
      <c r="Y45" s="3"/>
    </row>
    <row r="46" spans="1:25" ht="14.25" customHeight="1" x14ac:dyDescent="0.3">
      <c r="A46" s="3">
        <f>'Tabela de Jogos'!A46</f>
        <v>44</v>
      </c>
      <c r="B46" s="3" t="str">
        <f>'Tabela de Jogos'!B46</f>
        <v>Jordânia</v>
      </c>
      <c r="C46" s="3">
        <f>'Tabela de Jogos'!C46</f>
        <v>1</v>
      </c>
      <c r="D46" s="3" t="str">
        <f>'Tabela de Jogos'!D46</f>
        <v>x</v>
      </c>
      <c r="E46" s="3">
        <f>'Tabela de Jogos'!E46</f>
        <v>2</v>
      </c>
      <c r="F46" s="3" t="str">
        <f>'Tabela de Jogos'!F46</f>
        <v>Argélia</v>
      </c>
      <c r="G46" s="3" t="str">
        <f>'Tabela de Jogos'!G46</f>
        <v>Argélia</v>
      </c>
      <c r="H46" s="3"/>
      <c r="I46" s="3">
        <f t="shared" ref="I46:J46" si="52">A46</f>
        <v>44</v>
      </c>
      <c r="J46" s="3" t="str">
        <f t="shared" si="52"/>
        <v>Jordânia</v>
      </c>
      <c r="K46" s="3">
        <v>1</v>
      </c>
      <c r="L46" s="3" t="str">
        <f t="shared" si="2"/>
        <v>x</v>
      </c>
      <c r="M46" s="3">
        <v>2</v>
      </c>
      <c r="N46" s="3" t="str">
        <f t="shared" si="3"/>
        <v>Argélia</v>
      </c>
      <c r="O46" s="3" t="str">
        <f t="shared" si="4"/>
        <v>Argélia</v>
      </c>
      <c r="P46" s="3"/>
      <c r="Q46" s="3" t="b">
        <f t="shared" si="5"/>
        <v>1</v>
      </c>
      <c r="R46" s="3" t="b">
        <f t="shared" si="6"/>
        <v>0</v>
      </c>
      <c r="S46" s="3" t="b">
        <f t="shared" si="7"/>
        <v>0</v>
      </c>
      <c r="T46" s="3" t="b">
        <f t="shared" si="8"/>
        <v>0</v>
      </c>
      <c r="U46" s="3" t="b">
        <f t="shared" si="9"/>
        <v>0</v>
      </c>
      <c r="V46" s="3"/>
      <c r="W46" s="3" cm="1">
        <f t="array" ref="W46">IF(OR(J46="Brasil",N46="Brasil"),2*_xlfn.IFS(Q46=TRUE,6,R46=TRUE,4,AND(S46=TRUE,T46=FALSE),3,T46=TRUE,2,U46=TRUE,0),_xlfn.IFS(Q46=TRUE,6,R46=TRUE,4,AND(S46=TRUE,T46=FALSE),3,T46=TRUE,2,U46=TRUE,0))</f>
        <v>6</v>
      </c>
      <c r="X46" s="3"/>
      <c r="Y46" s="3"/>
    </row>
    <row r="47" spans="1:25" ht="14.25" customHeight="1" x14ac:dyDescent="0.3">
      <c r="A47" s="3">
        <f>'Tabela de Jogos'!A47</f>
        <v>45</v>
      </c>
      <c r="B47" s="3" t="str">
        <f>'Tabela de Jogos'!B47</f>
        <v>Portugal</v>
      </c>
      <c r="C47" s="3">
        <f>'Tabela de Jogos'!C47</f>
        <v>5</v>
      </c>
      <c r="D47" s="3" t="str">
        <f>'Tabela de Jogos'!D47</f>
        <v>x</v>
      </c>
      <c r="E47" s="3">
        <f>'Tabela de Jogos'!E47</f>
        <v>0</v>
      </c>
      <c r="F47" s="3" t="str">
        <f>'Tabela de Jogos'!F47</f>
        <v>Uzbequistão</v>
      </c>
      <c r="G47" s="3" t="str">
        <f>'Tabela de Jogos'!G47</f>
        <v>Portugal</v>
      </c>
      <c r="H47" s="3"/>
      <c r="I47" s="3">
        <f t="shared" ref="I47:J47" si="53">A47</f>
        <v>45</v>
      </c>
      <c r="J47" s="3" t="str">
        <f t="shared" si="53"/>
        <v>Portugal</v>
      </c>
      <c r="K47" s="3">
        <v>3</v>
      </c>
      <c r="L47" s="3" t="str">
        <f t="shared" si="2"/>
        <v>x</v>
      </c>
      <c r="M47" s="3">
        <v>1</v>
      </c>
      <c r="N47" s="3" t="str">
        <f t="shared" si="3"/>
        <v>Uzbequistão</v>
      </c>
      <c r="O47" s="3" t="str">
        <f t="shared" si="4"/>
        <v>Portugal</v>
      </c>
      <c r="P47" s="3"/>
      <c r="Q47" s="3" t="b">
        <f t="shared" si="5"/>
        <v>0</v>
      </c>
      <c r="R47" s="3" t="b">
        <f t="shared" si="6"/>
        <v>0</v>
      </c>
      <c r="S47" s="3" t="b">
        <f t="shared" si="7"/>
        <v>0</v>
      </c>
      <c r="T47" s="3" t="b">
        <f t="shared" si="8"/>
        <v>1</v>
      </c>
      <c r="U47" s="3" t="b">
        <f t="shared" si="9"/>
        <v>0</v>
      </c>
      <c r="V47" s="3"/>
      <c r="W47" s="3" cm="1">
        <f t="array" ref="W47">IF(OR(J47="Brasil",N47="Brasil"),2*_xlfn.IFS(Q47=TRUE,6,R47=TRUE,4,AND(S47=TRUE,T47=FALSE),3,T47=TRUE,2,U47=TRUE,0),_xlfn.IFS(Q47=TRUE,6,R47=TRUE,4,AND(S47=TRUE,T47=FALSE),3,T47=TRUE,2,U47=TRUE,0))</f>
        <v>2</v>
      </c>
      <c r="X47" s="3"/>
      <c r="Y47" s="3"/>
    </row>
    <row r="48" spans="1:25" ht="14.25" customHeight="1" x14ac:dyDescent="0.3">
      <c r="A48" s="3">
        <f>'Tabela de Jogos'!A48</f>
        <v>46</v>
      </c>
      <c r="B48" s="3" t="str">
        <f>'Tabela de Jogos'!B48</f>
        <v>Inglaterra</v>
      </c>
      <c r="C48" s="3">
        <f>'Tabela de Jogos'!C48</f>
        <v>0</v>
      </c>
      <c r="D48" s="3" t="str">
        <f>'Tabela de Jogos'!D48</f>
        <v>x</v>
      </c>
      <c r="E48" s="3">
        <f>'Tabela de Jogos'!E48</f>
        <v>0</v>
      </c>
      <c r="F48" s="3" t="str">
        <f>'Tabela de Jogos'!F48</f>
        <v>Gana</v>
      </c>
      <c r="G48" s="3" t="str">
        <f>'Tabela de Jogos'!G48</f>
        <v>Empate</v>
      </c>
      <c r="H48" s="3"/>
      <c r="I48" s="3">
        <f t="shared" ref="I48:J48" si="54">A48</f>
        <v>46</v>
      </c>
      <c r="J48" s="3" t="str">
        <f t="shared" si="54"/>
        <v>Inglaterra</v>
      </c>
      <c r="K48" s="3">
        <v>3</v>
      </c>
      <c r="L48" s="3" t="str">
        <f t="shared" si="2"/>
        <v>x</v>
      </c>
      <c r="M48" s="3">
        <v>0</v>
      </c>
      <c r="N48" s="3" t="str">
        <f t="shared" si="3"/>
        <v>Gana</v>
      </c>
      <c r="O48" s="3" t="str">
        <f t="shared" si="4"/>
        <v>Inglaterra</v>
      </c>
      <c r="P48" s="3"/>
      <c r="Q48" s="3" t="b">
        <f t="shared" si="5"/>
        <v>0</v>
      </c>
      <c r="R48" s="3" t="b">
        <f t="shared" si="6"/>
        <v>0</v>
      </c>
      <c r="S48" s="3" t="b">
        <f t="shared" si="7"/>
        <v>0</v>
      </c>
      <c r="T48" s="3" t="b">
        <f t="shared" si="8"/>
        <v>0</v>
      </c>
      <c r="U48" s="3" t="b">
        <f t="shared" si="9"/>
        <v>1</v>
      </c>
      <c r="V48" s="3"/>
      <c r="W48" s="3" cm="1">
        <f t="array" ref="W48">IF(OR(J48="Brasil",N48="Brasil"),2*_xlfn.IFS(Q48=TRUE,6,R48=TRUE,4,AND(S48=TRUE,T48=FALSE),3,T48=TRUE,2,U48=TRUE,0),_xlfn.IFS(Q48=TRUE,6,R48=TRUE,4,AND(S48=TRUE,T48=FALSE),3,T48=TRUE,2,U48=TRUE,0))</f>
        <v>0</v>
      </c>
      <c r="X48" s="3"/>
      <c r="Y48" s="3"/>
    </row>
    <row r="49" spans="1:25" ht="14.25" customHeight="1" x14ac:dyDescent="0.3">
      <c r="A49" s="3">
        <f>'Tabela de Jogos'!A49</f>
        <v>47</v>
      </c>
      <c r="B49" s="3" t="str">
        <f>'Tabela de Jogos'!B49</f>
        <v>Panamá</v>
      </c>
      <c r="C49" s="3">
        <f>'Tabela de Jogos'!C49</f>
        <v>0</v>
      </c>
      <c r="D49" s="3" t="str">
        <f>'Tabela de Jogos'!D49</f>
        <v>x</v>
      </c>
      <c r="E49" s="3">
        <f>'Tabela de Jogos'!E49</f>
        <v>1</v>
      </c>
      <c r="F49" s="3" t="str">
        <f>'Tabela de Jogos'!F49</f>
        <v>Croácia</v>
      </c>
      <c r="G49" s="3" t="str">
        <f>'Tabela de Jogos'!G49</f>
        <v>Croácia</v>
      </c>
      <c r="H49" s="3"/>
      <c r="I49" s="3">
        <f t="shared" ref="I49:J49" si="55">A49</f>
        <v>47</v>
      </c>
      <c r="J49" s="3" t="str">
        <f t="shared" si="55"/>
        <v>Panamá</v>
      </c>
      <c r="K49" s="3">
        <v>1</v>
      </c>
      <c r="L49" s="3" t="str">
        <f t="shared" si="2"/>
        <v>x</v>
      </c>
      <c r="M49" s="3">
        <v>3</v>
      </c>
      <c r="N49" s="3" t="str">
        <f t="shared" si="3"/>
        <v>Croácia</v>
      </c>
      <c r="O49" s="3" t="str">
        <f t="shared" si="4"/>
        <v>Croácia</v>
      </c>
      <c r="P49" s="3"/>
      <c r="Q49" s="3" t="b">
        <f t="shared" si="5"/>
        <v>0</v>
      </c>
      <c r="R49" s="3" t="b">
        <f t="shared" si="6"/>
        <v>0</v>
      </c>
      <c r="S49" s="3" t="b">
        <f t="shared" si="7"/>
        <v>0</v>
      </c>
      <c r="T49" s="3" t="b">
        <f t="shared" si="8"/>
        <v>1</v>
      </c>
      <c r="U49" s="3" t="b">
        <f t="shared" si="9"/>
        <v>0</v>
      </c>
      <c r="V49" s="3"/>
      <c r="W49" s="3" cm="1">
        <f t="array" ref="W49">IF(OR(J49="Brasil",N49="Brasil"),2*_xlfn.IFS(Q49=TRUE,6,R49=TRUE,4,AND(S49=TRUE,T49=FALSE),3,T49=TRUE,2,U49=TRUE,0),_xlfn.IFS(Q49=TRUE,6,R49=TRUE,4,AND(S49=TRUE,T49=FALSE),3,T49=TRUE,2,U49=TRUE,0))</f>
        <v>2</v>
      </c>
      <c r="X49" s="3"/>
      <c r="Y49" s="3"/>
    </row>
    <row r="50" spans="1:25" ht="14.25" customHeight="1" x14ac:dyDescent="0.3">
      <c r="A50" s="3">
        <f>'Tabela de Jogos'!A50</f>
        <v>48</v>
      </c>
      <c r="B50" s="3" t="str">
        <f>'Tabela de Jogos'!B50</f>
        <v>Colômbia</v>
      </c>
      <c r="C50" s="3">
        <f>'Tabela de Jogos'!C50</f>
        <v>1</v>
      </c>
      <c r="D50" s="3" t="str">
        <f>'Tabela de Jogos'!D50</f>
        <v>x</v>
      </c>
      <c r="E50" s="3">
        <f>'Tabela de Jogos'!E50</f>
        <v>0</v>
      </c>
      <c r="F50" s="3" t="str">
        <f>'Tabela de Jogos'!F50</f>
        <v>RD Congo</v>
      </c>
      <c r="G50" s="3" t="str">
        <f>'Tabela de Jogos'!G50</f>
        <v>Colômbia</v>
      </c>
      <c r="H50" s="3"/>
      <c r="I50" s="3">
        <f t="shared" ref="I50:J50" si="56">A50</f>
        <v>48</v>
      </c>
      <c r="J50" s="3" t="str">
        <f t="shared" si="56"/>
        <v>Colômbia</v>
      </c>
      <c r="K50" s="3">
        <v>3</v>
      </c>
      <c r="L50" s="3" t="str">
        <f t="shared" si="2"/>
        <v>x</v>
      </c>
      <c r="M50" s="3">
        <v>0</v>
      </c>
      <c r="N50" s="3" t="str">
        <f t="shared" si="3"/>
        <v>RD Congo</v>
      </c>
      <c r="O50" s="3" t="str">
        <f t="shared" si="4"/>
        <v>Colômbia</v>
      </c>
      <c r="P50" s="3"/>
      <c r="Q50" s="3" t="b">
        <f t="shared" si="5"/>
        <v>0</v>
      </c>
      <c r="R50" s="3" t="b">
        <f t="shared" si="6"/>
        <v>0</v>
      </c>
      <c r="S50" s="3" t="b">
        <f t="shared" si="7"/>
        <v>0</v>
      </c>
      <c r="T50" s="3" t="b">
        <f t="shared" si="8"/>
        <v>1</v>
      </c>
      <c r="U50" s="3" t="b">
        <f t="shared" si="9"/>
        <v>0</v>
      </c>
      <c r="V50" s="3"/>
      <c r="W50" s="3" cm="1">
        <f t="array" ref="W50">IF(OR(J50="Brasil",N50="Brasil"),2*_xlfn.IFS(Q50=TRUE,6,R50=TRUE,4,AND(S50=TRUE,T50=FALSE),3,T50=TRUE,2,U50=TRUE,0),_xlfn.IFS(Q50=TRUE,6,R50=TRUE,4,AND(S50=TRUE,T50=FALSE),3,T50=TRUE,2,U50=TRUE,0))</f>
        <v>2</v>
      </c>
      <c r="X50" s="3"/>
      <c r="Y50" s="3"/>
    </row>
    <row r="51" spans="1:25" ht="14.25" customHeight="1" x14ac:dyDescent="0.3">
      <c r="A51" s="3">
        <f>'Tabela de Jogos'!A51</f>
        <v>49</v>
      </c>
      <c r="B51" s="3" t="str">
        <f>'Tabela de Jogos'!B51</f>
        <v>Suíça</v>
      </c>
      <c r="C51" s="3">
        <f>'Tabela de Jogos'!C51</f>
        <v>2</v>
      </c>
      <c r="D51" s="3" t="str">
        <f>'Tabela de Jogos'!D51</f>
        <v>x</v>
      </c>
      <c r="E51" s="3">
        <f>'Tabela de Jogos'!E51</f>
        <v>1</v>
      </c>
      <c r="F51" s="3" t="str">
        <f>'Tabela de Jogos'!F51</f>
        <v>Canadá</v>
      </c>
      <c r="G51" s="3" t="str">
        <f>'Tabela de Jogos'!G51</f>
        <v>Suíça</v>
      </c>
      <c r="H51" s="3"/>
      <c r="I51" s="3">
        <f t="shared" ref="I51:J51" si="57">A51</f>
        <v>49</v>
      </c>
      <c r="J51" s="3" t="str">
        <f t="shared" si="57"/>
        <v>Suíça</v>
      </c>
      <c r="K51" s="4">
        <v>1</v>
      </c>
      <c r="L51" s="3" t="str">
        <f t="shared" si="2"/>
        <v>x</v>
      </c>
      <c r="M51" s="4">
        <v>2</v>
      </c>
      <c r="N51" s="3" t="str">
        <f t="shared" si="3"/>
        <v>Canadá</v>
      </c>
      <c r="O51" s="3" t="str">
        <f t="shared" si="4"/>
        <v>Canadá</v>
      </c>
      <c r="P51" s="3"/>
      <c r="Q51" s="3" t="b">
        <f t="shared" si="5"/>
        <v>0</v>
      </c>
      <c r="R51" s="3" t="b">
        <f t="shared" si="6"/>
        <v>0</v>
      </c>
      <c r="S51" s="3" t="b">
        <f t="shared" si="7"/>
        <v>0</v>
      </c>
      <c r="T51" s="3" t="b">
        <f t="shared" si="8"/>
        <v>0</v>
      </c>
      <c r="U51" s="3" t="b">
        <f t="shared" si="9"/>
        <v>1</v>
      </c>
      <c r="V51" s="3"/>
      <c r="W51" s="3" cm="1">
        <f t="array" ref="W51">IF(OR(J51="Brasil",N51="Brasil"),2*_xlfn.IFS(Q51=TRUE,6,R51=TRUE,4,AND(S51=TRUE,T51=FALSE),3,T51=TRUE,2,U51=TRUE,0),_xlfn.IFS(Q51=TRUE,6,R51=TRUE,4,AND(S51=TRUE,T51=FALSE),3,T51=TRUE,2,U51=TRUE,0))</f>
        <v>0</v>
      </c>
      <c r="X51" s="3"/>
      <c r="Y51" s="3"/>
    </row>
    <row r="52" spans="1:25" ht="14.25" customHeight="1" x14ac:dyDescent="0.3">
      <c r="A52" s="3">
        <f>'Tabela de Jogos'!A52</f>
        <v>50</v>
      </c>
      <c r="B52" s="3" t="str">
        <f>'Tabela de Jogos'!B52</f>
        <v>Bósnia</v>
      </c>
      <c r="C52" s="3">
        <f>'Tabela de Jogos'!C52</f>
        <v>3</v>
      </c>
      <c r="D52" s="3" t="str">
        <f>'Tabela de Jogos'!D52</f>
        <v>x</v>
      </c>
      <c r="E52" s="3">
        <f>'Tabela de Jogos'!E52</f>
        <v>1</v>
      </c>
      <c r="F52" s="3" t="str">
        <f>'Tabela de Jogos'!F52</f>
        <v>Catar</v>
      </c>
      <c r="G52" s="3" t="str">
        <f>'Tabela de Jogos'!G52</f>
        <v>Bósnia</v>
      </c>
      <c r="H52" s="3"/>
      <c r="I52" s="3">
        <f t="shared" ref="I52:J52" si="58">A52</f>
        <v>50</v>
      </c>
      <c r="J52" s="3" t="str">
        <f t="shared" si="58"/>
        <v>Bósnia</v>
      </c>
      <c r="K52" s="4">
        <v>1</v>
      </c>
      <c r="L52" s="3" t="str">
        <f t="shared" si="2"/>
        <v>x</v>
      </c>
      <c r="M52" s="4">
        <v>0</v>
      </c>
      <c r="N52" s="3" t="str">
        <f t="shared" si="3"/>
        <v>Catar</v>
      </c>
      <c r="O52" s="3" t="str">
        <f t="shared" si="4"/>
        <v>Bósnia</v>
      </c>
      <c r="P52" s="3"/>
      <c r="Q52" s="3" t="b">
        <f t="shared" si="5"/>
        <v>0</v>
      </c>
      <c r="R52" s="3" t="b">
        <f t="shared" si="6"/>
        <v>0</v>
      </c>
      <c r="S52" s="3" t="b">
        <f t="shared" si="7"/>
        <v>0</v>
      </c>
      <c r="T52" s="3" t="b">
        <f t="shared" si="8"/>
        <v>1</v>
      </c>
      <c r="U52" s="3" t="b">
        <f t="shared" si="9"/>
        <v>0</v>
      </c>
      <c r="V52" s="3"/>
      <c r="W52" s="3" cm="1">
        <f t="array" ref="W52">IF(OR(J52="Brasil",N52="Brasil"),2*_xlfn.IFS(Q52=TRUE,6,R52=TRUE,4,AND(S52=TRUE,T52=FALSE),3,T52=TRUE,2,U52=TRUE,0),_xlfn.IFS(Q52=TRUE,6,R52=TRUE,4,AND(S52=TRUE,T52=FALSE),3,T52=TRUE,2,U52=TRUE,0))</f>
        <v>2</v>
      </c>
      <c r="X52" s="3"/>
      <c r="Y52" s="3"/>
    </row>
    <row r="53" spans="1:25" ht="14.25" customHeight="1" x14ac:dyDescent="0.3">
      <c r="A53" s="3">
        <f>'Tabela de Jogos'!A53</f>
        <v>51</v>
      </c>
      <c r="B53" s="3" t="str">
        <f>'Tabela de Jogos'!B53</f>
        <v>Marrocos</v>
      </c>
      <c r="C53" s="3">
        <f>'Tabela de Jogos'!C53</f>
        <v>4</v>
      </c>
      <c r="D53" s="3" t="str">
        <f>'Tabela de Jogos'!D53</f>
        <v>x</v>
      </c>
      <c r="E53" s="3">
        <f>'Tabela de Jogos'!E53</f>
        <v>2</v>
      </c>
      <c r="F53" s="3" t="str">
        <f>'Tabela de Jogos'!F53</f>
        <v>Haiti</v>
      </c>
      <c r="G53" s="3" t="str">
        <f>'Tabela de Jogos'!G53</f>
        <v>Marrocos</v>
      </c>
      <c r="H53" s="3"/>
      <c r="I53" s="3">
        <f t="shared" ref="I53:J53" si="59">A53</f>
        <v>51</v>
      </c>
      <c r="J53" s="3" t="str">
        <f t="shared" si="59"/>
        <v>Marrocos</v>
      </c>
      <c r="K53" s="4">
        <v>2</v>
      </c>
      <c r="L53" s="3" t="str">
        <f t="shared" si="2"/>
        <v>x</v>
      </c>
      <c r="M53" s="4">
        <v>0</v>
      </c>
      <c r="N53" s="3" t="str">
        <f t="shared" si="3"/>
        <v>Haiti</v>
      </c>
      <c r="O53" s="3" t="str">
        <f t="shared" si="4"/>
        <v>Marrocos</v>
      </c>
      <c r="P53" s="3"/>
      <c r="Q53" s="3" t="b">
        <f t="shared" si="5"/>
        <v>0</v>
      </c>
      <c r="R53" s="3" t="b">
        <f t="shared" si="6"/>
        <v>0</v>
      </c>
      <c r="S53" s="3" t="b">
        <f t="shared" si="7"/>
        <v>1</v>
      </c>
      <c r="T53" s="3" t="b">
        <f t="shared" si="8"/>
        <v>0</v>
      </c>
      <c r="U53" s="3" t="b">
        <f t="shared" si="9"/>
        <v>0</v>
      </c>
      <c r="V53" s="3"/>
      <c r="W53" s="3" cm="1">
        <f t="array" ref="W53">IF(OR(J53="Brasil",N53="Brasil"),2*_xlfn.IFS(Q53=TRUE,6,R53=TRUE,4,AND(S53=TRUE,T53=FALSE),3,T53=TRUE,2,U53=TRUE,0),_xlfn.IFS(Q53=TRUE,6,R53=TRUE,4,AND(S53=TRUE,T53=FALSE),3,T53=TRUE,2,U53=TRUE,0))</f>
        <v>3</v>
      </c>
      <c r="X53" s="3"/>
      <c r="Y53" s="3"/>
    </row>
    <row r="54" spans="1:25" ht="14.25" customHeight="1" x14ac:dyDescent="0.3">
      <c r="A54" s="3">
        <f>'Tabela de Jogos'!A54</f>
        <v>52</v>
      </c>
      <c r="B54" s="3" t="str">
        <f>'Tabela de Jogos'!B54</f>
        <v>Escócia</v>
      </c>
      <c r="C54" s="3">
        <f>'Tabela de Jogos'!C54</f>
        <v>0</v>
      </c>
      <c r="D54" s="3" t="str">
        <f>'Tabela de Jogos'!D54</f>
        <v>x</v>
      </c>
      <c r="E54" s="3">
        <f>'Tabela de Jogos'!E54</f>
        <v>3</v>
      </c>
      <c r="F54" s="3" t="str">
        <f>'Tabela de Jogos'!F54</f>
        <v>Brasil</v>
      </c>
      <c r="G54" s="3" t="str">
        <f>'Tabela de Jogos'!G54</f>
        <v>Brasil</v>
      </c>
      <c r="H54" s="3"/>
      <c r="I54" s="3">
        <f t="shared" ref="I54:J54" si="60">A54</f>
        <v>52</v>
      </c>
      <c r="J54" s="3" t="str">
        <f t="shared" si="60"/>
        <v>Escócia</v>
      </c>
      <c r="K54" s="4">
        <v>1</v>
      </c>
      <c r="L54" s="3" t="str">
        <f t="shared" si="2"/>
        <v>x</v>
      </c>
      <c r="M54" s="4">
        <v>3</v>
      </c>
      <c r="N54" s="3" t="str">
        <f t="shared" si="3"/>
        <v>Brasil</v>
      </c>
      <c r="O54" s="3" t="str">
        <f t="shared" si="4"/>
        <v>Brasil</v>
      </c>
      <c r="P54" s="3"/>
      <c r="Q54" s="3" t="b">
        <f t="shared" si="5"/>
        <v>0</v>
      </c>
      <c r="R54" s="3" t="b">
        <f t="shared" si="6"/>
        <v>1</v>
      </c>
      <c r="S54" s="3" t="b">
        <f t="shared" si="7"/>
        <v>0</v>
      </c>
      <c r="T54" s="3" t="b">
        <f t="shared" si="8"/>
        <v>0</v>
      </c>
      <c r="U54" s="3" t="b">
        <f t="shared" si="9"/>
        <v>0</v>
      </c>
      <c r="V54" s="3"/>
      <c r="W54" s="3" cm="1">
        <f t="array" ref="W54">IF(OR(J54="Brasil",N54="Brasil"),2*_xlfn.IFS(Q54=TRUE,6,R54=TRUE,4,AND(S54=TRUE,T54=FALSE),3,T54=TRUE,2,U54=TRUE,0),_xlfn.IFS(Q54=TRUE,6,R54=TRUE,4,AND(S54=TRUE,T54=FALSE),3,T54=TRUE,2,U54=TRUE,0))</f>
        <v>8</v>
      </c>
      <c r="X54" s="3"/>
      <c r="Y54" s="3"/>
    </row>
    <row r="55" spans="1:25" ht="14.25" customHeight="1" x14ac:dyDescent="0.3">
      <c r="A55" s="3">
        <f>'Tabela de Jogos'!A55</f>
        <v>53</v>
      </c>
      <c r="B55" s="3" t="str">
        <f>'Tabela de Jogos'!B55</f>
        <v>África do Sul</v>
      </c>
      <c r="C55" s="3">
        <f>'Tabela de Jogos'!C55</f>
        <v>1</v>
      </c>
      <c r="D55" s="3" t="str">
        <f>'Tabela de Jogos'!D55</f>
        <v>x</v>
      </c>
      <c r="E55" s="3">
        <f>'Tabela de Jogos'!E55</f>
        <v>0</v>
      </c>
      <c r="F55" s="3" t="str">
        <f>'Tabela de Jogos'!F55</f>
        <v>Coreia do Sul</v>
      </c>
      <c r="G55" s="3" t="str">
        <f>'Tabela de Jogos'!G55</f>
        <v>África do Sul</v>
      </c>
      <c r="H55" s="3"/>
      <c r="I55" s="3">
        <f t="shared" ref="I55:J55" si="61">A55</f>
        <v>53</v>
      </c>
      <c r="J55" s="3" t="str">
        <f t="shared" si="61"/>
        <v>África do Sul</v>
      </c>
      <c r="K55" s="4">
        <v>1</v>
      </c>
      <c r="L55" s="3" t="str">
        <f t="shared" si="2"/>
        <v>x</v>
      </c>
      <c r="M55" s="4">
        <v>3</v>
      </c>
      <c r="N55" s="3" t="str">
        <f t="shared" si="3"/>
        <v>Coreia do Sul</v>
      </c>
      <c r="O55" s="3" t="str">
        <f t="shared" si="4"/>
        <v>Coreia do Sul</v>
      </c>
      <c r="P55" s="3"/>
      <c r="Q55" s="3" t="b">
        <f t="shared" si="5"/>
        <v>0</v>
      </c>
      <c r="R55" s="3" t="b">
        <f t="shared" si="6"/>
        <v>0</v>
      </c>
      <c r="S55" s="3" t="b">
        <f t="shared" si="7"/>
        <v>0</v>
      </c>
      <c r="T55" s="3" t="b">
        <f t="shared" si="8"/>
        <v>0</v>
      </c>
      <c r="U55" s="3" t="b">
        <f t="shared" si="9"/>
        <v>1</v>
      </c>
      <c r="V55" s="3"/>
      <c r="W55" s="3" cm="1">
        <f t="array" ref="W55">IF(OR(J55="Brasil",N55="Brasil"),2*_xlfn.IFS(Q55=TRUE,6,R55=TRUE,4,AND(S55=TRUE,T55=FALSE),3,T55=TRUE,2,U55=TRUE,0),_xlfn.IFS(Q55=TRUE,6,R55=TRUE,4,AND(S55=TRUE,T55=FALSE),3,T55=TRUE,2,U55=TRUE,0))</f>
        <v>0</v>
      </c>
      <c r="X55" s="3"/>
      <c r="Y55" s="3"/>
    </row>
    <row r="56" spans="1:25" ht="14.25" customHeight="1" x14ac:dyDescent="0.3">
      <c r="A56" s="3">
        <f>'Tabela de Jogos'!A56</f>
        <v>54</v>
      </c>
      <c r="B56" s="3" t="str">
        <f>'Tabela de Jogos'!B56</f>
        <v>Tchéquia</v>
      </c>
      <c r="C56" s="3">
        <f>'Tabela de Jogos'!C56</f>
        <v>0</v>
      </c>
      <c r="D56" s="3" t="str">
        <f>'Tabela de Jogos'!D56</f>
        <v>x</v>
      </c>
      <c r="E56" s="3">
        <f>'Tabela de Jogos'!E56</f>
        <v>3</v>
      </c>
      <c r="F56" s="3" t="str">
        <f>'Tabela de Jogos'!F56</f>
        <v>México</v>
      </c>
      <c r="G56" s="3" t="str">
        <f>'Tabela de Jogos'!G56</f>
        <v>México</v>
      </c>
      <c r="H56" s="3"/>
      <c r="I56" s="3">
        <f t="shared" ref="I56:J56" si="62">A56</f>
        <v>54</v>
      </c>
      <c r="J56" s="3" t="str">
        <f t="shared" si="62"/>
        <v>Tchéquia</v>
      </c>
      <c r="K56" s="4">
        <v>1</v>
      </c>
      <c r="L56" s="3" t="str">
        <f t="shared" si="2"/>
        <v>x</v>
      </c>
      <c r="M56" s="4">
        <v>3</v>
      </c>
      <c r="N56" s="3" t="str">
        <f t="shared" si="3"/>
        <v>México</v>
      </c>
      <c r="O56" s="3" t="str">
        <f t="shared" si="4"/>
        <v>México</v>
      </c>
      <c r="P56" s="3"/>
      <c r="Q56" s="3" t="b">
        <f t="shared" si="5"/>
        <v>0</v>
      </c>
      <c r="R56" s="3" t="b">
        <f t="shared" si="6"/>
        <v>1</v>
      </c>
      <c r="S56" s="3" t="b">
        <f t="shared" si="7"/>
        <v>0</v>
      </c>
      <c r="T56" s="3" t="b">
        <f t="shared" si="8"/>
        <v>0</v>
      </c>
      <c r="U56" s="3" t="b">
        <f t="shared" si="9"/>
        <v>0</v>
      </c>
      <c r="V56" s="3"/>
      <c r="W56" s="3" cm="1">
        <f t="array" ref="W56">IF(OR(J56="Brasil",N56="Brasil"),2*_xlfn.IFS(Q56=TRUE,6,R56=TRUE,4,AND(S56=TRUE,T56=FALSE),3,T56=TRUE,2,U56=TRUE,0),_xlfn.IFS(Q56=TRUE,6,R56=TRUE,4,AND(S56=TRUE,T56=FALSE),3,T56=TRUE,2,U56=TRUE,0))</f>
        <v>4</v>
      </c>
      <c r="X56" s="3"/>
      <c r="Y56" s="3"/>
    </row>
    <row r="57" spans="1:25" ht="14.25" customHeight="1" x14ac:dyDescent="0.3">
      <c r="A57" s="3">
        <f>'Tabela de Jogos'!A57</f>
        <v>55</v>
      </c>
      <c r="B57" s="3" t="str">
        <f>'Tabela de Jogos'!B57</f>
        <v>Curaçao</v>
      </c>
      <c r="C57" s="3">
        <f>'Tabela de Jogos'!C57</f>
        <v>0</v>
      </c>
      <c r="D57" s="3" t="str">
        <f>'Tabela de Jogos'!D57</f>
        <v>x</v>
      </c>
      <c r="E57" s="3">
        <f>'Tabela de Jogos'!E57</f>
        <v>2</v>
      </c>
      <c r="F57" s="3" t="str">
        <f>'Tabela de Jogos'!F57</f>
        <v>Costa do Marfim</v>
      </c>
      <c r="G57" s="3" t="str">
        <f>'Tabela de Jogos'!G57</f>
        <v>Costa do Marfim</v>
      </c>
      <c r="H57" s="3"/>
      <c r="I57" s="3">
        <f t="shared" ref="I57:J57" si="63">A57</f>
        <v>55</v>
      </c>
      <c r="J57" s="3" t="str">
        <f t="shared" si="63"/>
        <v>Curaçao</v>
      </c>
      <c r="K57" s="3">
        <v>1</v>
      </c>
      <c r="L57" s="3" t="str">
        <f t="shared" si="2"/>
        <v>x</v>
      </c>
      <c r="M57" s="3">
        <v>2</v>
      </c>
      <c r="N57" s="3" t="str">
        <f t="shared" si="3"/>
        <v>Costa do Marfim</v>
      </c>
      <c r="O57" s="3" t="str">
        <f t="shared" si="4"/>
        <v>Costa do Marfim</v>
      </c>
      <c r="P57" s="3"/>
      <c r="Q57" s="3" t="b">
        <f t="shared" si="5"/>
        <v>0</v>
      </c>
      <c r="R57" s="3" t="b">
        <f t="shared" si="6"/>
        <v>1</v>
      </c>
      <c r="S57" s="3" t="b">
        <f t="shared" si="7"/>
        <v>0</v>
      </c>
      <c r="T57" s="3" t="b">
        <f t="shared" si="8"/>
        <v>0</v>
      </c>
      <c r="U57" s="3" t="b">
        <f t="shared" si="9"/>
        <v>0</v>
      </c>
      <c r="V57" s="3"/>
      <c r="W57" s="3" cm="1">
        <f t="array" ref="W57">IF(OR(J57="Brasil",N57="Brasil"),2*_xlfn.IFS(Q57=TRUE,6,R57=TRUE,4,AND(S57=TRUE,T57=FALSE),3,T57=TRUE,2,U57=TRUE,0),_xlfn.IFS(Q57=TRUE,6,R57=TRUE,4,AND(S57=TRUE,T57=FALSE),3,T57=TRUE,2,U57=TRUE,0))</f>
        <v>4</v>
      </c>
      <c r="X57" s="3"/>
      <c r="Y57" s="3"/>
    </row>
    <row r="58" spans="1:25" ht="14.25" customHeight="1" x14ac:dyDescent="0.3">
      <c r="A58" s="3">
        <f>'Tabela de Jogos'!A58</f>
        <v>56</v>
      </c>
      <c r="B58" s="3" t="str">
        <f>'Tabela de Jogos'!B58</f>
        <v>Equador</v>
      </c>
      <c r="C58" s="3">
        <f>'Tabela de Jogos'!C58</f>
        <v>2</v>
      </c>
      <c r="D58" s="3" t="str">
        <f>'Tabela de Jogos'!D58</f>
        <v>x</v>
      </c>
      <c r="E58" s="3">
        <f>'Tabela de Jogos'!E58</f>
        <v>1</v>
      </c>
      <c r="F58" s="3" t="str">
        <f>'Tabela de Jogos'!F58</f>
        <v>Alemanha</v>
      </c>
      <c r="G58" s="3" t="str">
        <f>'Tabela de Jogos'!G58</f>
        <v>Equador</v>
      </c>
      <c r="H58" s="3"/>
      <c r="I58" s="3">
        <f t="shared" ref="I58:J58" si="64">A58</f>
        <v>56</v>
      </c>
      <c r="J58" s="3" t="str">
        <f t="shared" si="64"/>
        <v>Equador</v>
      </c>
      <c r="K58" s="3">
        <v>1</v>
      </c>
      <c r="L58" s="3" t="str">
        <f t="shared" si="2"/>
        <v>x</v>
      </c>
      <c r="M58" s="3">
        <v>4</v>
      </c>
      <c r="N58" s="3" t="str">
        <f t="shared" si="3"/>
        <v>Alemanha</v>
      </c>
      <c r="O58" s="3" t="str">
        <f t="shared" si="4"/>
        <v>Alemanha</v>
      </c>
      <c r="P58" s="3"/>
      <c r="Q58" s="3" t="b">
        <f t="shared" si="5"/>
        <v>0</v>
      </c>
      <c r="R58" s="3" t="b">
        <f t="shared" si="6"/>
        <v>0</v>
      </c>
      <c r="S58" s="3" t="b">
        <f t="shared" si="7"/>
        <v>0</v>
      </c>
      <c r="T58" s="3" t="b">
        <f t="shared" si="8"/>
        <v>0</v>
      </c>
      <c r="U58" s="3" t="b">
        <f t="shared" si="9"/>
        <v>1</v>
      </c>
      <c r="V58" s="3"/>
      <c r="W58" s="3" cm="1">
        <f t="array" ref="W58">IF(OR(J58="Brasil",N58="Brasil"),2*_xlfn.IFS(Q58=TRUE,6,R58=TRUE,4,AND(S58=TRUE,T58=FALSE),3,T58=TRUE,2,U58=TRUE,0),_xlfn.IFS(Q58=TRUE,6,R58=TRUE,4,AND(S58=TRUE,T58=FALSE),3,T58=TRUE,2,U58=TRUE,0))</f>
        <v>0</v>
      </c>
      <c r="X58" s="3"/>
      <c r="Y58" s="3"/>
    </row>
    <row r="59" spans="1:25" ht="14.25" customHeight="1" x14ac:dyDescent="0.3">
      <c r="A59" s="3">
        <f>'Tabela de Jogos'!A59</f>
        <v>57</v>
      </c>
      <c r="B59" s="3" t="str">
        <f>'Tabela de Jogos'!B59</f>
        <v>Tunísia</v>
      </c>
      <c r="C59" s="3">
        <f>'Tabela de Jogos'!C59</f>
        <v>1</v>
      </c>
      <c r="D59" s="3" t="str">
        <f>'Tabela de Jogos'!D59</f>
        <v>x</v>
      </c>
      <c r="E59" s="3">
        <f>'Tabela de Jogos'!E59</f>
        <v>3</v>
      </c>
      <c r="F59" s="3" t="str">
        <f>'Tabela de Jogos'!F59</f>
        <v>Holanda</v>
      </c>
      <c r="G59" s="3" t="str">
        <f>'Tabela de Jogos'!G59</f>
        <v>Holanda</v>
      </c>
      <c r="H59" s="3"/>
      <c r="I59" s="3">
        <f t="shared" ref="I59:J59" si="65">A59</f>
        <v>57</v>
      </c>
      <c r="J59" s="3" t="str">
        <f t="shared" si="65"/>
        <v>Tunísia</v>
      </c>
      <c r="K59" s="3">
        <v>0</v>
      </c>
      <c r="L59" s="3" t="str">
        <f t="shared" si="2"/>
        <v>x</v>
      </c>
      <c r="M59" s="3">
        <v>3</v>
      </c>
      <c r="N59" s="3" t="str">
        <f t="shared" si="3"/>
        <v>Holanda</v>
      </c>
      <c r="O59" s="3" t="str">
        <f t="shared" si="4"/>
        <v>Holanda</v>
      </c>
      <c r="P59" s="3"/>
      <c r="Q59" s="3" t="b">
        <f t="shared" si="5"/>
        <v>0</v>
      </c>
      <c r="R59" s="3" t="b">
        <f t="shared" si="6"/>
        <v>1</v>
      </c>
      <c r="S59" s="3" t="b">
        <f t="shared" si="7"/>
        <v>0</v>
      </c>
      <c r="T59" s="3" t="b">
        <f t="shared" si="8"/>
        <v>0</v>
      </c>
      <c r="U59" s="3" t="b">
        <f t="shared" si="9"/>
        <v>0</v>
      </c>
      <c r="V59" s="3"/>
      <c r="W59" s="3" cm="1">
        <f t="array" ref="W59">IF(OR(J59="Brasil",N59="Brasil"),2*_xlfn.IFS(Q59=TRUE,6,R59=TRUE,4,AND(S59=TRUE,T59=FALSE),3,T59=TRUE,2,U59=TRUE,0),_xlfn.IFS(Q59=TRUE,6,R59=TRUE,4,AND(S59=TRUE,T59=FALSE),3,T59=TRUE,2,U59=TRUE,0))</f>
        <v>4</v>
      </c>
      <c r="X59" s="3"/>
      <c r="Y59" s="3"/>
    </row>
    <row r="60" spans="1:25" ht="14.25" customHeight="1" x14ac:dyDescent="0.3">
      <c r="A60" s="3">
        <f>'Tabela de Jogos'!A60</f>
        <v>58</v>
      </c>
      <c r="B60" s="3" t="str">
        <f>'Tabela de Jogos'!B60</f>
        <v>Japão</v>
      </c>
      <c r="C60" s="3">
        <f>'Tabela de Jogos'!C60</f>
        <v>1</v>
      </c>
      <c r="D60" s="3" t="str">
        <f>'Tabela de Jogos'!D60</f>
        <v>x</v>
      </c>
      <c r="E60" s="3">
        <f>'Tabela de Jogos'!E60</f>
        <v>1</v>
      </c>
      <c r="F60" s="3" t="str">
        <f>'Tabela de Jogos'!F60</f>
        <v>Suécia</v>
      </c>
      <c r="G60" s="3" t="str">
        <f>'Tabela de Jogos'!G60</f>
        <v>Empate</v>
      </c>
      <c r="H60" s="3"/>
      <c r="I60" s="3">
        <f t="shared" ref="I60:J60" si="66">A60</f>
        <v>58</v>
      </c>
      <c r="J60" s="3" t="str">
        <f t="shared" si="66"/>
        <v>Japão</v>
      </c>
      <c r="K60" s="3">
        <v>3</v>
      </c>
      <c r="L60" s="3" t="str">
        <f t="shared" si="2"/>
        <v>x</v>
      </c>
      <c r="M60" s="3">
        <v>1</v>
      </c>
      <c r="N60" s="3" t="str">
        <f t="shared" si="3"/>
        <v>Suécia</v>
      </c>
      <c r="O60" s="3" t="str">
        <f t="shared" si="4"/>
        <v>Japão</v>
      </c>
      <c r="P60" s="3"/>
      <c r="Q60" s="3" t="b">
        <f t="shared" si="5"/>
        <v>0</v>
      </c>
      <c r="R60" s="3" t="b">
        <f t="shared" si="6"/>
        <v>0</v>
      </c>
      <c r="S60" s="3" t="b">
        <f t="shared" si="7"/>
        <v>0</v>
      </c>
      <c r="T60" s="3" t="b">
        <f t="shared" si="8"/>
        <v>0</v>
      </c>
      <c r="U60" s="3" t="b">
        <f t="shared" si="9"/>
        <v>1</v>
      </c>
      <c r="V60" s="3"/>
      <c r="W60" s="3" cm="1">
        <f t="array" ref="W60">IF(OR(J60="Brasil",N60="Brasil"),2*_xlfn.IFS(Q60=TRUE,6,R60=TRUE,4,AND(S60=TRUE,T60=FALSE),3,T60=TRUE,2,U60=TRUE,0),_xlfn.IFS(Q60=TRUE,6,R60=TRUE,4,AND(S60=TRUE,T60=FALSE),3,T60=TRUE,2,U60=TRUE,0))</f>
        <v>0</v>
      </c>
      <c r="X60" s="3"/>
      <c r="Y60" s="3"/>
    </row>
    <row r="61" spans="1:25" ht="14.25" customHeight="1" x14ac:dyDescent="0.3">
      <c r="A61" s="3">
        <f>'Tabela de Jogos'!A61</f>
        <v>59</v>
      </c>
      <c r="B61" s="3" t="str">
        <f>'Tabela de Jogos'!B61</f>
        <v>Turquia</v>
      </c>
      <c r="C61" s="3">
        <f>'Tabela de Jogos'!C61</f>
        <v>0</v>
      </c>
      <c r="D61" s="3" t="str">
        <f>'Tabela de Jogos'!D61</f>
        <v>x</v>
      </c>
      <c r="E61" s="3">
        <f>'Tabela de Jogos'!E61</f>
        <v>0</v>
      </c>
      <c r="F61" s="3" t="str">
        <f>'Tabela de Jogos'!F61</f>
        <v>EUA</v>
      </c>
      <c r="G61" s="3" t="str">
        <f>'Tabela de Jogos'!G61</f>
        <v>-</v>
      </c>
      <c r="H61" s="3"/>
      <c r="I61" s="3">
        <f t="shared" ref="I61:J61" si="67">A61</f>
        <v>59</v>
      </c>
      <c r="J61" s="3" t="str">
        <f t="shared" si="67"/>
        <v>Turquia</v>
      </c>
      <c r="K61" s="3">
        <v>0</v>
      </c>
      <c r="L61" s="3" t="str">
        <f t="shared" si="2"/>
        <v>x</v>
      </c>
      <c r="M61" s="3">
        <v>2</v>
      </c>
      <c r="N61" s="3" t="str">
        <f t="shared" si="3"/>
        <v>EUA</v>
      </c>
      <c r="O61" s="3" t="str">
        <f t="shared" si="4"/>
        <v>EUA</v>
      </c>
      <c r="P61" s="3"/>
      <c r="Q61" s="3" t="b">
        <f t="shared" si="5"/>
        <v>0</v>
      </c>
      <c r="R61" s="3" t="b">
        <f t="shared" si="6"/>
        <v>0</v>
      </c>
      <c r="S61" s="3" t="b">
        <f t="shared" si="7"/>
        <v>0</v>
      </c>
      <c r="T61" s="3" t="b">
        <f t="shared" si="8"/>
        <v>0</v>
      </c>
      <c r="U61" s="3" t="b">
        <f t="shared" si="9"/>
        <v>1</v>
      </c>
      <c r="V61" s="3"/>
      <c r="W61" s="3" cm="1">
        <f t="array" ref="W61">IF(OR(J61="Brasil",N61="Brasil"),2*_xlfn.IFS(Q61=TRUE,6,R61=TRUE,4,AND(S61=TRUE,T61=FALSE),3,T61=TRUE,2,U61=TRUE,0),_xlfn.IFS(Q61=TRUE,6,R61=TRUE,4,AND(S61=TRUE,T61=FALSE),3,T61=TRUE,2,U61=TRUE,0))</f>
        <v>0</v>
      </c>
      <c r="X61" s="3"/>
      <c r="Y61" s="3"/>
    </row>
    <row r="62" spans="1:25" ht="14.25" customHeight="1" x14ac:dyDescent="0.3">
      <c r="A62" s="3">
        <f>'Tabela de Jogos'!A62</f>
        <v>60</v>
      </c>
      <c r="B62" s="3" t="str">
        <f>'Tabela de Jogos'!B62</f>
        <v>Paraguai</v>
      </c>
      <c r="C62" s="3">
        <f>'Tabela de Jogos'!C62</f>
        <v>0</v>
      </c>
      <c r="D62" s="3" t="str">
        <f>'Tabela de Jogos'!D62</f>
        <v>x</v>
      </c>
      <c r="E62" s="3">
        <f>'Tabela de Jogos'!E62</f>
        <v>0</v>
      </c>
      <c r="F62" s="3" t="str">
        <f>'Tabela de Jogos'!F62</f>
        <v>Austrália</v>
      </c>
      <c r="G62" s="3" t="str">
        <f>'Tabela de Jogos'!G62</f>
        <v>-</v>
      </c>
      <c r="H62" s="3"/>
      <c r="I62" s="3">
        <f t="shared" ref="I62:J62" si="68">A62</f>
        <v>60</v>
      </c>
      <c r="J62" s="3" t="str">
        <f t="shared" si="68"/>
        <v>Paraguai</v>
      </c>
      <c r="K62" s="3">
        <v>1</v>
      </c>
      <c r="L62" s="3" t="str">
        <f t="shared" si="2"/>
        <v>x</v>
      </c>
      <c r="M62" s="3">
        <v>2</v>
      </c>
      <c r="N62" s="3" t="str">
        <f t="shared" si="3"/>
        <v>Austrália</v>
      </c>
      <c r="O62" s="3" t="str">
        <f t="shared" si="4"/>
        <v>Austrália</v>
      </c>
      <c r="P62" s="3"/>
      <c r="Q62" s="3" t="b">
        <f t="shared" si="5"/>
        <v>0</v>
      </c>
      <c r="R62" s="3" t="b">
        <f t="shared" si="6"/>
        <v>0</v>
      </c>
      <c r="S62" s="3" t="b">
        <f t="shared" si="7"/>
        <v>0</v>
      </c>
      <c r="T62" s="3" t="b">
        <f t="shared" si="8"/>
        <v>0</v>
      </c>
      <c r="U62" s="3" t="b">
        <f t="shared" si="9"/>
        <v>1</v>
      </c>
      <c r="V62" s="3"/>
      <c r="W62" s="3" cm="1">
        <f t="array" ref="W62">IF(OR(J62="Brasil",N62="Brasil"),2*_xlfn.IFS(Q62=TRUE,6,R62=TRUE,4,AND(S62=TRUE,T62=FALSE),3,T62=TRUE,2,U62=TRUE,0),_xlfn.IFS(Q62=TRUE,6,R62=TRUE,4,AND(S62=TRUE,T62=FALSE),3,T62=TRUE,2,U62=TRUE,0))</f>
        <v>0</v>
      </c>
      <c r="X62" s="3"/>
      <c r="Y62" s="3"/>
    </row>
    <row r="63" spans="1:25" ht="14.25" customHeight="1" x14ac:dyDescent="0.3">
      <c r="A63" s="3">
        <f>'Tabela de Jogos'!A63</f>
        <v>61</v>
      </c>
      <c r="B63" s="3" t="str">
        <f>'Tabela de Jogos'!B63</f>
        <v>Noruega</v>
      </c>
      <c r="C63" s="3">
        <f>'Tabela de Jogos'!C63</f>
        <v>0</v>
      </c>
      <c r="D63" s="3" t="str">
        <f>'Tabela de Jogos'!D63</f>
        <v>x</v>
      </c>
      <c r="E63" s="3">
        <f>'Tabela de Jogos'!E63</f>
        <v>0</v>
      </c>
      <c r="F63" s="3" t="str">
        <f>'Tabela de Jogos'!F63</f>
        <v>França</v>
      </c>
      <c r="G63" s="3" t="str">
        <f>'Tabela de Jogos'!G63</f>
        <v>-</v>
      </c>
      <c r="H63" s="3"/>
      <c r="I63" s="3">
        <f t="shared" ref="I63:J63" si="69">A63</f>
        <v>61</v>
      </c>
      <c r="J63" s="3" t="str">
        <f t="shared" si="69"/>
        <v>Noruega</v>
      </c>
      <c r="K63" s="3"/>
      <c r="L63" s="3" t="str">
        <f t="shared" si="2"/>
        <v>x</v>
      </c>
      <c r="M63" s="3"/>
      <c r="N63" s="3" t="str">
        <f t="shared" si="3"/>
        <v>França</v>
      </c>
      <c r="O63" s="3" t="str">
        <f t="shared" si="4"/>
        <v>-</v>
      </c>
      <c r="P63" s="3"/>
      <c r="Q63" s="3" t="b">
        <f t="shared" si="5"/>
        <v>0</v>
      </c>
      <c r="R63" s="3" t="b">
        <f t="shared" si="6"/>
        <v>0</v>
      </c>
      <c r="S63" s="3" t="b">
        <f t="shared" si="7"/>
        <v>0</v>
      </c>
      <c r="T63" s="3" t="b">
        <f t="shared" si="8"/>
        <v>0</v>
      </c>
      <c r="U63" s="3" t="b">
        <f t="shared" si="9"/>
        <v>1</v>
      </c>
      <c r="V63" s="3"/>
      <c r="W63" s="3" cm="1">
        <f t="array" ref="W63">IF(OR(J63="Brasil",N63="Brasil"),2*_xlfn.IFS(Q63=TRUE,6,R63=TRUE,4,AND(S63=TRUE,T63=FALSE),3,T63=TRUE,2,U63=TRUE,0),_xlfn.IFS(Q63=TRUE,6,R63=TRUE,4,AND(S63=TRUE,T63=FALSE),3,T63=TRUE,2,U63=TRUE,0))</f>
        <v>0</v>
      </c>
      <c r="X63" s="3"/>
      <c r="Y63" s="3"/>
    </row>
    <row r="64" spans="1:25" ht="14.25" customHeight="1" x14ac:dyDescent="0.3">
      <c r="A64" s="3">
        <f>'Tabela de Jogos'!A64</f>
        <v>62</v>
      </c>
      <c r="B64" s="3" t="str">
        <f>'Tabela de Jogos'!B64</f>
        <v>Senegal</v>
      </c>
      <c r="C64" s="3">
        <f>'Tabela de Jogos'!C64</f>
        <v>0</v>
      </c>
      <c r="D64" s="3" t="str">
        <f>'Tabela de Jogos'!D64</f>
        <v>x</v>
      </c>
      <c r="E64" s="3">
        <f>'Tabela de Jogos'!E64</f>
        <v>0</v>
      </c>
      <c r="F64" s="3" t="str">
        <f>'Tabela de Jogos'!F64</f>
        <v>Iraque</v>
      </c>
      <c r="G64" s="3" t="str">
        <f>'Tabela de Jogos'!G64</f>
        <v>-</v>
      </c>
      <c r="H64" s="3"/>
      <c r="I64" s="3">
        <f t="shared" ref="I64:J64" si="70">A64</f>
        <v>62</v>
      </c>
      <c r="J64" s="3" t="str">
        <f t="shared" si="70"/>
        <v>Senegal</v>
      </c>
      <c r="K64" s="3"/>
      <c r="L64" s="3" t="str">
        <f t="shared" si="2"/>
        <v>x</v>
      </c>
      <c r="M64" s="3"/>
      <c r="N64" s="3" t="str">
        <f t="shared" si="3"/>
        <v>Iraque</v>
      </c>
      <c r="O64" s="3" t="str">
        <f t="shared" si="4"/>
        <v>-</v>
      </c>
      <c r="P64" s="3"/>
      <c r="Q64" s="3" t="b">
        <f t="shared" si="5"/>
        <v>0</v>
      </c>
      <c r="R64" s="3" t="b">
        <f t="shared" si="6"/>
        <v>0</v>
      </c>
      <c r="S64" s="3" t="b">
        <f t="shared" si="7"/>
        <v>0</v>
      </c>
      <c r="T64" s="3" t="b">
        <f t="shared" si="8"/>
        <v>0</v>
      </c>
      <c r="U64" s="3" t="b">
        <f t="shared" si="9"/>
        <v>1</v>
      </c>
      <c r="V64" s="3"/>
      <c r="W64" s="3" cm="1">
        <f t="array" ref="W64">IF(OR(J64="Brasil",N64="Brasil"),2*_xlfn.IFS(Q64=TRUE,6,R64=TRUE,4,AND(S64=TRUE,T64=FALSE),3,T64=TRUE,2,U64=TRUE,0),_xlfn.IFS(Q64=TRUE,6,R64=TRUE,4,AND(S64=TRUE,T64=FALSE),3,T64=TRUE,2,U64=TRUE,0))</f>
        <v>0</v>
      </c>
      <c r="X64" s="3"/>
      <c r="Y64" s="3"/>
    </row>
    <row r="65" spans="1:25" ht="14.25" customHeight="1" x14ac:dyDescent="0.3">
      <c r="A65" s="3">
        <f>'Tabela de Jogos'!A65</f>
        <v>63</v>
      </c>
      <c r="B65" s="3" t="str">
        <f>'Tabela de Jogos'!B65</f>
        <v>Cabo Verde</v>
      </c>
      <c r="C65" s="3">
        <f>'Tabela de Jogos'!C65</f>
        <v>0</v>
      </c>
      <c r="D65" s="3" t="str">
        <f>'Tabela de Jogos'!D65</f>
        <v>x</v>
      </c>
      <c r="E65" s="3">
        <f>'Tabela de Jogos'!E65</f>
        <v>0</v>
      </c>
      <c r="F65" s="3" t="str">
        <f>'Tabela de Jogos'!F65</f>
        <v>Arábia Saudita</v>
      </c>
      <c r="G65" s="3" t="str">
        <f>'Tabela de Jogos'!G65</f>
        <v>-</v>
      </c>
      <c r="H65" s="3"/>
      <c r="I65" s="3">
        <f t="shared" ref="I65:J65" si="71">A65</f>
        <v>63</v>
      </c>
      <c r="J65" s="3" t="str">
        <f t="shared" si="71"/>
        <v>Cabo Verde</v>
      </c>
      <c r="K65" s="3"/>
      <c r="L65" s="3" t="str">
        <f t="shared" si="2"/>
        <v>x</v>
      </c>
      <c r="M65" s="3"/>
      <c r="N65" s="3" t="str">
        <f t="shared" si="3"/>
        <v>Arábia Saudita</v>
      </c>
      <c r="O65" s="3" t="str">
        <f t="shared" si="4"/>
        <v>-</v>
      </c>
      <c r="P65" s="3"/>
      <c r="Q65" s="3" t="b">
        <f t="shared" si="5"/>
        <v>0</v>
      </c>
      <c r="R65" s="3" t="b">
        <f t="shared" si="6"/>
        <v>0</v>
      </c>
      <c r="S65" s="3" t="b">
        <f t="shared" si="7"/>
        <v>0</v>
      </c>
      <c r="T65" s="3" t="b">
        <f t="shared" si="8"/>
        <v>0</v>
      </c>
      <c r="U65" s="3" t="b">
        <f t="shared" si="9"/>
        <v>1</v>
      </c>
      <c r="V65" s="3"/>
      <c r="W65" s="3" cm="1">
        <f t="array" ref="W65">IF(OR(J65="Brasil",N65="Brasil"),2*_xlfn.IFS(Q65=TRUE,6,R65=TRUE,4,AND(S65=TRUE,T65=FALSE),3,T65=TRUE,2,U65=TRUE,0),_xlfn.IFS(Q65=TRUE,6,R65=TRUE,4,AND(S65=TRUE,T65=FALSE),3,T65=TRUE,2,U65=TRUE,0))</f>
        <v>0</v>
      </c>
      <c r="X65" s="3"/>
      <c r="Y65" s="3"/>
    </row>
    <row r="66" spans="1:25" ht="14.25" customHeight="1" x14ac:dyDescent="0.3">
      <c r="A66" s="3">
        <f>'Tabela de Jogos'!A66</f>
        <v>64</v>
      </c>
      <c r="B66" s="3" t="str">
        <f>'Tabela de Jogos'!B66</f>
        <v>Uruguai</v>
      </c>
      <c r="C66" s="3">
        <f>'Tabela de Jogos'!C66</f>
        <v>0</v>
      </c>
      <c r="D66" s="3" t="str">
        <f>'Tabela de Jogos'!D66</f>
        <v>x</v>
      </c>
      <c r="E66" s="3">
        <f>'Tabela de Jogos'!E66</f>
        <v>0</v>
      </c>
      <c r="F66" s="3" t="str">
        <f>'Tabela de Jogos'!F66</f>
        <v>Espanha</v>
      </c>
      <c r="G66" s="3" t="str">
        <f>'Tabela de Jogos'!G66</f>
        <v>-</v>
      </c>
      <c r="H66" s="3"/>
      <c r="I66" s="3">
        <f t="shared" ref="I66:J66" si="72">A66</f>
        <v>64</v>
      </c>
      <c r="J66" s="3" t="str">
        <f t="shared" si="72"/>
        <v>Uruguai</v>
      </c>
      <c r="K66" s="3"/>
      <c r="L66" s="3" t="str">
        <f t="shared" si="2"/>
        <v>x</v>
      </c>
      <c r="M66" s="3"/>
      <c r="N66" s="3" t="str">
        <f t="shared" si="3"/>
        <v>Espanha</v>
      </c>
      <c r="O66" s="3" t="str">
        <f t="shared" si="4"/>
        <v>-</v>
      </c>
      <c r="P66" s="3"/>
      <c r="Q66" s="3" t="b">
        <f t="shared" si="5"/>
        <v>0</v>
      </c>
      <c r="R66" s="3" t="b">
        <f t="shared" si="6"/>
        <v>0</v>
      </c>
      <c r="S66" s="3" t="b">
        <f t="shared" si="7"/>
        <v>0</v>
      </c>
      <c r="T66" s="3" t="b">
        <f t="shared" si="8"/>
        <v>0</v>
      </c>
      <c r="U66" s="3" t="b">
        <f t="shared" si="9"/>
        <v>1</v>
      </c>
      <c r="V66" s="3"/>
      <c r="W66" s="3" cm="1">
        <f t="array" ref="W66">IF(OR(J66="Brasil",N66="Brasil"),2*_xlfn.IFS(Q66=TRUE,6,R66=TRUE,4,AND(S66=TRUE,T66=FALSE),3,T66=TRUE,2,U66=TRUE,0),_xlfn.IFS(Q66=TRUE,6,R66=TRUE,4,AND(S66=TRUE,T66=FALSE),3,T66=TRUE,2,U66=TRUE,0))</f>
        <v>0</v>
      </c>
      <c r="X66" s="3"/>
      <c r="Y66" s="3"/>
    </row>
    <row r="67" spans="1:25" ht="14.25" customHeight="1" x14ac:dyDescent="0.3">
      <c r="A67" s="3">
        <f>'Tabela de Jogos'!A67</f>
        <v>65</v>
      </c>
      <c r="B67" s="3" t="str">
        <f>'Tabela de Jogos'!B67</f>
        <v>Nova Zelândia</v>
      </c>
      <c r="C67" s="3">
        <f>'Tabela de Jogos'!C67</f>
        <v>0</v>
      </c>
      <c r="D67" s="3" t="str">
        <f>'Tabela de Jogos'!D67</f>
        <v>x</v>
      </c>
      <c r="E67" s="3">
        <f>'Tabela de Jogos'!E67</f>
        <v>0</v>
      </c>
      <c r="F67" s="3" t="str">
        <f>'Tabela de Jogos'!F67</f>
        <v>Bélgica</v>
      </c>
      <c r="G67" s="3" t="str">
        <f>'Tabela de Jogos'!G67</f>
        <v>-</v>
      </c>
      <c r="H67" s="3"/>
      <c r="I67" s="3">
        <f t="shared" ref="I67:J67" si="73">A67</f>
        <v>65</v>
      </c>
      <c r="J67" s="3" t="str">
        <f t="shared" si="73"/>
        <v>Nova Zelândia</v>
      </c>
      <c r="K67" s="3"/>
      <c r="L67" s="3" t="str">
        <f t="shared" si="2"/>
        <v>x</v>
      </c>
      <c r="M67" s="3"/>
      <c r="N67" s="3" t="str">
        <f t="shared" si="3"/>
        <v>Bélgica</v>
      </c>
      <c r="O67" s="3" t="str">
        <f t="shared" si="4"/>
        <v>-</v>
      </c>
      <c r="P67" s="3"/>
      <c r="Q67" s="3" t="b">
        <f t="shared" si="5"/>
        <v>0</v>
      </c>
      <c r="R67" s="3" t="b">
        <f t="shared" si="6"/>
        <v>0</v>
      </c>
      <c r="S67" s="3" t="b">
        <f t="shared" si="7"/>
        <v>0</v>
      </c>
      <c r="T67" s="3" t="b">
        <f t="shared" si="8"/>
        <v>0</v>
      </c>
      <c r="U67" s="3" t="b">
        <f t="shared" si="9"/>
        <v>1</v>
      </c>
      <c r="V67" s="3"/>
      <c r="W67" s="3" cm="1">
        <f t="array" ref="W67">IF(OR(J67="Brasil",N67="Brasil"),2*_xlfn.IFS(Q67=TRUE,6,R67=TRUE,4,AND(S67=TRUE,T67=FALSE),3,T67=TRUE,2,U67=TRUE,0),_xlfn.IFS(Q67=TRUE,6,R67=TRUE,4,AND(S67=TRUE,T67=FALSE),3,T67=TRUE,2,U67=TRUE,0))</f>
        <v>0</v>
      </c>
      <c r="X67" s="3"/>
      <c r="Y67" s="3"/>
    </row>
    <row r="68" spans="1:25" ht="14.25" customHeight="1" x14ac:dyDescent="0.3">
      <c r="A68" s="3">
        <f>'Tabela de Jogos'!A68</f>
        <v>66</v>
      </c>
      <c r="B68" s="3" t="str">
        <f>'Tabela de Jogos'!B68</f>
        <v>Egito</v>
      </c>
      <c r="C68" s="3">
        <f>'Tabela de Jogos'!C68</f>
        <v>0</v>
      </c>
      <c r="D68" s="3" t="str">
        <f>'Tabela de Jogos'!D68</f>
        <v>x</v>
      </c>
      <c r="E68" s="3">
        <f>'Tabela de Jogos'!E68</f>
        <v>0</v>
      </c>
      <c r="F68" s="3" t="str">
        <f>'Tabela de Jogos'!F68</f>
        <v>Irã</v>
      </c>
      <c r="G68" s="3" t="str">
        <f>'Tabela de Jogos'!G68</f>
        <v>-</v>
      </c>
      <c r="H68" s="3"/>
      <c r="I68" s="3">
        <f t="shared" ref="I68:J68" si="74">A68</f>
        <v>66</v>
      </c>
      <c r="J68" s="3" t="str">
        <f t="shared" si="74"/>
        <v>Egito</v>
      </c>
      <c r="K68" s="3"/>
      <c r="L68" s="3" t="str">
        <f t="shared" si="2"/>
        <v>x</v>
      </c>
      <c r="M68" s="3"/>
      <c r="N68" s="3" t="str">
        <f t="shared" si="3"/>
        <v>Irã</v>
      </c>
      <c r="O68" s="3" t="str">
        <f t="shared" si="4"/>
        <v>-</v>
      </c>
      <c r="P68" s="3"/>
      <c r="Q68" s="3" t="b">
        <f t="shared" si="5"/>
        <v>0</v>
      </c>
      <c r="R68" s="3" t="b">
        <f t="shared" si="6"/>
        <v>0</v>
      </c>
      <c r="S68" s="3" t="b">
        <f t="shared" si="7"/>
        <v>0</v>
      </c>
      <c r="T68" s="3" t="b">
        <f t="shared" si="8"/>
        <v>0</v>
      </c>
      <c r="U68" s="3" t="b">
        <f t="shared" si="9"/>
        <v>1</v>
      </c>
      <c r="V68" s="3"/>
      <c r="W68" s="3" cm="1">
        <f t="array" ref="W68">IF(OR(J68="Brasil",N68="Brasil"),2*_xlfn.IFS(Q68=TRUE,6,R68=TRUE,4,AND(S68=TRUE,T68=FALSE),3,T68=TRUE,2,U68=TRUE,0),_xlfn.IFS(Q68=TRUE,6,R68=TRUE,4,AND(S68=TRUE,T68=FALSE),3,T68=TRUE,2,U68=TRUE,0))</f>
        <v>0</v>
      </c>
      <c r="X68" s="3"/>
      <c r="Y68" s="3"/>
    </row>
    <row r="69" spans="1:25" ht="14.25" customHeight="1" x14ac:dyDescent="0.3">
      <c r="A69" s="3">
        <f>'Tabela de Jogos'!A69</f>
        <v>67</v>
      </c>
      <c r="B69" s="3" t="str">
        <f>'Tabela de Jogos'!B69</f>
        <v>Panamá</v>
      </c>
      <c r="C69" s="3">
        <f>'Tabela de Jogos'!C69</f>
        <v>0</v>
      </c>
      <c r="D69" s="3" t="str">
        <f>'Tabela de Jogos'!D69</f>
        <v>x</v>
      </c>
      <c r="E69" s="3">
        <f>'Tabela de Jogos'!E69</f>
        <v>0</v>
      </c>
      <c r="F69" s="3" t="str">
        <f>'Tabela de Jogos'!F69</f>
        <v>Inglaterra</v>
      </c>
      <c r="G69" s="3" t="str">
        <f>'Tabela de Jogos'!G69</f>
        <v>-</v>
      </c>
      <c r="H69" s="3"/>
      <c r="I69" s="3">
        <f t="shared" ref="I69:J69" si="75">A69</f>
        <v>67</v>
      </c>
      <c r="J69" s="3" t="str">
        <f t="shared" si="75"/>
        <v>Panamá</v>
      </c>
      <c r="K69" s="3"/>
      <c r="L69" s="3" t="str">
        <f t="shared" si="2"/>
        <v>x</v>
      </c>
      <c r="M69" s="3"/>
      <c r="N69" s="3" t="str">
        <f t="shared" si="3"/>
        <v>Inglaterra</v>
      </c>
      <c r="O69" s="3" t="str">
        <f t="shared" si="4"/>
        <v>-</v>
      </c>
      <c r="P69" s="3"/>
      <c r="Q69" s="3" t="b">
        <f t="shared" si="5"/>
        <v>0</v>
      </c>
      <c r="R69" s="3" t="b">
        <f t="shared" si="6"/>
        <v>0</v>
      </c>
      <c r="S69" s="3" t="b">
        <f t="shared" si="7"/>
        <v>0</v>
      </c>
      <c r="T69" s="3" t="b">
        <f t="shared" si="8"/>
        <v>0</v>
      </c>
      <c r="U69" s="3" t="b">
        <f t="shared" si="9"/>
        <v>1</v>
      </c>
      <c r="V69" s="3"/>
      <c r="W69" s="3" cm="1">
        <f t="array" ref="W69">IF(OR(J69="Brasil",N69="Brasil"),2*_xlfn.IFS(Q69=TRUE,6,R69=TRUE,4,AND(S69=TRUE,T69=FALSE),3,T69=TRUE,2,U69=TRUE,0),_xlfn.IFS(Q69=TRUE,6,R69=TRUE,4,AND(S69=TRUE,T69=FALSE),3,T69=TRUE,2,U69=TRUE,0))</f>
        <v>0</v>
      </c>
      <c r="X69" s="3"/>
      <c r="Y69" s="3"/>
    </row>
    <row r="70" spans="1:25" ht="14.25" customHeight="1" x14ac:dyDescent="0.3">
      <c r="A70" s="3">
        <f>'Tabela de Jogos'!A70</f>
        <v>68</v>
      </c>
      <c r="B70" s="3" t="str">
        <f>'Tabela de Jogos'!B70</f>
        <v>Croácia</v>
      </c>
      <c r="C70" s="3">
        <f>'Tabela de Jogos'!C70</f>
        <v>0</v>
      </c>
      <c r="D70" s="3" t="str">
        <f>'Tabela de Jogos'!D70</f>
        <v>x</v>
      </c>
      <c r="E70" s="3">
        <f>'Tabela de Jogos'!E70</f>
        <v>0</v>
      </c>
      <c r="F70" s="3" t="str">
        <f>'Tabela de Jogos'!F70</f>
        <v>Gana</v>
      </c>
      <c r="G70" s="3" t="str">
        <f>'Tabela de Jogos'!G70</f>
        <v>-</v>
      </c>
      <c r="H70" s="3"/>
      <c r="I70" s="3">
        <f t="shared" ref="I70:J70" si="76">A70</f>
        <v>68</v>
      </c>
      <c r="J70" s="3" t="str">
        <f t="shared" si="76"/>
        <v>Croácia</v>
      </c>
      <c r="K70" s="3"/>
      <c r="L70" s="3" t="str">
        <f t="shared" si="2"/>
        <v>x</v>
      </c>
      <c r="M70" s="3"/>
      <c r="N70" s="3" t="str">
        <f t="shared" si="3"/>
        <v>Gana</v>
      </c>
      <c r="O70" s="3" t="str">
        <f t="shared" si="4"/>
        <v>-</v>
      </c>
      <c r="P70" s="3"/>
      <c r="Q70" s="3" t="b">
        <f t="shared" si="5"/>
        <v>0</v>
      </c>
      <c r="R70" s="3" t="b">
        <f t="shared" si="6"/>
        <v>0</v>
      </c>
      <c r="S70" s="3" t="b">
        <f t="shared" si="7"/>
        <v>0</v>
      </c>
      <c r="T70" s="3" t="b">
        <f t="shared" si="8"/>
        <v>0</v>
      </c>
      <c r="U70" s="3" t="b">
        <f t="shared" si="9"/>
        <v>1</v>
      </c>
      <c r="V70" s="3"/>
      <c r="W70" s="3" cm="1">
        <f t="array" ref="W70">IF(OR(J70="Brasil",N70="Brasil"),2*_xlfn.IFS(Q70=TRUE,6,R70=TRUE,4,AND(S70=TRUE,T70=FALSE),3,T70=TRUE,2,U70=TRUE,0),_xlfn.IFS(Q70=TRUE,6,R70=TRUE,4,AND(S70=TRUE,T70=FALSE),3,T70=TRUE,2,U70=TRUE,0))</f>
        <v>0</v>
      </c>
      <c r="X70" s="3"/>
      <c r="Y70" s="3"/>
    </row>
    <row r="71" spans="1:25" ht="14.25" customHeight="1" x14ac:dyDescent="0.3">
      <c r="A71" s="3">
        <f>'Tabela de Jogos'!A71</f>
        <v>69</v>
      </c>
      <c r="B71" s="3" t="str">
        <f>'Tabela de Jogos'!B71</f>
        <v>Colômbia</v>
      </c>
      <c r="C71" s="3">
        <f>'Tabela de Jogos'!C71</f>
        <v>0</v>
      </c>
      <c r="D71" s="3" t="str">
        <f>'Tabela de Jogos'!D71</f>
        <v>x</v>
      </c>
      <c r="E71" s="3">
        <f>'Tabela de Jogos'!E71</f>
        <v>0</v>
      </c>
      <c r="F71" s="3" t="str">
        <f>'Tabela de Jogos'!F71</f>
        <v>Portugal</v>
      </c>
      <c r="G71" s="3" t="str">
        <f>'Tabela de Jogos'!G71</f>
        <v>-</v>
      </c>
      <c r="H71" s="3"/>
      <c r="I71" s="3">
        <f t="shared" ref="I71:J71" si="77">A71</f>
        <v>69</v>
      </c>
      <c r="J71" s="3" t="str">
        <f t="shared" si="77"/>
        <v>Colômbia</v>
      </c>
      <c r="K71" s="3"/>
      <c r="L71" s="3" t="str">
        <f t="shared" si="2"/>
        <v>x</v>
      </c>
      <c r="M71" s="3"/>
      <c r="N71" s="3" t="str">
        <f t="shared" si="3"/>
        <v>Portugal</v>
      </c>
      <c r="O71" s="3" t="str">
        <f t="shared" si="4"/>
        <v>-</v>
      </c>
      <c r="P71" s="3"/>
      <c r="Q71" s="3" t="b">
        <f t="shared" si="5"/>
        <v>0</v>
      </c>
      <c r="R71" s="3" t="b">
        <f t="shared" si="6"/>
        <v>0</v>
      </c>
      <c r="S71" s="3" t="b">
        <f t="shared" si="7"/>
        <v>0</v>
      </c>
      <c r="T71" s="3" t="b">
        <f t="shared" si="8"/>
        <v>0</v>
      </c>
      <c r="U71" s="3" t="b">
        <f t="shared" si="9"/>
        <v>1</v>
      </c>
      <c r="V71" s="3"/>
      <c r="W71" s="3" cm="1">
        <f t="array" ref="W71">IF(OR(J71="Brasil",N71="Brasil"),2*_xlfn.IFS(Q71=TRUE,6,R71=TRUE,4,AND(S71=TRUE,T71=FALSE),3,T71=TRUE,2,U71=TRUE,0),_xlfn.IFS(Q71=TRUE,6,R71=TRUE,4,AND(S71=TRUE,T71=FALSE),3,T71=TRUE,2,U71=TRUE,0))</f>
        <v>0</v>
      </c>
      <c r="X71" s="3"/>
      <c r="Y71" s="3"/>
    </row>
    <row r="72" spans="1:25" ht="14.25" customHeight="1" x14ac:dyDescent="0.3">
      <c r="A72" s="3">
        <f>'Tabela de Jogos'!A72</f>
        <v>70</v>
      </c>
      <c r="B72" s="3" t="str">
        <f>'Tabela de Jogos'!B72</f>
        <v>RD Congo</v>
      </c>
      <c r="C72" s="3">
        <f>'Tabela de Jogos'!C72</f>
        <v>0</v>
      </c>
      <c r="D72" s="3" t="str">
        <f>'Tabela de Jogos'!D72</f>
        <v>x</v>
      </c>
      <c r="E72" s="3">
        <f>'Tabela de Jogos'!E72</f>
        <v>0</v>
      </c>
      <c r="F72" s="3" t="str">
        <f>'Tabela de Jogos'!F72</f>
        <v>Uzbequistão</v>
      </c>
      <c r="G72" s="3" t="str">
        <f>'Tabela de Jogos'!G72</f>
        <v>-</v>
      </c>
      <c r="H72" s="3"/>
      <c r="I72" s="3">
        <f t="shared" ref="I72:J72" si="78">A72</f>
        <v>70</v>
      </c>
      <c r="J72" s="3" t="str">
        <f t="shared" si="78"/>
        <v>RD Congo</v>
      </c>
      <c r="K72" s="3"/>
      <c r="L72" s="3" t="str">
        <f t="shared" si="2"/>
        <v>x</v>
      </c>
      <c r="M72" s="3"/>
      <c r="N72" s="3" t="str">
        <f t="shared" si="3"/>
        <v>Uzbequistão</v>
      </c>
      <c r="O72" s="3" t="str">
        <f t="shared" si="4"/>
        <v>-</v>
      </c>
      <c r="P72" s="3"/>
      <c r="Q72" s="3" t="b">
        <f t="shared" si="5"/>
        <v>0</v>
      </c>
      <c r="R72" s="3" t="b">
        <f t="shared" si="6"/>
        <v>0</v>
      </c>
      <c r="S72" s="3" t="b">
        <f t="shared" si="7"/>
        <v>0</v>
      </c>
      <c r="T72" s="3" t="b">
        <f t="shared" si="8"/>
        <v>0</v>
      </c>
      <c r="U72" s="3" t="b">
        <f t="shared" si="9"/>
        <v>1</v>
      </c>
      <c r="V72" s="3"/>
      <c r="W72" s="3" cm="1">
        <f t="array" ref="W72">IF(OR(J72="Brasil",N72="Brasil"),2*_xlfn.IFS(Q72=TRUE,6,R72=TRUE,4,AND(S72=TRUE,T72=FALSE),3,T72=TRUE,2,U72=TRUE,0),_xlfn.IFS(Q72=TRUE,6,R72=TRUE,4,AND(S72=TRUE,T72=FALSE),3,T72=TRUE,2,U72=TRUE,0))</f>
        <v>0</v>
      </c>
      <c r="X72" s="3"/>
      <c r="Y72" s="3"/>
    </row>
    <row r="73" spans="1:25" ht="14.25" customHeight="1" x14ac:dyDescent="0.3">
      <c r="A73" s="3">
        <f>'Tabela de Jogos'!A73</f>
        <v>71</v>
      </c>
      <c r="B73" s="3" t="str">
        <f>'Tabela de Jogos'!B73</f>
        <v>Argélia</v>
      </c>
      <c r="C73" s="3">
        <f>'Tabela de Jogos'!C73</f>
        <v>0</v>
      </c>
      <c r="D73" s="3" t="str">
        <f>'Tabela de Jogos'!D73</f>
        <v>x</v>
      </c>
      <c r="E73" s="3">
        <f>'Tabela de Jogos'!E73</f>
        <v>0</v>
      </c>
      <c r="F73" s="3" t="str">
        <f>'Tabela de Jogos'!F73</f>
        <v>Áustria</v>
      </c>
      <c r="G73" s="3" t="str">
        <f>'Tabela de Jogos'!G73</f>
        <v>-</v>
      </c>
      <c r="H73" s="3"/>
      <c r="I73" s="3">
        <f t="shared" ref="I73:J73" si="79">A73</f>
        <v>71</v>
      </c>
      <c r="J73" s="3" t="str">
        <f t="shared" si="79"/>
        <v>Argélia</v>
      </c>
      <c r="K73" s="3"/>
      <c r="L73" s="3" t="str">
        <f t="shared" si="2"/>
        <v>x</v>
      </c>
      <c r="M73" s="3"/>
      <c r="N73" s="3" t="str">
        <f t="shared" si="3"/>
        <v>Áustria</v>
      </c>
      <c r="O73" s="3" t="str">
        <f t="shared" si="4"/>
        <v>-</v>
      </c>
      <c r="P73" s="3"/>
      <c r="Q73" s="3" t="b">
        <f t="shared" si="5"/>
        <v>0</v>
      </c>
      <c r="R73" s="3" t="b">
        <f t="shared" si="6"/>
        <v>0</v>
      </c>
      <c r="S73" s="3" t="b">
        <f t="shared" si="7"/>
        <v>0</v>
      </c>
      <c r="T73" s="3" t="b">
        <f t="shared" si="8"/>
        <v>0</v>
      </c>
      <c r="U73" s="3" t="b">
        <f t="shared" si="9"/>
        <v>1</v>
      </c>
      <c r="V73" s="3"/>
      <c r="W73" s="3" cm="1">
        <f t="array" ref="W73">IF(OR(J73="Brasil",N73="Brasil"),2*_xlfn.IFS(Q73=TRUE,6,R73=TRUE,4,AND(S73=TRUE,T73=FALSE),3,T73=TRUE,2,U73=TRUE,0),_xlfn.IFS(Q73=TRUE,6,R73=TRUE,4,AND(S73=TRUE,T73=FALSE),3,T73=TRUE,2,U73=TRUE,0))</f>
        <v>0</v>
      </c>
      <c r="X73" s="3"/>
      <c r="Y73" s="3"/>
    </row>
    <row r="74" spans="1:25" ht="14.25" customHeight="1" x14ac:dyDescent="0.3">
      <c r="A74" s="3">
        <f>'Tabela de Jogos'!A74</f>
        <v>72</v>
      </c>
      <c r="B74" s="3" t="str">
        <f>'Tabela de Jogos'!B74</f>
        <v>Jordânia</v>
      </c>
      <c r="C74" s="3">
        <f>'Tabela de Jogos'!C74</f>
        <v>0</v>
      </c>
      <c r="D74" s="3" t="str">
        <f>'Tabela de Jogos'!D74</f>
        <v>x</v>
      </c>
      <c r="E74" s="3">
        <f>'Tabela de Jogos'!E74</f>
        <v>0</v>
      </c>
      <c r="F74" s="3" t="str">
        <f>'Tabela de Jogos'!F74</f>
        <v>Argentina</v>
      </c>
      <c r="G74" s="3" t="str">
        <f>'Tabela de Jogos'!G74</f>
        <v>-</v>
      </c>
      <c r="H74" s="3"/>
      <c r="I74" s="3">
        <f t="shared" ref="I74:J74" si="80">A74</f>
        <v>72</v>
      </c>
      <c r="J74" s="3" t="str">
        <f t="shared" si="80"/>
        <v>Jordânia</v>
      </c>
      <c r="K74" s="3"/>
      <c r="L74" s="3" t="str">
        <f t="shared" si="2"/>
        <v>x</v>
      </c>
      <c r="M74" s="3"/>
      <c r="N74" s="3" t="str">
        <f t="shared" si="3"/>
        <v>Argentina</v>
      </c>
      <c r="O74" s="3" t="str">
        <f t="shared" si="4"/>
        <v>-</v>
      </c>
      <c r="P74" s="3"/>
      <c r="Q74" s="3" t="b">
        <f t="shared" si="5"/>
        <v>0</v>
      </c>
      <c r="R74" s="3" t="b">
        <f t="shared" si="6"/>
        <v>0</v>
      </c>
      <c r="S74" s="3" t="b">
        <f t="shared" si="7"/>
        <v>0</v>
      </c>
      <c r="T74" s="3" t="b">
        <f t="shared" si="8"/>
        <v>0</v>
      </c>
      <c r="U74" s="3" t="b">
        <f t="shared" si="9"/>
        <v>1</v>
      </c>
      <c r="V74" s="3"/>
      <c r="W74" s="3" cm="1">
        <f t="array" ref="W74">IF(OR(J74="Brasil",N74="Brasil"),2*_xlfn.IFS(Q74=TRUE,6,R74=TRUE,4,AND(S74=TRUE,T74=FALSE),3,T74=TRUE,2,U74=TRUE,0),_xlfn.IFS(Q74=TRUE,6,R74=TRUE,4,AND(S74=TRUE,T74=FALSE),3,T74=TRUE,2,U74=TRUE,0))</f>
        <v>0</v>
      </c>
      <c r="X74" s="3"/>
      <c r="Y74" s="3"/>
    </row>
    <row r="75" spans="1:25" ht="14.25" customHeight="1" x14ac:dyDescent="0.3">
      <c r="A75" s="3">
        <f>'Tabela de Jogos'!A75</f>
        <v>73</v>
      </c>
      <c r="B75" s="3">
        <f>'Tabela de Jogos'!B75</f>
        <v>0</v>
      </c>
      <c r="C75" s="3">
        <f>'Tabela de Jogos'!C75</f>
        <v>0</v>
      </c>
      <c r="D75" s="3" t="str">
        <f>'Tabela de Jogos'!D75</f>
        <v>x</v>
      </c>
      <c r="E75" s="3">
        <f>'Tabela de Jogos'!E75</f>
        <v>0</v>
      </c>
      <c r="F75" s="3">
        <f>'Tabela de Jogos'!F75</f>
        <v>0</v>
      </c>
      <c r="G75" s="3" t="str">
        <f>'Tabela de Jogos'!G75</f>
        <v>-</v>
      </c>
      <c r="H75" s="3"/>
      <c r="I75" s="3">
        <f t="shared" ref="I75:J75" si="81">A75</f>
        <v>73</v>
      </c>
      <c r="J75" s="3">
        <f t="shared" si="81"/>
        <v>0</v>
      </c>
      <c r="K75" s="3"/>
      <c r="L75" s="3" t="str">
        <f t="shared" si="2"/>
        <v>x</v>
      </c>
      <c r="M75" s="3"/>
      <c r="N75" s="3">
        <f t="shared" si="3"/>
        <v>0</v>
      </c>
      <c r="O75" s="3" t="str">
        <f t="shared" si="4"/>
        <v>-</v>
      </c>
      <c r="P75" s="3"/>
      <c r="Q75" s="3" t="b">
        <f t="shared" si="5"/>
        <v>0</v>
      </c>
      <c r="R75" s="3" t="b">
        <f t="shared" si="6"/>
        <v>0</v>
      </c>
      <c r="S75" s="3" t="b">
        <f t="shared" si="7"/>
        <v>0</v>
      </c>
      <c r="T75" s="3" t="b">
        <f t="shared" si="8"/>
        <v>0</v>
      </c>
      <c r="U75" s="3" t="b">
        <f t="shared" si="9"/>
        <v>1</v>
      </c>
      <c r="V75" s="3"/>
      <c r="W75" s="3" cm="1">
        <f t="array" ref="W75">IF(OR(J75="Brasil",N75="Brasil"),2*_xlfn.IFS(Q75=TRUE,6,R75=TRUE,4,AND(S75=TRUE,T75=FALSE),3,T75=TRUE,2,U75=TRUE,0),_xlfn.IFS(Q75=TRUE,6,R75=TRUE,4,AND(S75=TRUE,T75=FALSE),3,T75=TRUE,2,U75=TRUE,0))</f>
        <v>0</v>
      </c>
      <c r="X75" s="3"/>
      <c r="Y75" s="3"/>
    </row>
    <row r="76" spans="1:25" ht="14.25" customHeight="1" x14ac:dyDescent="0.3">
      <c r="A76" s="3">
        <f>'Tabela de Jogos'!A76</f>
        <v>74</v>
      </c>
      <c r="B76" s="3">
        <f>'Tabela de Jogos'!B76</f>
        <v>0</v>
      </c>
      <c r="C76" s="3">
        <f>'Tabela de Jogos'!C76</f>
        <v>0</v>
      </c>
      <c r="D76" s="3" t="str">
        <f>'Tabela de Jogos'!D76</f>
        <v>x</v>
      </c>
      <c r="E76" s="3">
        <f>'Tabela de Jogos'!E76</f>
        <v>0</v>
      </c>
      <c r="F76" s="3">
        <f>'Tabela de Jogos'!F76</f>
        <v>0</v>
      </c>
      <c r="G76" s="3" t="str">
        <f>'Tabela de Jogos'!G76</f>
        <v>-</v>
      </c>
      <c r="H76" s="3"/>
      <c r="I76" s="3">
        <f t="shared" ref="I76:J76" si="82">A76</f>
        <v>74</v>
      </c>
      <c r="J76" s="3">
        <f t="shared" si="82"/>
        <v>0</v>
      </c>
      <c r="K76" s="3"/>
      <c r="L76" s="3" t="str">
        <f t="shared" si="2"/>
        <v>x</v>
      </c>
      <c r="M76" s="3"/>
      <c r="N76" s="3">
        <f t="shared" si="3"/>
        <v>0</v>
      </c>
      <c r="O76" s="3" t="str">
        <f t="shared" si="4"/>
        <v>-</v>
      </c>
      <c r="P76" s="3"/>
      <c r="Q76" s="3" t="b">
        <f t="shared" si="5"/>
        <v>0</v>
      </c>
      <c r="R76" s="3" t="b">
        <f t="shared" si="6"/>
        <v>0</v>
      </c>
      <c r="S76" s="3" t="b">
        <f t="shared" si="7"/>
        <v>0</v>
      </c>
      <c r="T76" s="3" t="b">
        <f t="shared" si="8"/>
        <v>0</v>
      </c>
      <c r="U76" s="3" t="b">
        <f t="shared" si="9"/>
        <v>1</v>
      </c>
      <c r="V76" s="3"/>
      <c r="W76" s="3" cm="1">
        <f t="array" ref="W76">IF(OR(J76="Brasil",N76="Brasil"),2*_xlfn.IFS(Q76=TRUE,6,R76=TRUE,4,AND(S76=TRUE,T76=FALSE),3,T76=TRUE,2,U76=TRUE,0),_xlfn.IFS(Q76=TRUE,6,R76=TRUE,4,AND(S76=TRUE,T76=FALSE),3,T76=TRUE,2,U76=TRUE,0))</f>
        <v>0</v>
      </c>
      <c r="X76" s="3"/>
      <c r="Y76" s="3"/>
    </row>
    <row r="77" spans="1:25" ht="14.25" customHeight="1" x14ac:dyDescent="0.3">
      <c r="A77" s="3">
        <f>'Tabela de Jogos'!A77</f>
        <v>75</v>
      </c>
      <c r="B77" s="3">
        <f>'Tabela de Jogos'!B77</f>
        <v>0</v>
      </c>
      <c r="C77" s="3">
        <f>'Tabela de Jogos'!C77</f>
        <v>0</v>
      </c>
      <c r="D77" s="3" t="str">
        <f>'Tabela de Jogos'!D77</f>
        <v>x</v>
      </c>
      <c r="E77" s="3">
        <f>'Tabela de Jogos'!E77</f>
        <v>0</v>
      </c>
      <c r="F77" s="3">
        <f>'Tabela de Jogos'!F77</f>
        <v>0</v>
      </c>
      <c r="G77" s="3" t="str">
        <f>'Tabela de Jogos'!G77</f>
        <v>-</v>
      </c>
      <c r="H77" s="3"/>
      <c r="I77" s="3">
        <f t="shared" ref="I77:J77" si="83">A77</f>
        <v>75</v>
      </c>
      <c r="J77" s="3">
        <f t="shared" si="83"/>
        <v>0</v>
      </c>
      <c r="K77" s="3"/>
      <c r="L77" s="3" t="str">
        <f t="shared" si="2"/>
        <v>x</v>
      </c>
      <c r="M77" s="3"/>
      <c r="N77" s="3">
        <f t="shared" si="3"/>
        <v>0</v>
      </c>
      <c r="O77" s="3" t="str">
        <f t="shared" si="4"/>
        <v>-</v>
      </c>
      <c r="P77" s="3"/>
      <c r="Q77" s="3" t="b">
        <f t="shared" si="5"/>
        <v>0</v>
      </c>
      <c r="R77" s="3" t="b">
        <f t="shared" si="6"/>
        <v>0</v>
      </c>
      <c r="S77" s="3" t="b">
        <f t="shared" si="7"/>
        <v>0</v>
      </c>
      <c r="T77" s="3" t="b">
        <f t="shared" si="8"/>
        <v>0</v>
      </c>
      <c r="U77" s="3" t="b">
        <f t="shared" si="9"/>
        <v>1</v>
      </c>
      <c r="V77" s="3"/>
      <c r="W77" s="3" cm="1">
        <f t="array" ref="W77">IF(OR(J77="Brasil",N77="Brasil"),2*_xlfn.IFS(Q77=TRUE,6,R77=TRUE,4,AND(S77=TRUE,T77=FALSE),3,T77=TRUE,2,U77=TRUE,0),_xlfn.IFS(Q77=TRUE,6,R77=TRUE,4,AND(S77=TRUE,T77=FALSE),3,T77=TRUE,2,U77=TRUE,0))</f>
        <v>0</v>
      </c>
      <c r="X77" s="3"/>
      <c r="Y77" s="3"/>
    </row>
    <row r="78" spans="1:25" ht="14.25" customHeight="1" x14ac:dyDescent="0.3">
      <c r="A78" s="3">
        <f>'Tabela de Jogos'!A78</f>
        <v>76</v>
      </c>
      <c r="B78" s="3">
        <f>'Tabela de Jogos'!B78</f>
        <v>0</v>
      </c>
      <c r="C78" s="3">
        <f>'Tabela de Jogos'!C78</f>
        <v>0</v>
      </c>
      <c r="D78" s="3" t="str">
        <f>'Tabela de Jogos'!D78</f>
        <v>x</v>
      </c>
      <c r="E78" s="3">
        <f>'Tabela de Jogos'!E78</f>
        <v>0</v>
      </c>
      <c r="F78" s="3">
        <f>'Tabela de Jogos'!F78</f>
        <v>0</v>
      </c>
      <c r="G78" s="3" t="str">
        <f>'Tabela de Jogos'!G78</f>
        <v>-</v>
      </c>
      <c r="H78" s="3"/>
      <c r="I78" s="3">
        <f t="shared" ref="I78:J78" si="84">A78</f>
        <v>76</v>
      </c>
      <c r="J78" s="3">
        <f t="shared" si="84"/>
        <v>0</v>
      </c>
      <c r="K78" s="3"/>
      <c r="L78" s="3" t="str">
        <f t="shared" si="2"/>
        <v>x</v>
      </c>
      <c r="M78" s="3"/>
      <c r="N78" s="3">
        <f t="shared" si="3"/>
        <v>0</v>
      </c>
      <c r="O78" s="3" t="str">
        <f t="shared" si="4"/>
        <v>-</v>
      </c>
      <c r="P78" s="3"/>
      <c r="Q78" s="3" t="b">
        <f t="shared" si="5"/>
        <v>0</v>
      </c>
      <c r="R78" s="3" t="b">
        <f t="shared" si="6"/>
        <v>0</v>
      </c>
      <c r="S78" s="3" t="b">
        <f t="shared" si="7"/>
        <v>0</v>
      </c>
      <c r="T78" s="3" t="b">
        <f t="shared" si="8"/>
        <v>0</v>
      </c>
      <c r="U78" s="3" t="b">
        <f t="shared" si="9"/>
        <v>1</v>
      </c>
      <c r="V78" s="3"/>
      <c r="W78" s="3" cm="1">
        <f t="array" ref="W78">IF(OR(J78="Brasil",N78="Brasil"),2*_xlfn.IFS(Q78=TRUE,6,R78=TRUE,4,AND(S78=TRUE,T78=FALSE),3,T78=TRUE,2,U78=TRUE,0),_xlfn.IFS(Q78=TRUE,6,R78=TRUE,4,AND(S78=TRUE,T78=FALSE),3,T78=TRUE,2,U78=TRUE,0))</f>
        <v>0</v>
      </c>
      <c r="X78" s="3"/>
      <c r="Y78" s="3"/>
    </row>
    <row r="79" spans="1:25" ht="14.25" customHeight="1" x14ac:dyDescent="0.3">
      <c r="A79" s="3">
        <f>'Tabela de Jogos'!A79</f>
        <v>77</v>
      </c>
      <c r="B79" s="3">
        <f>'Tabela de Jogos'!B79</f>
        <v>0</v>
      </c>
      <c r="C79" s="3">
        <f>'Tabela de Jogos'!C79</f>
        <v>0</v>
      </c>
      <c r="D79" s="3" t="str">
        <f>'Tabela de Jogos'!D79</f>
        <v>x</v>
      </c>
      <c r="E79" s="3">
        <f>'Tabela de Jogos'!E79</f>
        <v>0</v>
      </c>
      <c r="F79" s="3">
        <f>'Tabela de Jogos'!F79</f>
        <v>0</v>
      </c>
      <c r="G79" s="3" t="str">
        <f>'Tabela de Jogos'!G79</f>
        <v>-</v>
      </c>
      <c r="H79" s="3"/>
      <c r="I79" s="3">
        <f t="shared" ref="I79:J79" si="85">A79</f>
        <v>77</v>
      </c>
      <c r="J79" s="3">
        <f t="shared" si="85"/>
        <v>0</v>
      </c>
      <c r="K79" s="3"/>
      <c r="L79" s="3" t="str">
        <f t="shared" si="2"/>
        <v>x</v>
      </c>
      <c r="M79" s="3"/>
      <c r="N79" s="3">
        <f t="shared" si="3"/>
        <v>0</v>
      </c>
      <c r="O79" s="3" t="str">
        <f t="shared" si="4"/>
        <v>-</v>
      </c>
      <c r="P79" s="3"/>
      <c r="Q79" s="3" t="b">
        <f t="shared" si="5"/>
        <v>0</v>
      </c>
      <c r="R79" s="3" t="b">
        <f t="shared" si="6"/>
        <v>0</v>
      </c>
      <c r="S79" s="3" t="b">
        <f t="shared" si="7"/>
        <v>0</v>
      </c>
      <c r="T79" s="3" t="b">
        <f t="shared" si="8"/>
        <v>0</v>
      </c>
      <c r="U79" s="3" t="b">
        <f t="shared" si="9"/>
        <v>1</v>
      </c>
      <c r="V79" s="3"/>
      <c r="W79" s="3" cm="1">
        <f t="array" ref="W79">IF(OR(J79="Brasil",N79="Brasil"),2*_xlfn.IFS(Q79=TRUE,6,R79=TRUE,4,AND(S79=TRUE,T79=FALSE),3,T79=TRUE,2,U79=TRUE,0),_xlfn.IFS(Q79=TRUE,6,R79=TRUE,4,AND(S79=TRUE,T79=FALSE),3,T79=TRUE,2,U79=TRUE,0))</f>
        <v>0</v>
      </c>
      <c r="X79" s="3"/>
      <c r="Y79" s="3"/>
    </row>
    <row r="80" spans="1:25" ht="14.25" customHeight="1" x14ac:dyDescent="0.3">
      <c r="A80" s="3">
        <f>'Tabela de Jogos'!A80</f>
        <v>78</v>
      </c>
      <c r="B80" s="3">
        <f>'Tabela de Jogos'!B80</f>
        <v>0</v>
      </c>
      <c r="C80" s="3">
        <f>'Tabela de Jogos'!C80</f>
        <v>0</v>
      </c>
      <c r="D80" s="3" t="str">
        <f>'Tabela de Jogos'!D80</f>
        <v>x</v>
      </c>
      <c r="E80" s="3">
        <f>'Tabela de Jogos'!E80</f>
        <v>0</v>
      </c>
      <c r="F80" s="3">
        <f>'Tabela de Jogos'!F80</f>
        <v>0</v>
      </c>
      <c r="G80" s="3" t="str">
        <f>'Tabela de Jogos'!G80</f>
        <v>-</v>
      </c>
      <c r="H80" s="3"/>
      <c r="I80" s="3">
        <f t="shared" ref="I80:J80" si="86">A80</f>
        <v>78</v>
      </c>
      <c r="J80" s="3">
        <f t="shared" si="86"/>
        <v>0</v>
      </c>
      <c r="K80" s="3"/>
      <c r="L80" s="3" t="str">
        <f t="shared" si="2"/>
        <v>x</v>
      </c>
      <c r="M80" s="3"/>
      <c r="N80" s="3">
        <f t="shared" si="3"/>
        <v>0</v>
      </c>
      <c r="O80" s="3" t="str">
        <f t="shared" si="4"/>
        <v>-</v>
      </c>
      <c r="P80" s="3"/>
      <c r="Q80" s="3" t="b">
        <f t="shared" si="5"/>
        <v>0</v>
      </c>
      <c r="R80" s="3" t="b">
        <f t="shared" si="6"/>
        <v>0</v>
      </c>
      <c r="S80" s="3" t="b">
        <f t="shared" si="7"/>
        <v>0</v>
      </c>
      <c r="T80" s="3" t="b">
        <f t="shared" si="8"/>
        <v>0</v>
      </c>
      <c r="U80" s="3" t="b">
        <f t="shared" si="9"/>
        <v>1</v>
      </c>
      <c r="V80" s="3"/>
      <c r="W80" s="3" cm="1">
        <f t="array" ref="W80">IF(OR(J80="Brasil",N80="Brasil"),2*_xlfn.IFS(Q80=TRUE,6,R80=TRUE,4,AND(S80=TRUE,T80=FALSE),3,T80=TRUE,2,U80=TRUE,0),_xlfn.IFS(Q80=TRUE,6,R80=TRUE,4,AND(S80=TRUE,T80=FALSE),3,T80=TRUE,2,U80=TRUE,0))</f>
        <v>0</v>
      </c>
      <c r="X80" s="3"/>
      <c r="Y80" s="3"/>
    </row>
    <row r="81" spans="1:25" ht="14.25" customHeight="1" x14ac:dyDescent="0.3">
      <c r="A81" s="3">
        <f>'Tabela de Jogos'!A81</f>
        <v>79</v>
      </c>
      <c r="B81" s="3">
        <f>'Tabela de Jogos'!B81</f>
        <v>0</v>
      </c>
      <c r="C81" s="3">
        <f>'Tabela de Jogos'!C81</f>
        <v>0</v>
      </c>
      <c r="D81" s="3" t="str">
        <f>'Tabela de Jogos'!D81</f>
        <v>x</v>
      </c>
      <c r="E81" s="3">
        <f>'Tabela de Jogos'!E81</f>
        <v>0</v>
      </c>
      <c r="F81" s="3">
        <f>'Tabela de Jogos'!F81</f>
        <v>0</v>
      </c>
      <c r="G81" s="3" t="str">
        <f>'Tabela de Jogos'!G81</f>
        <v>-</v>
      </c>
      <c r="H81" s="3"/>
      <c r="I81" s="3">
        <f t="shared" ref="I81:J81" si="87">A81</f>
        <v>79</v>
      </c>
      <c r="J81" s="3">
        <f t="shared" si="87"/>
        <v>0</v>
      </c>
      <c r="K81" s="3"/>
      <c r="L81" s="3" t="str">
        <f t="shared" si="2"/>
        <v>x</v>
      </c>
      <c r="M81" s="3"/>
      <c r="N81" s="3">
        <f t="shared" si="3"/>
        <v>0</v>
      </c>
      <c r="O81" s="3" t="str">
        <f t="shared" si="4"/>
        <v>-</v>
      </c>
      <c r="P81" s="3"/>
      <c r="Q81" s="3" t="b">
        <f t="shared" si="5"/>
        <v>0</v>
      </c>
      <c r="R81" s="3" t="b">
        <f t="shared" si="6"/>
        <v>0</v>
      </c>
      <c r="S81" s="3" t="b">
        <f t="shared" si="7"/>
        <v>0</v>
      </c>
      <c r="T81" s="3" t="b">
        <f t="shared" si="8"/>
        <v>0</v>
      </c>
      <c r="U81" s="3" t="b">
        <f t="shared" si="9"/>
        <v>1</v>
      </c>
      <c r="V81" s="3"/>
      <c r="W81" s="3" cm="1">
        <f t="array" ref="W81">IF(OR(J81="Brasil",N81="Brasil"),2*_xlfn.IFS(Q81=TRUE,6,R81=TRUE,4,AND(S81=TRUE,T81=FALSE),3,T81=TRUE,2,U81=TRUE,0),_xlfn.IFS(Q81=TRUE,6,R81=TRUE,4,AND(S81=TRUE,T81=FALSE),3,T81=TRUE,2,U81=TRUE,0))</f>
        <v>0</v>
      </c>
      <c r="X81" s="3"/>
      <c r="Y81" s="3"/>
    </row>
    <row r="82" spans="1:25" ht="14.25" customHeight="1" x14ac:dyDescent="0.3">
      <c r="A82" s="3">
        <f>'Tabela de Jogos'!A82</f>
        <v>80</v>
      </c>
      <c r="B82" s="3">
        <f>'Tabela de Jogos'!B82</f>
        <v>0</v>
      </c>
      <c r="C82" s="3">
        <f>'Tabela de Jogos'!C82</f>
        <v>0</v>
      </c>
      <c r="D82" s="3" t="str">
        <f>'Tabela de Jogos'!D82</f>
        <v>x</v>
      </c>
      <c r="E82" s="3">
        <f>'Tabela de Jogos'!E82</f>
        <v>0</v>
      </c>
      <c r="F82" s="3">
        <f>'Tabela de Jogos'!F82</f>
        <v>0</v>
      </c>
      <c r="G82" s="3" t="str">
        <f>'Tabela de Jogos'!G82</f>
        <v>-</v>
      </c>
      <c r="H82" s="3"/>
      <c r="I82" s="3">
        <f t="shared" ref="I82:J82" si="88">A82</f>
        <v>80</v>
      </c>
      <c r="J82" s="3">
        <f t="shared" si="88"/>
        <v>0</v>
      </c>
      <c r="K82" s="3"/>
      <c r="L82" s="3" t="str">
        <f t="shared" si="2"/>
        <v>x</v>
      </c>
      <c r="M82" s="3"/>
      <c r="N82" s="3">
        <f t="shared" si="3"/>
        <v>0</v>
      </c>
      <c r="O82" s="3" t="str">
        <f t="shared" si="4"/>
        <v>-</v>
      </c>
      <c r="P82" s="3"/>
      <c r="Q82" s="3" t="b">
        <f t="shared" si="5"/>
        <v>0</v>
      </c>
      <c r="R82" s="3" t="b">
        <f t="shared" si="6"/>
        <v>0</v>
      </c>
      <c r="S82" s="3" t="b">
        <f t="shared" si="7"/>
        <v>0</v>
      </c>
      <c r="T82" s="3" t="b">
        <f t="shared" si="8"/>
        <v>0</v>
      </c>
      <c r="U82" s="3" t="b">
        <f t="shared" si="9"/>
        <v>1</v>
      </c>
      <c r="V82" s="3"/>
      <c r="W82" s="3" cm="1">
        <f t="array" ref="W82">IF(OR(J82="Brasil",N82="Brasil"),2*_xlfn.IFS(Q82=TRUE,6,R82=TRUE,4,AND(S82=TRUE,T82=FALSE),3,T82=TRUE,2,U82=TRUE,0),_xlfn.IFS(Q82=TRUE,6,R82=TRUE,4,AND(S82=TRUE,T82=FALSE),3,T82=TRUE,2,U82=TRUE,0))</f>
        <v>0</v>
      </c>
      <c r="X82" s="3"/>
      <c r="Y82" s="3"/>
    </row>
    <row r="83" spans="1:25" ht="14.25" customHeight="1" x14ac:dyDescent="0.3">
      <c r="A83" s="3">
        <f>'Tabela de Jogos'!A83</f>
        <v>81</v>
      </c>
      <c r="B83" s="3">
        <f>'Tabela de Jogos'!B83</f>
        <v>0</v>
      </c>
      <c r="C83" s="3">
        <f>'Tabela de Jogos'!C83</f>
        <v>0</v>
      </c>
      <c r="D83" s="3" t="str">
        <f>'Tabela de Jogos'!D83</f>
        <v>x</v>
      </c>
      <c r="E83" s="3">
        <f>'Tabela de Jogos'!E83</f>
        <v>0</v>
      </c>
      <c r="F83" s="3">
        <f>'Tabela de Jogos'!F83</f>
        <v>0</v>
      </c>
      <c r="G83" s="3" t="str">
        <f>'Tabela de Jogos'!G83</f>
        <v>-</v>
      </c>
      <c r="H83" s="3"/>
      <c r="I83" s="3">
        <f t="shared" ref="I83:J83" si="89">A83</f>
        <v>81</v>
      </c>
      <c r="J83" s="3">
        <f t="shared" si="89"/>
        <v>0</v>
      </c>
      <c r="K83" s="3"/>
      <c r="L83" s="3" t="str">
        <f t="shared" si="2"/>
        <v>x</v>
      </c>
      <c r="M83" s="3"/>
      <c r="N83" s="3">
        <f t="shared" si="3"/>
        <v>0</v>
      </c>
      <c r="O83" s="3" t="str">
        <f t="shared" si="4"/>
        <v>-</v>
      </c>
      <c r="P83" s="3"/>
      <c r="Q83" s="3" t="b">
        <f t="shared" si="5"/>
        <v>0</v>
      </c>
      <c r="R83" s="3" t="b">
        <f t="shared" si="6"/>
        <v>0</v>
      </c>
      <c r="S83" s="3" t="b">
        <f t="shared" si="7"/>
        <v>0</v>
      </c>
      <c r="T83" s="3" t="b">
        <f t="shared" si="8"/>
        <v>0</v>
      </c>
      <c r="U83" s="3" t="b">
        <f t="shared" si="9"/>
        <v>1</v>
      </c>
      <c r="V83" s="3"/>
      <c r="W83" s="3" cm="1">
        <f t="array" ref="W83">IF(OR(J83="Brasil",N83="Brasil"),2*_xlfn.IFS(Q83=TRUE,6,R83=TRUE,4,AND(S83=TRUE,T83=FALSE),3,T83=TRUE,2,U83=TRUE,0),_xlfn.IFS(Q83=TRUE,6,R83=TRUE,4,AND(S83=TRUE,T83=FALSE),3,T83=TRUE,2,U83=TRUE,0))</f>
        <v>0</v>
      </c>
      <c r="X83" s="3"/>
      <c r="Y83" s="3"/>
    </row>
    <row r="84" spans="1:25" ht="14.25" customHeight="1" x14ac:dyDescent="0.3">
      <c r="A84" s="3">
        <f>'Tabela de Jogos'!A84</f>
        <v>82</v>
      </c>
      <c r="B84" s="3">
        <f>'Tabela de Jogos'!B84</f>
        <v>0</v>
      </c>
      <c r="C84" s="3">
        <f>'Tabela de Jogos'!C84</f>
        <v>0</v>
      </c>
      <c r="D84" s="3" t="str">
        <f>'Tabela de Jogos'!D84</f>
        <v>x</v>
      </c>
      <c r="E84" s="3">
        <f>'Tabela de Jogos'!E84</f>
        <v>0</v>
      </c>
      <c r="F84" s="3">
        <f>'Tabela de Jogos'!F84</f>
        <v>0</v>
      </c>
      <c r="G84" s="3" t="str">
        <f>'Tabela de Jogos'!G84</f>
        <v>-</v>
      </c>
      <c r="H84" s="3"/>
      <c r="I84" s="3">
        <f t="shared" ref="I84:J84" si="90">A84</f>
        <v>82</v>
      </c>
      <c r="J84" s="3">
        <f t="shared" si="90"/>
        <v>0</v>
      </c>
      <c r="K84" s="3"/>
      <c r="L84" s="3" t="str">
        <f t="shared" si="2"/>
        <v>x</v>
      </c>
      <c r="M84" s="3"/>
      <c r="N84" s="3">
        <f t="shared" si="3"/>
        <v>0</v>
      </c>
      <c r="O84" s="3" t="str">
        <f t="shared" si="4"/>
        <v>-</v>
      </c>
      <c r="P84" s="3"/>
      <c r="Q84" s="3" t="b">
        <f t="shared" si="5"/>
        <v>0</v>
      </c>
      <c r="R84" s="3" t="b">
        <f t="shared" si="6"/>
        <v>0</v>
      </c>
      <c r="S84" s="3" t="b">
        <f t="shared" si="7"/>
        <v>0</v>
      </c>
      <c r="T84" s="3" t="b">
        <f t="shared" si="8"/>
        <v>0</v>
      </c>
      <c r="U84" s="3" t="b">
        <f t="shared" si="9"/>
        <v>1</v>
      </c>
      <c r="V84" s="3"/>
      <c r="W84" s="3" cm="1">
        <f t="array" ref="W84">IF(OR(J84="Brasil",N84="Brasil"),2*_xlfn.IFS(Q84=TRUE,6,R84=TRUE,4,AND(S84=TRUE,T84=FALSE),3,T84=TRUE,2,U84=TRUE,0),_xlfn.IFS(Q84=TRUE,6,R84=TRUE,4,AND(S84=TRUE,T84=FALSE),3,T84=TRUE,2,U84=TRUE,0))</f>
        <v>0</v>
      </c>
      <c r="X84" s="3"/>
      <c r="Y84" s="3"/>
    </row>
    <row r="85" spans="1:25" ht="14.25" customHeight="1" x14ac:dyDescent="0.3">
      <c r="A85" s="3">
        <f>'Tabela de Jogos'!A85</f>
        <v>83</v>
      </c>
      <c r="B85" s="3">
        <f>'Tabela de Jogos'!B85</f>
        <v>0</v>
      </c>
      <c r="C85" s="3">
        <f>'Tabela de Jogos'!C85</f>
        <v>0</v>
      </c>
      <c r="D85" s="3" t="str">
        <f>'Tabela de Jogos'!D85</f>
        <v>x</v>
      </c>
      <c r="E85" s="3">
        <f>'Tabela de Jogos'!E85</f>
        <v>0</v>
      </c>
      <c r="F85" s="3">
        <f>'Tabela de Jogos'!F85</f>
        <v>0</v>
      </c>
      <c r="G85" s="3" t="str">
        <f>'Tabela de Jogos'!G85</f>
        <v>-</v>
      </c>
      <c r="H85" s="3"/>
      <c r="I85" s="3">
        <f t="shared" ref="I85:J85" si="91">A85</f>
        <v>83</v>
      </c>
      <c r="J85" s="3">
        <f t="shared" si="91"/>
        <v>0</v>
      </c>
      <c r="K85" s="3"/>
      <c r="L85" s="3" t="str">
        <f t="shared" si="2"/>
        <v>x</v>
      </c>
      <c r="M85" s="3"/>
      <c r="N85" s="3">
        <f t="shared" si="3"/>
        <v>0</v>
      </c>
      <c r="O85" s="3" t="str">
        <f t="shared" si="4"/>
        <v>-</v>
      </c>
      <c r="P85" s="3"/>
      <c r="Q85" s="3" t="b">
        <f t="shared" si="5"/>
        <v>0</v>
      </c>
      <c r="R85" s="3" t="b">
        <f t="shared" si="6"/>
        <v>0</v>
      </c>
      <c r="S85" s="3" t="b">
        <f t="shared" si="7"/>
        <v>0</v>
      </c>
      <c r="T85" s="3" t="b">
        <f t="shared" si="8"/>
        <v>0</v>
      </c>
      <c r="U85" s="3" t="b">
        <f t="shared" si="9"/>
        <v>1</v>
      </c>
      <c r="V85" s="3"/>
      <c r="W85" s="3" cm="1">
        <f t="array" ref="W85">IF(OR(J85="Brasil",N85="Brasil"),2*_xlfn.IFS(Q85=TRUE,6,R85=TRUE,4,AND(S85=TRUE,T85=FALSE),3,T85=TRUE,2,U85=TRUE,0),_xlfn.IFS(Q85=TRUE,6,R85=TRUE,4,AND(S85=TRUE,T85=FALSE),3,T85=TRUE,2,U85=TRUE,0))</f>
        <v>0</v>
      </c>
      <c r="X85" s="3"/>
      <c r="Y85" s="3"/>
    </row>
    <row r="86" spans="1:25" ht="14.25" customHeight="1" x14ac:dyDescent="0.3">
      <c r="A86" s="3">
        <f>'Tabela de Jogos'!A86</f>
        <v>84</v>
      </c>
      <c r="B86" s="3">
        <f>'Tabela de Jogos'!B86</f>
        <v>0</v>
      </c>
      <c r="C86" s="3">
        <f>'Tabela de Jogos'!C86</f>
        <v>0</v>
      </c>
      <c r="D86" s="3" t="str">
        <f>'Tabela de Jogos'!D86</f>
        <v>x</v>
      </c>
      <c r="E86" s="3">
        <f>'Tabela de Jogos'!E86</f>
        <v>0</v>
      </c>
      <c r="F86" s="3">
        <f>'Tabela de Jogos'!F86</f>
        <v>0</v>
      </c>
      <c r="G86" s="3" t="str">
        <f>'Tabela de Jogos'!G86</f>
        <v>-</v>
      </c>
      <c r="H86" s="3"/>
      <c r="I86" s="3">
        <f t="shared" ref="I86:J86" si="92">A86</f>
        <v>84</v>
      </c>
      <c r="J86" s="3">
        <f t="shared" si="92"/>
        <v>0</v>
      </c>
      <c r="K86" s="3"/>
      <c r="L86" s="3" t="str">
        <f t="shared" si="2"/>
        <v>x</v>
      </c>
      <c r="M86" s="3"/>
      <c r="N86" s="3">
        <f t="shared" si="3"/>
        <v>0</v>
      </c>
      <c r="O86" s="3" t="str">
        <f t="shared" si="4"/>
        <v>-</v>
      </c>
      <c r="P86" s="3"/>
      <c r="Q86" s="3" t="b">
        <f t="shared" si="5"/>
        <v>0</v>
      </c>
      <c r="R86" s="3" t="b">
        <f t="shared" si="6"/>
        <v>0</v>
      </c>
      <c r="S86" s="3" t="b">
        <f t="shared" si="7"/>
        <v>0</v>
      </c>
      <c r="T86" s="3" t="b">
        <f t="shared" si="8"/>
        <v>0</v>
      </c>
      <c r="U86" s="3" t="b">
        <f t="shared" si="9"/>
        <v>1</v>
      </c>
      <c r="V86" s="3"/>
      <c r="W86" s="3" cm="1">
        <f t="array" ref="W86">IF(OR(J86="Brasil",N86="Brasil"),2*_xlfn.IFS(Q86=TRUE,6,R86=TRUE,4,AND(S86=TRUE,T86=FALSE),3,T86=TRUE,2,U86=TRUE,0),_xlfn.IFS(Q86=TRUE,6,R86=TRUE,4,AND(S86=TRUE,T86=FALSE),3,T86=TRUE,2,U86=TRUE,0))</f>
        <v>0</v>
      </c>
      <c r="X86" s="3"/>
      <c r="Y86" s="3"/>
    </row>
    <row r="87" spans="1:25" ht="14.25" customHeight="1" x14ac:dyDescent="0.3">
      <c r="A87" s="3">
        <f>'Tabela de Jogos'!A87</f>
        <v>85</v>
      </c>
      <c r="B87" s="3">
        <f>'Tabela de Jogos'!B87</f>
        <v>0</v>
      </c>
      <c r="C87" s="3">
        <f>'Tabela de Jogos'!C87</f>
        <v>0</v>
      </c>
      <c r="D87" s="3" t="str">
        <f>'Tabela de Jogos'!D87</f>
        <v>x</v>
      </c>
      <c r="E87" s="3">
        <f>'Tabela de Jogos'!E87</f>
        <v>0</v>
      </c>
      <c r="F87" s="3">
        <f>'Tabela de Jogos'!F87</f>
        <v>0</v>
      </c>
      <c r="G87" s="3" t="str">
        <f>'Tabela de Jogos'!G87</f>
        <v>-</v>
      </c>
      <c r="H87" s="3"/>
      <c r="I87" s="3">
        <f t="shared" ref="I87:J87" si="93">A87</f>
        <v>85</v>
      </c>
      <c r="J87" s="3">
        <f t="shared" si="93"/>
        <v>0</v>
      </c>
      <c r="K87" s="3"/>
      <c r="L87" s="3" t="str">
        <f t="shared" si="2"/>
        <v>x</v>
      </c>
      <c r="M87" s="3"/>
      <c r="N87" s="3">
        <f t="shared" si="3"/>
        <v>0</v>
      </c>
      <c r="O87" s="3" t="str">
        <f t="shared" si="4"/>
        <v>-</v>
      </c>
      <c r="P87" s="3"/>
      <c r="Q87" s="3" t="b">
        <f t="shared" si="5"/>
        <v>0</v>
      </c>
      <c r="R87" s="3" t="b">
        <f t="shared" si="6"/>
        <v>0</v>
      </c>
      <c r="S87" s="3" t="b">
        <f t="shared" si="7"/>
        <v>0</v>
      </c>
      <c r="T87" s="3" t="b">
        <f t="shared" si="8"/>
        <v>0</v>
      </c>
      <c r="U87" s="3" t="b">
        <f t="shared" si="9"/>
        <v>1</v>
      </c>
      <c r="V87" s="3"/>
      <c r="W87" s="3" cm="1">
        <f t="array" ref="W87">IF(OR(J87="Brasil",N87="Brasil"),2*_xlfn.IFS(Q87=TRUE,6,R87=TRUE,4,AND(S87=TRUE,T87=FALSE),3,T87=TRUE,2,U87=TRUE,0),_xlfn.IFS(Q87=TRUE,6,R87=TRUE,4,AND(S87=TRUE,T87=FALSE),3,T87=TRUE,2,U87=TRUE,0))</f>
        <v>0</v>
      </c>
      <c r="X87" s="3"/>
      <c r="Y87" s="3"/>
    </row>
    <row r="88" spans="1:25" ht="14.25" customHeight="1" x14ac:dyDescent="0.3">
      <c r="A88" s="3">
        <f>'Tabela de Jogos'!A88</f>
        <v>86</v>
      </c>
      <c r="B88" s="3">
        <f>'Tabela de Jogos'!B88</f>
        <v>0</v>
      </c>
      <c r="C88" s="3">
        <f>'Tabela de Jogos'!C88</f>
        <v>0</v>
      </c>
      <c r="D88" s="3" t="str">
        <f>'Tabela de Jogos'!D88</f>
        <v>x</v>
      </c>
      <c r="E88" s="3">
        <f>'Tabela de Jogos'!E88</f>
        <v>0</v>
      </c>
      <c r="F88" s="3">
        <f>'Tabela de Jogos'!F88</f>
        <v>0</v>
      </c>
      <c r="G88" s="3" t="str">
        <f>'Tabela de Jogos'!G88</f>
        <v>-</v>
      </c>
      <c r="H88" s="3"/>
      <c r="I88" s="3">
        <f t="shared" ref="I88:J88" si="94">A88</f>
        <v>86</v>
      </c>
      <c r="J88" s="3">
        <f t="shared" si="94"/>
        <v>0</v>
      </c>
      <c r="K88" s="3"/>
      <c r="L88" s="3" t="str">
        <f t="shared" si="2"/>
        <v>x</v>
      </c>
      <c r="M88" s="3"/>
      <c r="N88" s="3">
        <f t="shared" si="3"/>
        <v>0</v>
      </c>
      <c r="O88" s="3" t="str">
        <f t="shared" si="4"/>
        <v>-</v>
      </c>
      <c r="P88" s="3"/>
      <c r="Q88" s="3" t="b">
        <f t="shared" si="5"/>
        <v>0</v>
      </c>
      <c r="R88" s="3" t="b">
        <f t="shared" si="6"/>
        <v>0</v>
      </c>
      <c r="S88" s="3" t="b">
        <f t="shared" si="7"/>
        <v>0</v>
      </c>
      <c r="T88" s="3" t="b">
        <f t="shared" si="8"/>
        <v>0</v>
      </c>
      <c r="U88" s="3" t="b">
        <f t="shared" si="9"/>
        <v>1</v>
      </c>
      <c r="V88" s="3"/>
      <c r="W88" s="3" cm="1">
        <f t="array" ref="W88">IF(OR(J88="Brasil",N88="Brasil"),2*_xlfn.IFS(Q88=TRUE,6,R88=TRUE,4,AND(S88=TRUE,T88=FALSE),3,T88=TRUE,2,U88=TRUE,0),_xlfn.IFS(Q88=TRUE,6,R88=TRUE,4,AND(S88=TRUE,T88=FALSE),3,T88=TRUE,2,U88=TRUE,0))</f>
        <v>0</v>
      </c>
      <c r="X88" s="3"/>
      <c r="Y88" s="3"/>
    </row>
    <row r="89" spans="1:25" ht="14.25" customHeight="1" x14ac:dyDescent="0.3">
      <c r="A89" s="3">
        <f>'Tabela de Jogos'!A89</f>
        <v>87</v>
      </c>
      <c r="B89" s="3">
        <f>'Tabela de Jogos'!B89</f>
        <v>0</v>
      </c>
      <c r="C89" s="3">
        <f>'Tabela de Jogos'!C89</f>
        <v>0</v>
      </c>
      <c r="D89" s="3" t="str">
        <f>'Tabela de Jogos'!D89</f>
        <v>x</v>
      </c>
      <c r="E89" s="3">
        <f>'Tabela de Jogos'!E89</f>
        <v>0</v>
      </c>
      <c r="F89" s="3">
        <f>'Tabela de Jogos'!F89</f>
        <v>0</v>
      </c>
      <c r="G89" s="3" t="str">
        <f>'Tabela de Jogos'!G89</f>
        <v>-</v>
      </c>
      <c r="H89" s="3"/>
      <c r="I89" s="3">
        <f t="shared" ref="I89:J89" si="95">A89</f>
        <v>87</v>
      </c>
      <c r="J89" s="3">
        <f t="shared" si="95"/>
        <v>0</v>
      </c>
      <c r="K89" s="3"/>
      <c r="L89" s="3" t="str">
        <f t="shared" si="2"/>
        <v>x</v>
      </c>
      <c r="M89" s="3"/>
      <c r="N89" s="3">
        <f t="shared" si="3"/>
        <v>0</v>
      </c>
      <c r="O89" s="3" t="str">
        <f t="shared" si="4"/>
        <v>-</v>
      </c>
      <c r="P89" s="3"/>
      <c r="Q89" s="3" t="b">
        <f t="shared" si="5"/>
        <v>0</v>
      </c>
      <c r="R89" s="3" t="b">
        <f t="shared" si="6"/>
        <v>0</v>
      </c>
      <c r="S89" s="3" t="b">
        <f t="shared" si="7"/>
        <v>0</v>
      </c>
      <c r="T89" s="3" t="b">
        <f t="shared" si="8"/>
        <v>0</v>
      </c>
      <c r="U89" s="3" t="b">
        <f t="shared" si="9"/>
        <v>1</v>
      </c>
      <c r="V89" s="3"/>
      <c r="W89" s="3" cm="1">
        <f t="array" ref="W89">IF(OR(J89="Brasil",N89="Brasil"),2*_xlfn.IFS(Q89=TRUE,6,R89=TRUE,4,AND(S89=TRUE,T89=FALSE),3,T89=TRUE,2,U89=TRUE,0),_xlfn.IFS(Q89=TRUE,6,R89=TRUE,4,AND(S89=TRUE,T89=FALSE),3,T89=TRUE,2,U89=TRUE,0))</f>
        <v>0</v>
      </c>
      <c r="X89" s="3"/>
      <c r="Y89" s="3"/>
    </row>
    <row r="90" spans="1:25" ht="14.25" customHeight="1" x14ac:dyDescent="0.3">
      <c r="A90" s="3">
        <f>'Tabela de Jogos'!A90</f>
        <v>88</v>
      </c>
      <c r="B90" s="3">
        <f>'Tabela de Jogos'!B90</f>
        <v>0</v>
      </c>
      <c r="C90" s="3">
        <f>'Tabela de Jogos'!C90</f>
        <v>0</v>
      </c>
      <c r="D90" s="3" t="str">
        <f>'Tabela de Jogos'!D90</f>
        <v>x</v>
      </c>
      <c r="E90" s="3">
        <f>'Tabela de Jogos'!E90</f>
        <v>0</v>
      </c>
      <c r="F90" s="3">
        <f>'Tabela de Jogos'!F90</f>
        <v>0</v>
      </c>
      <c r="G90" s="3" t="str">
        <f>'Tabela de Jogos'!G90</f>
        <v>-</v>
      </c>
      <c r="H90" s="3"/>
      <c r="I90" s="3">
        <f t="shared" ref="I90:J90" si="96">A90</f>
        <v>88</v>
      </c>
      <c r="J90" s="3">
        <f t="shared" si="96"/>
        <v>0</v>
      </c>
      <c r="K90" s="3"/>
      <c r="L90" s="3" t="str">
        <f t="shared" si="2"/>
        <v>x</v>
      </c>
      <c r="M90" s="3"/>
      <c r="N90" s="3">
        <f t="shared" si="3"/>
        <v>0</v>
      </c>
      <c r="O90" s="3" t="str">
        <f t="shared" si="4"/>
        <v>-</v>
      </c>
      <c r="P90" s="3"/>
      <c r="Q90" s="3" t="b">
        <f t="shared" si="5"/>
        <v>0</v>
      </c>
      <c r="R90" s="3" t="b">
        <f t="shared" si="6"/>
        <v>0</v>
      </c>
      <c r="S90" s="3" t="b">
        <f t="shared" si="7"/>
        <v>0</v>
      </c>
      <c r="T90" s="3" t="b">
        <f t="shared" si="8"/>
        <v>0</v>
      </c>
      <c r="U90" s="3" t="b">
        <f t="shared" si="9"/>
        <v>1</v>
      </c>
      <c r="V90" s="3"/>
      <c r="W90" s="3" cm="1">
        <f t="array" ref="W90">IF(OR(J90="Brasil",N90="Brasil"),2*_xlfn.IFS(Q90=TRUE,6,R90=TRUE,4,AND(S90=TRUE,T90=FALSE),3,T90=TRUE,2,U90=TRUE,0),_xlfn.IFS(Q90=TRUE,6,R90=TRUE,4,AND(S90=TRUE,T90=FALSE),3,T90=TRUE,2,U90=TRUE,0))</f>
        <v>0</v>
      </c>
      <c r="X90" s="3"/>
      <c r="Y90" s="3"/>
    </row>
    <row r="91" spans="1:25" ht="14.25" customHeight="1" x14ac:dyDescent="0.3">
      <c r="A91" s="3">
        <f>'Tabela de Jogos'!A91</f>
        <v>89</v>
      </c>
      <c r="B91" s="3">
        <f>'Tabela de Jogos'!B91</f>
        <v>0</v>
      </c>
      <c r="C91" s="3">
        <f>'Tabela de Jogos'!C91</f>
        <v>0</v>
      </c>
      <c r="D91" s="3" t="str">
        <f>'Tabela de Jogos'!D91</f>
        <v>x</v>
      </c>
      <c r="E91" s="3">
        <f>'Tabela de Jogos'!E91</f>
        <v>0</v>
      </c>
      <c r="F91" s="3">
        <f>'Tabela de Jogos'!F91</f>
        <v>0</v>
      </c>
      <c r="G91" s="3" t="str">
        <f>'Tabela de Jogos'!G91</f>
        <v>-</v>
      </c>
      <c r="H91" s="3"/>
      <c r="I91" s="3">
        <f t="shared" ref="I91:J91" si="97">A91</f>
        <v>89</v>
      </c>
      <c r="J91" s="3">
        <f t="shared" si="97"/>
        <v>0</v>
      </c>
      <c r="K91" s="3"/>
      <c r="L91" s="3" t="str">
        <f t="shared" si="2"/>
        <v>x</v>
      </c>
      <c r="M91" s="3"/>
      <c r="N91" s="3">
        <f t="shared" si="3"/>
        <v>0</v>
      </c>
      <c r="O91" s="3" t="str">
        <f t="shared" si="4"/>
        <v>-</v>
      </c>
      <c r="P91" s="3"/>
      <c r="Q91" s="3" t="b">
        <f t="shared" si="5"/>
        <v>0</v>
      </c>
      <c r="R91" s="3" t="b">
        <f t="shared" si="6"/>
        <v>0</v>
      </c>
      <c r="S91" s="3" t="b">
        <f t="shared" si="7"/>
        <v>0</v>
      </c>
      <c r="T91" s="3" t="b">
        <f t="shared" si="8"/>
        <v>0</v>
      </c>
      <c r="U91" s="3" t="b">
        <f t="shared" si="9"/>
        <v>1</v>
      </c>
      <c r="V91" s="3"/>
      <c r="W91" s="3" cm="1">
        <f t="array" ref="W91">IF(OR(J91="Brasil",N91="Brasil"),2*_xlfn.IFS(Q91=TRUE,6,R91=TRUE,4,AND(S91=TRUE,T91=FALSE),3,T91=TRUE,2,U91=TRUE,0),_xlfn.IFS(Q91=TRUE,6,R91=TRUE,4,AND(S91=TRUE,T91=FALSE),3,T91=TRUE,2,U91=TRUE,0))</f>
        <v>0</v>
      </c>
      <c r="X91" s="3"/>
      <c r="Y91" s="3"/>
    </row>
    <row r="92" spans="1:25" ht="14.25" customHeight="1" x14ac:dyDescent="0.3">
      <c r="A92" s="3">
        <f>'Tabela de Jogos'!A92</f>
        <v>90</v>
      </c>
      <c r="B92" s="3">
        <f>'Tabela de Jogos'!B92</f>
        <v>0</v>
      </c>
      <c r="C92" s="3">
        <f>'Tabela de Jogos'!C92</f>
        <v>0</v>
      </c>
      <c r="D92" s="3" t="str">
        <f>'Tabela de Jogos'!D92</f>
        <v>x</v>
      </c>
      <c r="E92" s="3">
        <f>'Tabela de Jogos'!E92</f>
        <v>0</v>
      </c>
      <c r="F92" s="3">
        <f>'Tabela de Jogos'!F92</f>
        <v>0</v>
      </c>
      <c r="G92" s="3" t="str">
        <f>'Tabela de Jogos'!G92</f>
        <v>-</v>
      </c>
      <c r="H92" s="3"/>
      <c r="I92" s="3">
        <f t="shared" ref="I92:J92" si="98">A92</f>
        <v>90</v>
      </c>
      <c r="J92" s="3">
        <f t="shared" si="98"/>
        <v>0</v>
      </c>
      <c r="K92" s="3"/>
      <c r="L92" s="3" t="str">
        <f t="shared" si="2"/>
        <v>x</v>
      </c>
      <c r="M92" s="3"/>
      <c r="N92" s="3">
        <f t="shared" si="3"/>
        <v>0</v>
      </c>
      <c r="O92" s="3" t="str">
        <f t="shared" si="4"/>
        <v>-</v>
      </c>
      <c r="P92" s="3"/>
      <c r="Q92" s="3" t="b">
        <f t="shared" si="5"/>
        <v>0</v>
      </c>
      <c r="R92" s="3" t="b">
        <f t="shared" si="6"/>
        <v>0</v>
      </c>
      <c r="S92" s="3" t="b">
        <f t="shared" si="7"/>
        <v>0</v>
      </c>
      <c r="T92" s="3" t="b">
        <f t="shared" si="8"/>
        <v>0</v>
      </c>
      <c r="U92" s="3" t="b">
        <f t="shared" si="9"/>
        <v>1</v>
      </c>
      <c r="V92" s="3"/>
      <c r="W92" s="3" cm="1">
        <f t="array" ref="W92">IF(OR(J92="Brasil",N92="Brasil"),2*_xlfn.IFS(Q92=TRUE,6,R92=TRUE,4,AND(S92=TRUE,T92=FALSE),3,T92=TRUE,2,U92=TRUE,0),_xlfn.IFS(Q92=TRUE,6,R92=TRUE,4,AND(S92=TRUE,T92=FALSE),3,T92=TRUE,2,U92=TRUE,0))</f>
        <v>0</v>
      </c>
      <c r="X92" s="3"/>
      <c r="Y92" s="3"/>
    </row>
    <row r="93" spans="1:25" ht="14.25" customHeight="1" x14ac:dyDescent="0.3">
      <c r="A93" s="3">
        <f>'Tabela de Jogos'!A93</f>
        <v>91</v>
      </c>
      <c r="B93" s="3">
        <f>'Tabela de Jogos'!B93</f>
        <v>0</v>
      </c>
      <c r="C93" s="3">
        <f>'Tabela de Jogos'!C93</f>
        <v>0</v>
      </c>
      <c r="D93" s="3" t="str">
        <f>'Tabela de Jogos'!D93</f>
        <v>x</v>
      </c>
      <c r="E93" s="3">
        <f>'Tabela de Jogos'!E93</f>
        <v>0</v>
      </c>
      <c r="F93" s="3">
        <f>'Tabela de Jogos'!F93</f>
        <v>0</v>
      </c>
      <c r="G93" s="3" t="str">
        <f>'Tabela de Jogos'!G93</f>
        <v>-</v>
      </c>
      <c r="H93" s="3"/>
      <c r="I93" s="3">
        <f t="shared" ref="I93:J93" si="99">A93</f>
        <v>91</v>
      </c>
      <c r="J93" s="3">
        <f t="shared" si="99"/>
        <v>0</v>
      </c>
      <c r="K93" s="3"/>
      <c r="L93" s="3" t="str">
        <f t="shared" si="2"/>
        <v>x</v>
      </c>
      <c r="M93" s="3"/>
      <c r="N93" s="3">
        <f t="shared" si="3"/>
        <v>0</v>
      </c>
      <c r="O93" s="3" t="str">
        <f t="shared" si="4"/>
        <v>-</v>
      </c>
      <c r="P93" s="3"/>
      <c r="Q93" s="3" t="b">
        <f t="shared" si="5"/>
        <v>0</v>
      </c>
      <c r="R93" s="3" t="b">
        <f t="shared" si="6"/>
        <v>0</v>
      </c>
      <c r="S93" s="3" t="b">
        <f t="shared" si="7"/>
        <v>0</v>
      </c>
      <c r="T93" s="3" t="b">
        <f t="shared" si="8"/>
        <v>0</v>
      </c>
      <c r="U93" s="3" t="b">
        <f t="shared" si="9"/>
        <v>1</v>
      </c>
      <c r="V93" s="3"/>
      <c r="W93" s="3" cm="1">
        <f t="array" ref="W93">IF(OR(J93="Brasil",N93="Brasil"),2*_xlfn.IFS(Q93=TRUE,6,R93=TRUE,4,AND(S93=TRUE,T93=FALSE),3,T93=TRUE,2,U93=TRUE,0),_xlfn.IFS(Q93=TRUE,6,R93=TRUE,4,AND(S93=TRUE,T93=FALSE),3,T93=TRUE,2,U93=TRUE,0))</f>
        <v>0</v>
      </c>
      <c r="X93" s="3"/>
      <c r="Y93" s="3"/>
    </row>
    <row r="94" spans="1:25" ht="14.25" customHeight="1" x14ac:dyDescent="0.3">
      <c r="A94" s="3">
        <f>'Tabela de Jogos'!A94</f>
        <v>92</v>
      </c>
      <c r="B94" s="3">
        <f>'Tabela de Jogos'!B94</f>
        <v>0</v>
      </c>
      <c r="C94" s="3">
        <f>'Tabela de Jogos'!C94</f>
        <v>0</v>
      </c>
      <c r="D94" s="3" t="str">
        <f>'Tabela de Jogos'!D94</f>
        <v>x</v>
      </c>
      <c r="E94" s="3">
        <f>'Tabela de Jogos'!E94</f>
        <v>0</v>
      </c>
      <c r="F94" s="3">
        <f>'Tabela de Jogos'!F94</f>
        <v>0</v>
      </c>
      <c r="G94" s="3" t="str">
        <f>'Tabela de Jogos'!G94</f>
        <v>-</v>
      </c>
      <c r="H94" s="3"/>
      <c r="I94" s="3">
        <f t="shared" ref="I94:J94" si="100">A94</f>
        <v>92</v>
      </c>
      <c r="J94" s="3">
        <f t="shared" si="100"/>
        <v>0</v>
      </c>
      <c r="K94" s="3"/>
      <c r="L94" s="3" t="str">
        <f t="shared" si="2"/>
        <v>x</v>
      </c>
      <c r="M94" s="3"/>
      <c r="N94" s="3">
        <f t="shared" si="3"/>
        <v>0</v>
      </c>
      <c r="O94" s="3" t="str">
        <f t="shared" si="4"/>
        <v>-</v>
      </c>
      <c r="P94" s="3"/>
      <c r="Q94" s="3" t="b">
        <f t="shared" si="5"/>
        <v>0</v>
      </c>
      <c r="R94" s="3" t="b">
        <f t="shared" si="6"/>
        <v>0</v>
      </c>
      <c r="S94" s="3" t="b">
        <f t="shared" si="7"/>
        <v>0</v>
      </c>
      <c r="T94" s="3" t="b">
        <f t="shared" si="8"/>
        <v>0</v>
      </c>
      <c r="U94" s="3" t="b">
        <f t="shared" si="9"/>
        <v>1</v>
      </c>
      <c r="V94" s="3"/>
      <c r="W94" s="3" cm="1">
        <f t="array" ref="W94">IF(OR(J94="Brasil",N94="Brasil"),2*_xlfn.IFS(Q94=TRUE,6,R94=TRUE,4,AND(S94=TRUE,T94=FALSE),3,T94=TRUE,2,U94=TRUE,0),_xlfn.IFS(Q94=TRUE,6,R94=TRUE,4,AND(S94=TRUE,T94=FALSE),3,T94=TRUE,2,U94=TRUE,0))</f>
        <v>0</v>
      </c>
      <c r="X94" s="3"/>
      <c r="Y94" s="3"/>
    </row>
    <row r="95" spans="1:25" ht="14.25" customHeight="1" x14ac:dyDescent="0.3">
      <c r="A95" s="3">
        <f>'Tabela de Jogos'!A95</f>
        <v>93</v>
      </c>
      <c r="B95" s="3">
        <f>'Tabela de Jogos'!B95</f>
        <v>0</v>
      </c>
      <c r="C95" s="3">
        <f>'Tabela de Jogos'!C95</f>
        <v>0</v>
      </c>
      <c r="D95" s="3" t="str">
        <f>'Tabela de Jogos'!D95</f>
        <v>x</v>
      </c>
      <c r="E95" s="3">
        <f>'Tabela de Jogos'!E95</f>
        <v>0</v>
      </c>
      <c r="F95" s="3">
        <f>'Tabela de Jogos'!F95</f>
        <v>0</v>
      </c>
      <c r="G95" s="3" t="str">
        <f>'Tabela de Jogos'!G95</f>
        <v>-</v>
      </c>
      <c r="H95" s="3"/>
      <c r="I95" s="3">
        <f t="shared" ref="I95:J95" si="101">A95</f>
        <v>93</v>
      </c>
      <c r="J95" s="3">
        <f t="shared" si="101"/>
        <v>0</v>
      </c>
      <c r="K95" s="3"/>
      <c r="L95" s="3" t="str">
        <f t="shared" si="2"/>
        <v>x</v>
      </c>
      <c r="M95" s="3"/>
      <c r="N95" s="3">
        <f t="shared" si="3"/>
        <v>0</v>
      </c>
      <c r="O95" s="3" t="str">
        <f t="shared" si="4"/>
        <v>-</v>
      </c>
      <c r="P95" s="3"/>
      <c r="Q95" s="3" t="b">
        <f t="shared" si="5"/>
        <v>0</v>
      </c>
      <c r="R95" s="3" t="b">
        <f t="shared" si="6"/>
        <v>0</v>
      </c>
      <c r="S95" s="3" t="b">
        <f t="shared" si="7"/>
        <v>0</v>
      </c>
      <c r="T95" s="3" t="b">
        <f t="shared" si="8"/>
        <v>0</v>
      </c>
      <c r="U95" s="3" t="b">
        <f t="shared" si="9"/>
        <v>1</v>
      </c>
      <c r="V95" s="3"/>
      <c r="W95" s="3" cm="1">
        <f t="array" ref="W95">IF(OR(J95="Brasil",N95="Brasil"),2*_xlfn.IFS(Q95=TRUE,6,R95=TRUE,4,AND(S95=TRUE,T95=FALSE),3,T95=TRUE,2,U95=TRUE,0),_xlfn.IFS(Q95=TRUE,6,R95=TRUE,4,AND(S95=TRUE,T95=FALSE),3,T95=TRUE,2,U95=TRUE,0))</f>
        <v>0</v>
      </c>
      <c r="X95" s="3"/>
      <c r="Y95" s="3"/>
    </row>
    <row r="96" spans="1:25" ht="14.25" customHeight="1" x14ac:dyDescent="0.3">
      <c r="A96" s="3">
        <f>'Tabela de Jogos'!A96</f>
        <v>94</v>
      </c>
      <c r="B96" s="3">
        <f>'Tabela de Jogos'!B96</f>
        <v>0</v>
      </c>
      <c r="C96" s="3">
        <f>'Tabela de Jogos'!C96</f>
        <v>0</v>
      </c>
      <c r="D96" s="3" t="str">
        <f>'Tabela de Jogos'!D96</f>
        <v>x</v>
      </c>
      <c r="E96" s="3">
        <f>'Tabela de Jogos'!E96</f>
        <v>0</v>
      </c>
      <c r="F96" s="3">
        <f>'Tabela de Jogos'!F96</f>
        <v>0</v>
      </c>
      <c r="G96" s="3" t="str">
        <f>'Tabela de Jogos'!G96</f>
        <v>-</v>
      </c>
      <c r="H96" s="3"/>
      <c r="I96" s="3">
        <f t="shared" ref="I96:J96" si="102">A96</f>
        <v>94</v>
      </c>
      <c r="J96" s="3">
        <f t="shared" si="102"/>
        <v>0</v>
      </c>
      <c r="K96" s="3"/>
      <c r="L96" s="3" t="str">
        <f t="shared" si="2"/>
        <v>x</v>
      </c>
      <c r="M96" s="3"/>
      <c r="N96" s="3">
        <f t="shared" si="3"/>
        <v>0</v>
      </c>
      <c r="O96" s="3" t="str">
        <f t="shared" si="4"/>
        <v>-</v>
      </c>
      <c r="P96" s="3"/>
      <c r="Q96" s="3" t="b">
        <f t="shared" si="5"/>
        <v>0</v>
      </c>
      <c r="R96" s="3" t="b">
        <f t="shared" si="6"/>
        <v>0</v>
      </c>
      <c r="S96" s="3" t="b">
        <f t="shared" si="7"/>
        <v>0</v>
      </c>
      <c r="T96" s="3" t="b">
        <f t="shared" si="8"/>
        <v>0</v>
      </c>
      <c r="U96" s="3" t="b">
        <f t="shared" si="9"/>
        <v>1</v>
      </c>
      <c r="V96" s="3"/>
      <c r="W96" s="3" cm="1">
        <f t="array" ref="W96">IF(OR(J96="Brasil",N96="Brasil"),2*_xlfn.IFS(Q96=TRUE,6,R96=TRUE,4,AND(S96=TRUE,T96=FALSE),3,T96=TRUE,2,U96=TRUE,0),_xlfn.IFS(Q96=TRUE,6,R96=TRUE,4,AND(S96=TRUE,T96=FALSE),3,T96=TRUE,2,U96=TRUE,0))</f>
        <v>0</v>
      </c>
      <c r="X96" s="3"/>
      <c r="Y96" s="3"/>
    </row>
    <row r="97" spans="1:25" ht="14.25" customHeight="1" x14ac:dyDescent="0.3">
      <c r="A97" s="3">
        <f>'Tabela de Jogos'!A97</f>
        <v>95</v>
      </c>
      <c r="B97" s="3">
        <f>'Tabela de Jogos'!B97</f>
        <v>0</v>
      </c>
      <c r="C97" s="3">
        <f>'Tabela de Jogos'!C97</f>
        <v>0</v>
      </c>
      <c r="D97" s="3" t="str">
        <f>'Tabela de Jogos'!D97</f>
        <v>x</v>
      </c>
      <c r="E97" s="3">
        <f>'Tabela de Jogos'!E97</f>
        <v>0</v>
      </c>
      <c r="F97" s="3">
        <f>'Tabela de Jogos'!F97</f>
        <v>0</v>
      </c>
      <c r="G97" s="3" t="str">
        <f>'Tabela de Jogos'!G97</f>
        <v>-</v>
      </c>
      <c r="H97" s="3"/>
      <c r="I97" s="3">
        <f t="shared" ref="I97:J97" si="103">A97</f>
        <v>95</v>
      </c>
      <c r="J97" s="3">
        <f t="shared" si="103"/>
        <v>0</v>
      </c>
      <c r="K97" s="3"/>
      <c r="L97" s="3" t="str">
        <f t="shared" si="2"/>
        <v>x</v>
      </c>
      <c r="M97" s="3"/>
      <c r="N97" s="3">
        <f t="shared" si="3"/>
        <v>0</v>
      </c>
      <c r="O97" s="3" t="str">
        <f t="shared" si="4"/>
        <v>-</v>
      </c>
      <c r="P97" s="3"/>
      <c r="Q97" s="3" t="b">
        <f t="shared" si="5"/>
        <v>0</v>
      </c>
      <c r="R97" s="3" t="b">
        <f t="shared" si="6"/>
        <v>0</v>
      </c>
      <c r="S97" s="3" t="b">
        <f t="shared" si="7"/>
        <v>0</v>
      </c>
      <c r="T97" s="3" t="b">
        <f t="shared" si="8"/>
        <v>0</v>
      </c>
      <c r="U97" s="3" t="b">
        <f t="shared" si="9"/>
        <v>1</v>
      </c>
      <c r="V97" s="3"/>
      <c r="W97" s="3" cm="1">
        <f t="array" ref="W97">IF(OR(J97="Brasil",N97="Brasil"),2*_xlfn.IFS(Q97=TRUE,6,R97=TRUE,4,AND(S97=TRUE,T97=FALSE),3,T97=TRUE,2,U97=TRUE,0),_xlfn.IFS(Q97=TRUE,6,R97=TRUE,4,AND(S97=TRUE,T97=FALSE),3,T97=TRUE,2,U97=TRUE,0))</f>
        <v>0</v>
      </c>
      <c r="X97" s="3"/>
      <c r="Y97" s="3"/>
    </row>
    <row r="98" spans="1:25" ht="14.25" customHeight="1" x14ac:dyDescent="0.3">
      <c r="A98" s="3">
        <f>'Tabela de Jogos'!A98</f>
        <v>96</v>
      </c>
      <c r="B98" s="3">
        <f>'Tabela de Jogos'!B98</f>
        <v>0</v>
      </c>
      <c r="C98" s="3">
        <f>'Tabela de Jogos'!C98</f>
        <v>0</v>
      </c>
      <c r="D98" s="3" t="str">
        <f>'Tabela de Jogos'!D98</f>
        <v>x</v>
      </c>
      <c r="E98" s="3">
        <f>'Tabela de Jogos'!E98</f>
        <v>0</v>
      </c>
      <c r="F98" s="3">
        <f>'Tabela de Jogos'!F98</f>
        <v>0</v>
      </c>
      <c r="G98" s="3" t="str">
        <f>'Tabela de Jogos'!G98</f>
        <v>-</v>
      </c>
      <c r="H98" s="3"/>
      <c r="I98" s="3">
        <f t="shared" ref="I98:J98" si="104">A98</f>
        <v>96</v>
      </c>
      <c r="J98" s="3">
        <f t="shared" si="104"/>
        <v>0</v>
      </c>
      <c r="K98" s="3"/>
      <c r="L98" s="3" t="str">
        <f t="shared" si="2"/>
        <v>x</v>
      </c>
      <c r="M98" s="3"/>
      <c r="N98" s="3">
        <f t="shared" si="3"/>
        <v>0</v>
      </c>
      <c r="O98" s="3" t="str">
        <f t="shared" si="4"/>
        <v>-</v>
      </c>
      <c r="P98" s="3"/>
      <c r="Q98" s="3" t="b">
        <f t="shared" si="5"/>
        <v>0</v>
      </c>
      <c r="R98" s="3" t="b">
        <f t="shared" si="6"/>
        <v>0</v>
      </c>
      <c r="S98" s="3" t="b">
        <f t="shared" si="7"/>
        <v>0</v>
      </c>
      <c r="T98" s="3" t="b">
        <f t="shared" si="8"/>
        <v>0</v>
      </c>
      <c r="U98" s="3" t="b">
        <f t="shared" si="9"/>
        <v>1</v>
      </c>
      <c r="V98" s="3"/>
      <c r="W98" s="3" cm="1">
        <f t="array" ref="W98">IF(OR(J98="Brasil",N98="Brasil"),2*_xlfn.IFS(Q98=TRUE,6,R98=TRUE,4,AND(S98=TRUE,T98=FALSE),3,T98=TRUE,2,U98=TRUE,0),_xlfn.IFS(Q98=TRUE,6,R98=TRUE,4,AND(S98=TRUE,T98=FALSE),3,T98=TRUE,2,U98=TRUE,0))</f>
        <v>0</v>
      </c>
      <c r="X98" s="3"/>
      <c r="Y98" s="3"/>
    </row>
    <row r="99" spans="1:25" ht="14.25" customHeight="1" x14ac:dyDescent="0.3">
      <c r="A99" s="3">
        <f>'Tabela de Jogos'!A99</f>
        <v>97</v>
      </c>
      <c r="B99" s="3">
        <f>'Tabela de Jogos'!B99</f>
        <v>0</v>
      </c>
      <c r="C99" s="3">
        <f>'Tabela de Jogos'!C99</f>
        <v>0</v>
      </c>
      <c r="D99" s="3" t="str">
        <f>'Tabela de Jogos'!D99</f>
        <v>x</v>
      </c>
      <c r="E99" s="3">
        <f>'Tabela de Jogos'!E99</f>
        <v>0</v>
      </c>
      <c r="F99" s="3">
        <f>'Tabela de Jogos'!F99</f>
        <v>0</v>
      </c>
      <c r="G99" s="3" t="str">
        <f>'Tabela de Jogos'!G99</f>
        <v>-</v>
      </c>
      <c r="H99" s="3"/>
      <c r="I99" s="3">
        <f t="shared" ref="I99:J99" si="105">A99</f>
        <v>97</v>
      </c>
      <c r="J99" s="3">
        <f t="shared" si="105"/>
        <v>0</v>
      </c>
      <c r="K99" s="3"/>
      <c r="L99" s="3" t="str">
        <f t="shared" si="2"/>
        <v>x</v>
      </c>
      <c r="M99" s="3"/>
      <c r="N99" s="3">
        <f t="shared" si="3"/>
        <v>0</v>
      </c>
      <c r="O99" s="3" t="str">
        <f t="shared" si="4"/>
        <v>-</v>
      </c>
      <c r="P99" s="3"/>
      <c r="Q99" s="3" t="b">
        <f t="shared" si="5"/>
        <v>0</v>
      </c>
      <c r="R99" s="3" t="b">
        <f t="shared" si="6"/>
        <v>0</v>
      </c>
      <c r="S99" s="3" t="b">
        <f t="shared" si="7"/>
        <v>0</v>
      </c>
      <c r="T99" s="3" t="b">
        <f t="shared" si="8"/>
        <v>0</v>
      </c>
      <c r="U99" s="3" t="b">
        <f t="shared" si="9"/>
        <v>1</v>
      </c>
      <c r="V99" s="3"/>
      <c r="W99" s="3" cm="1">
        <f t="array" ref="W99">IF(OR(J99="Brasil",N99="Brasil"),2*_xlfn.IFS(Q99=TRUE,6,R99=TRUE,4,AND(S99=TRUE,T99=FALSE),3,T99=TRUE,2,U99=TRUE,0),_xlfn.IFS(Q99=TRUE,6,R99=TRUE,4,AND(S99=TRUE,T99=FALSE),3,T99=TRUE,2,U99=TRUE,0))</f>
        <v>0</v>
      </c>
      <c r="X99" s="3"/>
      <c r="Y99" s="3"/>
    </row>
    <row r="100" spans="1:25" ht="14.25" customHeight="1" x14ac:dyDescent="0.3">
      <c r="A100" s="3">
        <f>'Tabela de Jogos'!A100</f>
        <v>98</v>
      </c>
      <c r="B100" s="3">
        <f>'Tabela de Jogos'!B100</f>
        <v>0</v>
      </c>
      <c r="C100" s="3">
        <f>'Tabela de Jogos'!C100</f>
        <v>0</v>
      </c>
      <c r="D100" s="3" t="str">
        <f>'Tabela de Jogos'!D100</f>
        <v>x</v>
      </c>
      <c r="E100" s="3">
        <f>'Tabela de Jogos'!E100</f>
        <v>0</v>
      </c>
      <c r="F100" s="3">
        <f>'Tabela de Jogos'!F100</f>
        <v>0</v>
      </c>
      <c r="G100" s="3" t="str">
        <f>'Tabela de Jogos'!G100</f>
        <v>-</v>
      </c>
      <c r="H100" s="3"/>
      <c r="I100" s="3">
        <f t="shared" ref="I100:J100" si="106">A100</f>
        <v>98</v>
      </c>
      <c r="J100" s="3">
        <f t="shared" si="106"/>
        <v>0</v>
      </c>
      <c r="K100" s="3"/>
      <c r="L100" s="3" t="str">
        <f t="shared" si="2"/>
        <v>x</v>
      </c>
      <c r="M100" s="3"/>
      <c r="N100" s="3">
        <f t="shared" si="3"/>
        <v>0</v>
      </c>
      <c r="O100" s="3" t="str">
        <f t="shared" si="4"/>
        <v>-</v>
      </c>
      <c r="P100" s="3"/>
      <c r="Q100" s="3" t="b">
        <f t="shared" si="5"/>
        <v>0</v>
      </c>
      <c r="R100" s="3" t="b">
        <f t="shared" si="6"/>
        <v>0</v>
      </c>
      <c r="S100" s="3" t="b">
        <f t="shared" si="7"/>
        <v>0</v>
      </c>
      <c r="T100" s="3" t="b">
        <f t="shared" si="8"/>
        <v>0</v>
      </c>
      <c r="U100" s="3" t="b">
        <f t="shared" si="9"/>
        <v>1</v>
      </c>
      <c r="V100" s="3"/>
      <c r="W100" s="3" cm="1">
        <f t="array" ref="W100">IF(OR(J100="Brasil",N100="Brasil"),2*_xlfn.IFS(Q100=TRUE,6,R100=TRUE,4,AND(S100=TRUE,T100=FALSE),3,T100=TRUE,2,U100=TRUE,0),_xlfn.IFS(Q100=TRUE,6,R100=TRUE,4,AND(S100=TRUE,T100=FALSE),3,T100=TRUE,2,U100=TRUE,0))</f>
        <v>0</v>
      </c>
      <c r="X100" s="3"/>
      <c r="Y100" s="3"/>
    </row>
    <row r="101" spans="1:25" ht="14.25" customHeight="1" x14ac:dyDescent="0.3">
      <c r="A101" s="3">
        <f>'Tabela de Jogos'!A101</f>
        <v>99</v>
      </c>
      <c r="B101" s="3">
        <f>'Tabela de Jogos'!B101</f>
        <v>0</v>
      </c>
      <c r="C101" s="3">
        <f>'Tabela de Jogos'!C101</f>
        <v>0</v>
      </c>
      <c r="D101" s="3" t="str">
        <f>'Tabela de Jogos'!D101</f>
        <v>x</v>
      </c>
      <c r="E101" s="3">
        <f>'Tabela de Jogos'!E101</f>
        <v>0</v>
      </c>
      <c r="F101" s="3">
        <f>'Tabela de Jogos'!F101</f>
        <v>0</v>
      </c>
      <c r="G101" s="3" t="str">
        <f>'Tabela de Jogos'!G101</f>
        <v>-</v>
      </c>
      <c r="H101" s="3"/>
      <c r="I101" s="3">
        <f t="shared" ref="I101:J101" si="107">A101</f>
        <v>99</v>
      </c>
      <c r="J101" s="3">
        <f t="shared" si="107"/>
        <v>0</v>
      </c>
      <c r="K101" s="3"/>
      <c r="L101" s="3" t="str">
        <f t="shared" si="2"/>
        <v>x</v>
      </c>
      <c r="M101" s="3"/>
      <c r="N101" s="3">
        <f t="shared" si="3"/>
        <v>0</v>
      </c>
      <c r="O101" s="3" t="str">
        <f t="shared" si="4"/>
        <v>-</v>
      </c>
      <c r="P101" s="3"/>
      <c r="Q101" s="3" t="b">
        <f t="shared" si="5"/>
        <v>0</v>
      </c>
      <c r="R101" s="3" t="b">
        <f t="shared" si="6"/>
        <v>0</v>
      </c>
      <c r="S101" s="3" t="b">
        <f t="shared" si="7"/>
        <v>0</v>
      </c>
      <c r="T101" s="3" t="b">
        <f t="shared" si="8"/>
        <v>0</v>
      </c>
      <c r="U101" s="3" t="b">
        <f t="shared" si="9"/>
        <v>1</v>
      </c>
      <c r="V101" s="3"/>
      <c r="W101" s="3" cm="1">
        <f t="array" ref="W101">IF(OR(J101="Brasil",N101="Brasil"),2*_xlfn.IFS(Q101=TRUE,6,R101=TRUE,4,AND(S101=TRUE,T101=FALSE),3,T101=TRUE,2,U101=TRUE,0),_xlfn.IFS(Q101=TRUE,6,R101=TRUE,4,AND(S101=TRUE,T101=FALSE),3,T101=TRUE,2,U101=TRUE,0))</f>
        <v>0</v>
      </c>
      <c r="X101" s="3"/>
      <c r="Y101" s="3"/>
    </row>
    <row r="102" spans="1:25" ht="14.25" customHeight="1" x14ac:dyDescent="0.3">
      <c r="A102" s="3">
        <f>'Tabela de Jogos'!A102</f>
        <v>100</v>
      </c>
      <c r="B102" s="3">
        <f>'Tabela de Jogos'!B102</f>
        <v>0</v>
      </c>
      <c r="C102" s="3">
        <f>'Tabela de Jogos'!C102</f>
        <v>0</v>
      </c>
      <c r="D102" s="3" t="str">
        <f>'Tabela de Jogos'!D102</f>
        <v>x</v>
      </c>
      <c r="E102" s="3">
        <f>'Tabela de Jogos'!E102</f>
        <v>0</v>
      </c>
      <c r="F102" s="3">
        <f>'Tabela de Jogos'!F102</f>
        <v>0</v>
      </c>
      <c r="G102" s="3" t="str">
        <f>'Tabela de Jogos'!G102</f>
        <v>-</v>
      </c>
      <c r="H102" s="3"/>
      <c r="I102" s="3">
        <f t="shared" ref="I102:J102" si="108">A102</f>
        <v>100</v>
      </c>
      <c r="J102" s="3">
        <f t="shared" si="108"/>
        <v>0</v>
      </c>
      <c r="K102" s="3"/>
      <c r="L102" s="3" t="str">
        <f t="shared" si="2"/>
        <v>x</v>
      </c>
      <c r="M102" s="3"/>
      <c r="N102" s="3">
        <f t="shared" si="3"/>
        <v>0</v>
      </c>
      <c r="O102" s="3" t="str">
        <f t="shared" si="4"/>
        <v>-</v>
      </c>
      <c r="P102" s="3"/>
      <c r="Q102" s="3" t="b">
        <f t="shared" si="5"/>
        <v>0</v>
      </c>
      <c r="R102" s="3" t="b">
        <f t="shared" si="6"/>
        <v>0</v>
      </c>
      <c r="S102" s="3" t="b">
        <f t="shared" si="7"/>
        <v>0</v>
      </c>
      <c r="T102" s="3" t="b">
        <f t="shared" si="8"/>
        <v>0</v>
      </c>
      <c r="U102" s="3" t="b">
        <f t="shared" si="9"/>
        <v>1</v>
      </c>
      <c r="V102" s="3"/>
      <c r="W102" s="3" cm="1">
        <f t="array" ref="W102">IF(OR(J102="Brasil",N102="Brasil"),2*_xlfn.IFS(Q102=TRUE,6,R102=TRUE,4,AND(S102=TRUE,T102=FALSE),3,T102=TRUE,2,U102=TRUE,0),_xlfn.IFS(Q102=TRUE,6,R102=TRUE,4,AND(S102=TRUE,T102=FALSE),3,T102=TRUE,2,U102=TRUE,0))</f>
        <v>0</v>
      </c>
      <c r="X102" s="3"/>
      <c r="Y102" s="3"/>
    </row>
    <row r="103" spans="1:25" ht="14.25" customHeight="1" x14ac:dyDescent="0.3">
      <c r="A103" s="3">
        <f>'Tabela de Jogos'!A103</f>
        <v>101</v>
      </c>
      <c r="B103" s="3">
        <f>'Tabela de Jogos'!B103</f>
        <v>0</v>
      </c>
      <c r="C103" s="3">
        <f>'Tabela de Jogos'!C103</f>
        <v>0</v>
      </c>
      <c r="D103" s="3" t="str">
        <f>'Tabela de Jogos'!D103</f>
        <v>x</v>
      </c>
      <c r="E103" s="3">
        <f>'Tabela de Jogos'!E103</f>
        <v>0</v>
      </c>
      <c r="F103" s="3">
        <f>'Tabela de Jogos'!F103</f>
        <v>0</v>
      </c>
      <c r="G103" s="3" t="str">
        <f>'Tabela de Jogos'!G103</f>
        <v>-</v>
      </c>
      <c r="H103" s="3"/>
      <c r="I103" s="3">
        <f t="shared" ref="I103:J103" si="109">A103</f>
        <v>101</v>
      </c>
      <c r="J103" s="3">
        <f t="shared" si="109"/>
        <v>0</v>
      </c>
      <c r="K103" s="3"/>
      <c r="L103" s="3" t="str">
        <f t="shared" si="2"/>
        <v>x</v>
      </c>
      <c r="M103" s="3"/>
      <c r="N103" s="3">
        <f t="shared" si="3"/>
        <v>0</v>
      </c>
      <c r="O103" s="3" t="str">
        <f t="shared" si="4"/>
        <v>-</v>
      </c>
      <c r="P103" s="3"/>
      <c r="Q103" s="3" t="b">
        <f t="shared" si="5"/>
        <v>0</v>
      </c>
      <c r="R103" s="3" t="b">
        <f t="shared" si="6"/>
        <v>0</v>
      </c>
      <c r="S103" s="3" t="b">
        <f t="shared" si="7"/>
        <v>0</v>
      </c>
      <c r="T103" s="3" t="b">
        <f t="shared" si="8"/>
        <v>0</v>
      </c>
      <c r="U103" s="3" t="b">
        <f t="shared" si="9"/>
        <v>1</v>
      </c>
      <c r="V103" s="3"/>
      <c r="W103" s="3" cm="1">
        <f t="array" ref="W103">IF(OR(J103="Brasil",N103="Brasil"),2*_xlfn.IFS(Q103=TRUE,6,R103=TRUE,4,AND(S103=TRUE,T103=FALSE),3,T103=TRUE,2,U103=TRUE,0),_xlfn.IFS(Q103=TRUE,6,R103=TRUE,4,AND(S103=TRUE,T103=FALSE),3,T103=TRUE,2,U103=TRUE,0))</f>
        <v>0</v>
      </c>
      <c r="X103" s="3"/>
      <c r="Y103" s="3"/>
    </row>
    <row r="104" spans="1:25" ht="14.25" customHeight="1" x14ac:dyDescent="0.3">
      <c r="A104" s="3">
        <f>'Tabela de Jogos'!A104</f>
        <v>102</v>
      </c>
      <c r="B104" s="3">
        <f>'Tabela de Jogos'!B104</f>
        <v>0</v>
      </c>
      <c r="C104" s="3">
        <f>'Tabela de Jogos'!C104</f>
        <v>0</v>
      </c>
      <c r="D104" s="3" t="str">
        <f>'Tabela de Jogos'!D104</f>
        <v>x</v>
      </c>
      <c r="E104" s="3">
        <f>'Tabela de Jogos'!E104</f>
        <v>0</v>
      </c>
      <c r="F104" s="3">
        <f>'Tabela de Jogos'!F104</f>
        <v>0</v>
      </c>
      <c r="G104" s="3" t="str">
        <f>'Tabela de Jogos'!G104</f>
        <v>-</v>
      </c>
      <c r="H104" s="3"/>
      <c r="I104" s="3">
        <f t="shared" ref="I104:J104" si="110">A104</f>
        <v>102</v>
      </c>
      <c r="J104" s="3">
        <f t="shared" si="110"/>
        <v>0</v>
      </c>
      <c r="K104" s="3"/>
      <c r="L104" s="3" t="str">
        <f t="shared" si="2"/>
        <v>x</v>
      </c>
      <c r="M104" s="3"/>
      <c r="N104" s="3">
        <f t="shared" si="3"/>
        <v>0</v>
      </c>
      <c r="O104" s="3" t="str">
        <f t="shared" si="4"/>
        <v>-</v>
      </c>
      <c r="P104" s="3"/>
      <c r="Q104" s="3" t="b">
        <f t="shared" si="5"/>
        <v>0</v>
      </c>
      <c r="R104" s="3" t="b">
        <f t="shared" si="6"/>
        <v>0</v>
      </c>
      <c r="S104" s="3" t="b">
        <f t="shared" si="7"/>
        <v>0</v>
      </c>
      <c r="T104" s="3" t="b">
        <f t="shared" si="8"/>
        <v>0</v>
      </c>
      <c r="U104" s="3" t="b">
        <f t="shared" si="9"/>
        <v>1</v>
      </c>
      <c r="V104" s="3"/>
      <c r="W104" s="3" cm="1">
        <f t="array" ref="W104">IF(OR(J104="Brasil",N104="Brasil"),2*_xlfn.IFS(Q104=TRUE,6,R104=TRUE,4,AND(S104=TRUE,T104=FALSE),3,T104=TRUE,2,U104=TRUE,0),_xlfn.IFS(Q104=TRUE,6,R104=TRUE,4,AND(S104=TRUE,T104=FALSE),3,T104=TRUE,2,U104=TRUE,0))</f>
        <v>0</v>
      </c>
      <c r="X104" s="3"/>
      <c r="Y104" s="3"/>
    </row>
    <row r="105" spans="1:25" ht="14.25" customHeight="1" x14ac:dyDescent="0.3">
      <c r="A105" s="3">
        <f>'Tabela de Jogos'!A105</f>
        <v>103</v>
      </c>
      <c r="B105" s="3">
        <f>'Tabela de Jogos'!B105</f>
        <v>0</v>
      </c>
      <c r="C105" s="3">
        <f>'Tabela de Jogos'!C105</f>
        <v>0</v>
      </c>
      <c r="D105" s="3" t="str">
        <f>'Tabela de Jogos'!D105</f>
        <v>x</v>
      </c>
      <c r="E105" s="3">
        <f>'Tabela de Jogos'!E105</f>
        <v>0</v>
      </c>
      <c r="F105" s="3">
        <f>'Tabela de Jogos'!F105</f>
        <v>0</v>
      </c>
      <c r="G105" s="3" t="str">
        <f>'Tabela de Jogos'!G105</f>
        <v>-</v>
      </c>
      <c r="H105" s="3"/>
      <c r="I105" s="3">
        <f t="shared" ref="I105:J105" si="111">A105</f>
        <v>103</v>
      </c>
      <c r="J105" s="3">
        <f t="shared" si="111"/>
        <v>0</v>
      </c>
      <c r="K105" s="3"/>
      <c r="L105" s="3" t="str">
        <f t="shared" si="2"/>
        <v>x</v>
      </c>
      <c r="M105" s="3"/>
      <c r="N105" s="3">
        <f t="shared" si="3"/>
        <v>0</v>
      </c>
      <c r="O105" s="3" t="str">
        <f t="shared" si="4"/>
        <v>-</v>
      </c>
      <c r="P105" s="3"/>
      <c r="Q105" s="3" t="b">
        <f t="shared" si="5"/>
        <v>0</v>
      </c>
      <c r="R105" s="3" t="b">
        <f t="shared" si="6"/>
        <v>0</v>
      </c>
      <c r="S105" s="3" t="b">
        <f t="shared" si="7"/>
        <v>0</v>
      </c>
      <c r="T105" s="3" t="b">
        <f t="shared" si="8"/>
        <v>0</v>
      </c>
      <c r="U105" s="3" t="b">
        <f t="shared" si="9"/>
        <v>1</v>
      </c>
      <c r="V105" s="3"/>
      <c r="W105" s="3" cm="1">
        <f t="array" ref="W105">IF(OR(J105="Brasil",N105="Brasil"),2*_xlfn.IFS(Q105=TRUE,6,R105=TRUE,4,AND(S105=TRUE,T105=FALSE),3,T105=TRUE,2,U105=TRUE,0),_xlfn.IFS(Q105=TRUE,6,R105=TRUE,4,AND(S105=TRUE,T105=FALSE),3,T105=TRUE,2,U105=TRUE,0))</f>
        <v>0</v>
      </c>
      <c r="X105" s="3"/>
      <c r="Y105" s="3"/>
    </row>
    <row r="106" spans="1:25" ht="14.25" customHeight="1" x14ac:dyDescent="0.3">
      <c r="A106" s="3">
        <f>'Tabela de Jogos'!A106</f>
        <v>104</v>
      </c>
      <c r="B106" s="3">
        <f>'Tabela de Jogos'!B106</f>
        <v>0</v>
      </c>
      <c r="C106" s="3">
        <f>'Tabela de Jogos'!C106</f>
        <v>0</v>
      </c>
      <c r="D106" s="3" t="str">
        <f>'Tabela de Jogos'!D106</f>
        <v>x</v>
      </c>
      <c r="E106" s="3">
        <f>'Tabela de Jogos'!E106</f>
        <v>0</v>
      </c>
      <c r="F106" s="3">
        <f>'Tabela de Jogos'!F106</f>
        <v>0</v>
      </c>
      <c r="G106" s="3" t="str">
        <f>'Tabela de Jogos'!G106</f>
        <v>-</v>
      </c>
      <c r="H106" s="3"/>
      <c r="I106" s="3">
        <f t="shared" ref="I106:J106" si="112">A106</f>
        <v>104</v>
      </c>
      <c r="J106" s="3">
        <f t="shared" si="112"/>
        <v>0</v>
      </c>
      <c r="K106" s="3"/>
      <c r="L106" s="3" t="str">
        <f t="shared" si="2"/>
        <v>x</v>
      </c>
      <c r="M106" s="3"/>
      <c r="N106" s="3">
        <f t="shared" si="3"/>
        <v>0</v>
      </c>
      <c r="O106" s="3" t="str">
        <f t="shared" si="4"/>
        <v>-</v>
      </c>
      <c r="P106" s="3"/>
      <c r="Q106" s="3" t="b">
        <f t="shared" si="5"/>
        <v>0</v>
      </c>
      <c r="R106" s="3" t="b">
        <f t="shared" si="6"/>
        <v>0</v>
      </c>
      <c r="S106" s="3" t="b">
        <f t="shared" si="7"/>
        <v>0</v>
      </c>
      <c r="T106" s="3" t="b">
        <f t="shared" si="8"/>
        <v>0</v>
      </c>
      <c r="U106" s="3" t="b">
        <f t="shared" si="9"/>
        <v>1</v>
      </c>
      <c r="V106" s="3"/>
      <c r="W106" s="3" cm="1">
        <f t="array" ref="W106">IF(OR(J106="Brasil",N106="Brasil"),2*_xlfn.IFS(Q106=TRUE,6,R106=TRUE,4,AND(S106=TRUE,T106=FALSE),3,T106=TRUE,2,U106=TRUE,0),_xlfn.IFS(Q106=TRUE,6,R106=TRUE,4,AND(S106=TRUE,T106=FALSE),3,T106=TRUE,2,U106=TRUE,0))</f>
        <v>0</v>
      </c>
      <c r="X106" s="3"/>
      <c r="Y106" s="3"/>
    </row>
  </sheetData>
  <mergeCells count="2">
    <mergeCell ref="A1:G1"/>
    <mergeCell ref="I1:O1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6"/>
  <sheetViews>
    <sheetView topLeftCell="I38" workbookViewId="0">
      <selection activeCell="M63" sqref="M63"/>
    </sheetView>
  </sheetViews>
  <sheetFormatPr defaultColWidth="12.6640625" defaultRowHeight="15" customHeight="1" x14ac:dyDescent="0.3"/>
  <cols>
    <col min="1" max="1" width="8.88671875" hidden="1" customWidth="1"/>
    <col min="2" max="2" width="14.109375" hidden="1" customWidth="1"/>
    <col min="3" max="5" width="8.88671875" hidden="1" customWidth="1"/>
    <col min="6" max="7" width="14.109375" hidden="1" customWidth="1"/>
    <col min="8" max="8" width="8.88671875" hidden="1" customWidth="1"/>
    <col min="9" max="9" width="8.88671875" customWidth="1"/>
    <col min="10" max="10" width="14.109375" customWidth="1"/>
    <col min="11" max="13" width="8.88671875" customWidth="1"/>
    <col min="14" max="14" width="14.109375" customWidth="1"/>
    <col min="15" max="15" width="14.33203125" customWidth="1"/>
    <col min="16" max="16" width="8.5546875" hidden="1" customWidth="1"/>
    <col min="17" max="21" width="11.6640625" hidden="1" customWidth="1"/>
    <col min="22" max="22" width="8.5546875" hidden="1" customWidth="1"/>
    <col min="23" max="23" width="8.88671875" customWidth="1"/>
    <col min="24" max="24" width="8" bestFit="1" customWidth="1"/>
    <col min="25" max="25" width="13.88671875" bestFit="1" customWidth="1"/>
    <col min="26" max="26" width="8.5546875" customWidth="1"/>
  </cols>
  <sheetData>
    <row r="1" spans="1:25" ht="14.25" customHeight="1" x14ac:dyDescent="0.3">
      <c r="A1" s="8" t="str">
        <f>'Tabela de Jogos'!A1</f>
        <v>Tabela de Jogos</v>
      </c>
      <c r="B1" s="9"/>
      <c r="C1" s="9"/>
      <c r="D1" s="9"/>
      <c r="E1" s="9"/>
      <c r="F1" s="9"/>
      <c r="G1" s="9"/>
      <c r="H1" s="3"/>
      <c r="I1" s="8" t="s">
        <v>68</v>
      </c>
      <c r="J1" s="9"/>
      <c r="K1" s="9"/>
      <c r="L1" s="9"/>
      <c r="M1" s="9"/>
      <c r="N1" s="9"/>
      <c r="O1" s="9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3" t="str">
        <f>'Tabela de Jogos'!A2</f>
        <v>Jogo</v>
      </c>
      <c r="B2" s="3" t="str">
        <f>'Tabela de Jogos'!B2</f>
        <v>Seleção A</v>
      </c>
      <c r="C2" s="3" t="str">
        <f>'Tabela de Jogos'!C2</f>
        <v>Gols A</v>
      </c>
      <c r="D2" s="3" t="str">
        <f>'Tabela de Jogos'!D2</f>
        <v>x</v>
      </c>
      <c r="E2" s="3" t="str">
        <f>'Tabela de Jogos'!E2</f>
        <v>Gols B</v>
      </c>
      <c r="F2" s="3" t="str">
        <f>'Tabela de Jogos'!F2</f>
        <v>Seleção B</v>
      </c>
      <c r="G2" s="3" t="str">
        <f>'Tabela de Jogos'!G2</f>
        <v>Vencedor</v>
      </c>
      <c r="H2" s="3"/>
      <c r="I2" s="3" t="str">
        <f t="shared" ref="I2:N2" si="0">A2</f>
        <v>Jogo</v>
      </c>
      <c r="J2" s="3" t="str">
        <f t="shared" si="0"/>
        <v>Seleção A</v>
      </c>
      <c r="K2" s="3" t="str">
        <f t="shared" si="0"/>
        <v>Gols A</v>
      </c>
      <c r="L2" s="3" t="str">
        <f t="shared" si="0"/>
        <v>x</v>
      </c>
      <c r="M2" s="3" t="str">
        <f t="shared" si="0"/>
        <v>Gols B</v>
      </c>
      <c r="N2" s="3" t="str">
        <f t="shared" si="0"/>
        <v>Seleção B</v>
      </c>
      <c r="O2" s="3" t="s">
        <v>7</v>
      </c>
      <c r="P2" s="3"/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 t="s">
        <v>57</v>
      </c>
      <c r="X2" s="3" t="s">
        <v>74</v>
      </c>
      <c r="Y2" s="3" t="s">
        <v>75</v>
      </c>
    </row>
    <row r="3" spans="1:25" ht="14.25" customHeight="1" x14ac:dyDescent="0.3">
      <c r="A3" s="3">
        <f>'Tabela de Jogos'!A3</f>
        <v>1</v>
      </c>
      <c r="B3" s="3" t="str">
        <f>'Tabela de Jogos'!B3</f>
        <v>México</v>
      </c>
      <c r="C3" s="3">
        <f>'Tabela de Jogos'!C3</f>
        <v>2</v>
      </c>
      <c r="D3" s="3" t="str">
        <f>'Tabela de Jogos'!D3</f>
        <v>x</v>
      </c>
      <c r="E3" s="3">
        <f>'Tabela de Jogos'!E3</f>
        <v>0</v>
      </c>
      <c r="F3" s="3" t="str">
        <f>'Tabela de Jogos'!F3</f>
        <v>África do Sul</v>
      </c>
      <c r="G3" s="3" t="str">
        <f>'Tabela de Jogos'!G3</f>
        <v>México</v>
      </c>
      <c r="H3" s="3"/>
      <c r="I3" s="3">
        <f t="shared" ref="I3:J3" si="1">A3</f>
        <v>1</v>
      </c>
      <c r="J3" s="3" t="str">
        <f t="shared" si="1"/>
        <v>México</v>
      </c>
      <c r="K3" s="3">
        <v>3</v>
      </c>
      <c r="L3" s="3" t="str">
        <f t="shared" ref="L3:L106" si="2">D3</f>
        <v>x</v>
      </c>
      <c r="M3" s="3">
        <v>2</v>
      </c>
      <c r="N3" s="3" t="str">
        <f t="shared" ref="N3:N106" si="3">F3</f>
        <v>África do Sul</v>
      </c>
      <c r="O3" s="3" t="str">
        <f t="shared" ref="O3:O106" si="4">IF(K3&gt;M3,J3,IF(M3&gt;K3,N3,IF(ISBLANK(K3),"-","Empate")))</f>
        <v>México</v>
      </c>
      <c r="P3" s="3"/>
      <c r="Q3" s="3" t="b">
        <f t="shared" ref="Q3:Q106" si="5">IF(AND(O3=G3,K3=C3,M3=E3,ISBLANK(K3)&lt;&gt;TRUE),TRUE,FALSE)</f>
        <v>0</v>
      </c>
      <c r="R3" s="3" t="b">
        <f t="shared" ref="R3:R106" si="6">IF(OR(AND(O3=G3,K3=C3,K3&gt;M3,M3&lt;&gt;E3,ISBLANK(K3)&lt;&gt;TRUE),AND(O3=G3,M3&gt;K3,K3&lt;&gt;C3,M3=E3,ISBLANK(K3)&lt;&gt;TRUE)),TRUE,FALSE)</f>
        <v>0</v>
      </c>
      <c r="S3" s="3" t="b">
        <f t="shared" ref="S3:S106" si="7">IF(AND(O3=G3,ABS(K3-M3)=ABS(C3-E3),OR(K3&lt;&gt;C3,M3&lt;&gt;E3),ISBLANK(K3)&lt;&gt;TRUE),TRUE,FALSE)</f>
        <v>0</v>
      </c>
      <c r="T3" s="3" t="b">
        <f t="shared" ref="T3:T106" si="8">IF(OR(AND(O3=G3,Q3=FALSE,R3=FALSE,S3=FALSE,G3&lt;&gt;"-"),AND(O3="Empate",S3=TRUE)),TRUE,FALSE)</f>
        <v>1</v>
      </c>
      <c r="U3" s="3" t="b">
        <f t="shared" ref="U3:U106" si="9">IF(AND(Q3=FALSE,R3=FALSE,S3=FALSE,T3=FALSE),TRUE,FALSE)</f>
        <v>0</v>
      </c>
      <c r="V3" s="3"/>
      <c r="W3" s="3" cm="1">
        <f t="array" ref="W3">IF(OR(J3="Brasil",N3="Brasil"),2*_xlfn.IFS(Q3=TRUE,6,R3=TRUE,4,AND(S3=TRUE,T3=FALSE),3,T3=TRUE,2,U3=TRUE,0),_xlfn.IFS(Q3=TRUE,6,R3=TRUE,4,AND(S3=TRUE,T3=FALSE),3,T3=TRUE,2,U3=TRUE,0))</f>
        <v>2</v>
      </c>
      <c r="X3" s="3">
        <f>SUM(W3:W106)</f>
        <v>105</v>
      </c>
      <c r="Y3" s="3">
        <f>COUNTIF(W3:W106,6)+COUNTIF(W3:W106,12)</f>
        <v>3</v>
      </c>
    </row>
    <row r="4" spans="1:25" ht="14.25" customHeight="1" x14ac:dyDescent="0.3">
      <c r="A4" s="3">
        <f>'Tabela de Jogos'!A4</f>
        <v>2</v>
      </c>
      <c r="B4" s="3" t="str">
        <f>'Tabela de Jogos'!B4</f>
        <v>Coreia do Sul</v>
      </c>
      <c r="C4" s="3">
        <f>'Tabela de Jogos'!C4</f>
        <v>2</v>
      </c>
      <c r="D4" s="3" t="str">
        <f>'Tabela de Jogos'!D4</f>
        <v>x</v>
      </c>
      <c r="E4" s="3">
        <f>'Tabela de Jogos'!E4</f>
        <v>1</v>
      </c>
      <c r="F4" s="3" t="str">
        <f>'Tabela de Jogos'!F4</f>
        <v>Tchéquia</v>
      </c>
      <c r="G4" s="3" t="str">
        <f>'Tabela de Jogos'!G4</f>
        <v>Coreia do Sul</v>
      </c>
      <c r="H4" s="3"/>
      <c r="I4" s="3">
        <f t="shared" ref="I4:J4" si="10">A4</f>
        <v>2</v>
      </c>
      <c r="J4" s="3" t="str">
        <f t="shared" si="10"/>
        <v>Coreia do Sul</v>
      </c>
      <c r="K4" s="3">
        <v>2</v>
      </c>
      <c r="L4" s="3" t="str">
        <f t="shared" si="2"/>
        <v>x</v>
      </c>
      <c r="M4" s="3">
        <v>0</v>
      </c>
      <c r="N4" s="3" t="str">
        <f t="shared" si="3"/>
        <v>Tchéquia</v>
      </c>
      <c r="O4" s="3" t="str">
        <f t="shared" si="4"/>
        <v>Coreia do Sul</v>
      </c>
      <c r="P4" s="3"/>
      <c r="Q4" s="3" t="b">
        <f t="shared" si="5"/>
        <v>0</v>
      </c>
      <c r="R4" s="3" t="b">
        <f t="shared" si="6"/>
        <v>1</v>
      </c>
      <c r="S4" s="3" t="b">
        <f t="shared" si="7"/>
        <v>0</v>
      </c>
      <c r="T4" s="3" t="b">
        <f t="shared" si="8"/>
        <v>0</v>
      </c>
      <c r="U4" s="3" t="b">
        <f t="shared" si="9"/>
        <v>0</v>
      </c>
      <c r="V4" s="3"/>
      <c r="W4" s="3" cm="1">
        <f t="array" ref="W4">IF(OR(J4="Brasil",N4="Brasil"),2*_xlfn.IFS(Q4=TRUE,6,R4=TRUE,4,AND(S4=TRUE,T4=FALSE),3,T4=TRUE,2,U4=TRUE,0),_xlfn.IFS(Q4=TRUE,6,R4=TRUE,4,AND(S4=TRUE,T4=FALSE),3,T4=TRUE,2,U4=TRUE,0))</f>
        <v>4</v>
      </c>
      <c r="X4" s="3"/>
      <c r="Y4" s="3"/>
    </row>
    <row r="5" spans="1:25" ht="14.25" customHeight="1" x14ac:dyDescent="0.3">
      <c r="A5" s="3">
        <f>'Tabela de Jogos'!A5</f>
        <v>3</v>
      </c>
      <c r="B5" s="3" t="str">
        <f>'Tabela de Jogos'!B5</f>
        <v>Canadá</v>
      </c>
      <c r="C5" s="3">
        <f>'Tabela de Jogos'!C5</f>
        <v>1</v>
      </c>
      <c r="D5" s="3" t="str">
        <f>'Tabela de Jogos'!D5</f>
        <v>x</v>
      </c>
      <c r="E5" s="3">
        <f>'Tabela de Jogos'!E5</f>
        <v>1</v>
      </c>
      <c r="F5" s="3" t="str">
        <f>'Tabela de Jogos'!F5</f>
        <v>Bósnia</v>
      </c>
      <c r="G5" s="3" t="str">
        <f>'Tabela de Jogos'!G5</f>
        <v>Empate</v>
      </c>
      <c r="H5" s="3"/>
      <c r="I5" s="3">
        <f t="shared" ref="I5:J5" si="11">A5</f>
        <v>3</v>
      </c>
      <c r="J5" s="3" t="str">
        <f t="shared" si="11"/>
        <v>Canadá</v>
      </c>
      <c r="K5" s="3">
        <v>2</v>
      </c>
      <c r="L5" s="3" t="str">
        <f t="shared" si="2"/>
        <v>x</v>
      </c>
      <c r="M5" s="3">
        <v>1</v>
      </c>
      <c r="N5" s="3" t="str">
        <f t="shared" si="3"/>
        <v>Bósnia</v>
      </c>
      <c r="O5" s="3" t="str">
        <f t="shared" si="4"/>
        <v>Canadá</v>
      </c>
      <c r="P5" s="3"/>
      <c r="Q5" s="3" t="b">
        <f t="shared" si="5"/>
        <v>0</v>
      </c>
      <c r="R5" s="3" t="b">
        <f t="shared" si="6"/>
        <v>0</v>
      </c>
      <c r="S5" s="3" t="b">
        <f t="shared" si="7"/>
        <v>0</v>
      </c>
      <c r="T5" s="3" t="b">
        <f t="shared" si="8"/>
        <v>0</v>
      </c>
      <c r="U5" s="3" t="b">
        <f t="shared" si="9"/>
        <v>1</v>
      </c>
      <c r="V5" s="3"/>
      <c r="W5" s="3" cm="1">
        <f t="array" ref="W5">IF(OR(J5="Brasil",N5="Brasil"),2*_xlfn.IFS(Q5=TRUE,6,R5=TRUE,4,AND(S5=TRUE,T5=FALSE),3,T5=TRUE,2,U5=TRUE,0),_xlfn.IFS(Q5=TRUE,6,R5=TRUE,4,AND(S5=TRUE,T5=FALSE),3,T5=TRUE,2,U5=TRUE,0))</f>
        <v>0</v>
      </c>
      <c r="X5" s="3"/>
      <c r="Y5" s="3"/>
    </row>
    <row r="6" spans="1:25" ht="14.25" customHeight="1" x14ac:dyDescent="0.3">
      <c r="A6" s="3">
        <f>'Tabela de Jogos'!A6</f>
        <v>4</v>
      </c>
      <c r="B6" s="3" t="str">
        <f>'Tabela de Jogos'!B6</f>
        <v>EUA</v>
      </c>
      <c r="C6" s="3">
        <f>'Tabela de Jogos'!C6</f>
        <v>4</v>
      </c>
      <c r="D6" s="3" t="str">
        <f>'Tabela de Jogos'!D6</f>
        <v>x</v>
      </c>
      <c r="E6" s="3">
        <f>'Tabela de Jogos'!E6</f>
        <v>1</v>
      </c>
      <c r="F6" s="3" t="str">
        <f>'Tabela de Jogos'!F6</f>
        <v>Paraguai</v>
      </c>
      <c r="G6" s="3" t="str">
        <f>'Tabela de Jogos'!G6</f>
        <v>EUA</v>
      </c>
      <c r="H6" s="3"/>
      <c r="I6" s="3">
        <f t="shared" ref="I6:J6" si="12">A6</f>
        <v>4</v>
      </c>
      <c r="J6" s="3" t="str">
        <f t="shared" si="12"/>
        <v>EUA</v>
      </c>
      <c r="K6" s="3">
        <v>0</v>
      </c>
      <c r="L6" s="3" t="str">
        <f t="shared" si="2"/>
        <v>x</v>
      </c>
      <c r="M6" s="3">
        <v>2</v>
      </c>
      <c r="N6" s="3" t="str">
        <f t="shared" si="3"/>
        <v>Paraguai</v>
      </c>
      <c r="O6" s="3" t="str">
        <f t="shared" si="4"/>
        <v>Paraguai</v>
      </c>
      <c r="P6" s="3"/>
      <c r="Q6" s="3" t="b">
        <f t="shared" si="5"/>
        <v>0</v>
      </c>
      <c r="R6" s="3" t="b">
        <f t="shared" si="6"/>
        <v>0</v>
      </c>
      <c r="S6" s="3" t="b">
        <f t="shared" si="7"/>
        <v>0</v>
      </c>
      <c r="T6" s="3" t="b">
        <f t="shared" si="8"/>
        <v>0</v>
      </c>
      <c r="U6" s="3" t="b">
        <f t="shared" si="9"/>
        <v>1</v>
      </c>
      <c r="V6" s="3"/>
      <c r="W6" s="3" cm="1">
        <f t="array" ref="W6">IF(OR(J6="Brasil",N6="Brasil"),2*_xlfn.IFS(Q6=TRUE,6,R6=TRUE,4,AND(S6=TRUE,T6=FALSE),3,T6=TRUE,2,U6=TRUE,0),_xlfn.IFS(Q6=TRUE,6,R6=TRUE,4,AND(S6=TRUE,T6=FALSE),3,T6=TRUE,2,U6=TRUE,0))</f>
        <v>0</v>
      </c>
      <c r="X6" s="3"/>
      <c r="Y6" s="3"/>
    </row>
    <row r="7" spans="1:25" ht="14.25" customHeight="1" x14ac:dyDescent="0.3">
      <c r="A7" s="3">
        <f>'Tabela de Jogos'!A7</f>
        <v>5</v>
      </c>
      <c r="B7" s="3" t="str">
        <f>'Tabela de Jogos'!B7</f>
        <v>Catar</v>
      </c>
      <c r="C7" s="3">
        <f>'Tabela de Jogos'!C7</f>
        <v>1</v>
      </c>
      <c r="D7" s="3" t="str">
        <f>'Tabela de Jogos'!D7</f>
        <v>x</v>
      </c>
      <c r="E7" s="3">
        <f>'Tabela de Jogos'!E7</f>
        <v>1</v>
      </c>
      <c r="F7" s="3" t="str">
        <f>'Tabela de Jogos'!F7</f>
        <v>Suíça</v>
      </c>
      <c r="G7" s="3" t="str">
        <f>'Tabela de Jogos'!G7</f>
        <v>Empate</v>
      </c>
      <c r="H7" s="3"/>
      <c r="I7" s="3">
        <f t="shared" ref="I7:J7" si="13">A7</f>
        <v>5</v>
      </c>
      <c r="J7" s="3" t="str">
        <f t="shared" si="13"/>
        <v>Catar</v>
      </c>
      <c r="K7" s="3">
        <v>0</v>
      </c>
      <c r="L7" s="3" t="str">
        <f t="shared" si="2"/>
        <v>x</v>
      </c>
      <c r="M7" s="3">
        <v>4</v>
      </c>
      <c r="N7" s="3" t="str">
        <f t="shared" si="3"/>
        <v>Suíça</v>
      </c>
      <c r="O7" s="3" t="str">
        <f t="shared" si="4"/>
        <v>Suíça</v>
      </c>
      <c r="P7" s="3"/>
      <c r="Q7" s="3" t="b">
        <f t="shared" si="5"/>
        <v>0</v>
      </c>
      <c r="R7" s="3" t="b">
        <f t="shared" si="6"/>
        <v>0</v>
      </c>
      <c r="S7" s="3" t="b">
        <f t="shared" si="7"/>
        <v>0</v>
      </c>
      <c r="T7" s="3" t="b">
        <f t="shared" si="8"/>
        <v>0</v>
      </c>
      <c r="U7" s="3" t="b">
        <f t="shared" si="9"/>
        <v>1</v>
      </c>
      <c r="V7" s="3"/>
      <c r="W7" s="3" cm="1">
        <f t="array" ref="W7">IF(OR(J7="Brasil",N7="Brasil"),2*_xlfn.IFS(Q7=TRUE,6,R7=TRUE,4,AND(S7=TRUE,T7=FALSE),3,T7=TRUE,2,U7=TRUE,0),_xlfn.IFS(Q7=TRUE,6,R7=TRUE,4,AND(S7=TRUE,T7=FALSE),3,T7=TRUE,2,U7=TRUE,0))</f>
        <v>0</v>
      </c>
      <c r="X7" s="3"/>
      <c r="Y7" s="3"/>
    </row>
    <row r="8" spans="1:25" ht="14.25" customHeight="1" x14ac:dyDescent="0.3">
      <c r="A8" s="3">
        <f>'Tabela de Jogos'!A8</f>
        <v>6</v>
      </c>
      <c r="B8" s="3" t="str">
        <f>'Tabela de Jogos'!B8</f>
        <v>Brasil</v>
      </c>
      <c r="C8" s="3">
        <f>'Tabela de Jogos'!C8</f>
        <v>1</v>
      </c>
      <c r="D8" s="3" t="str">
        <f>'Tabela de Jogos'!D8</f>
        <v>x</v>
      </c>
      <c r="E8" s="3">
        <f>'Tabela de Jogos'!E8</f>
        <v>1</v>
      </c>
      <c r="F8" s="3" t="str">
        <f>'Tabela de Jogos'!F8</f>
        <v>Marrocos</v>
      </c>
      <c r="G8" s="3" t="str">
        <f>'Tabela de Jogos'!G8</f>
        <v>Empate</v>
      </c>
      <c r="H8" s="3"/>
      <c r="I8" s="3">
        <f t="shared" ref="I8:J8" si="14">A8</f>
        <v>6</v>
      </c>
      <c r="J8" s="3" t="str">
        <f t="shared" si="14"/>
        <v>Brasil</v>
      </c>
      <c r="K8" s="3">
        <v>1</v>
      </c>
      <c r="L8" s="3" t="str">
        <f t="shared" si="2"/>
        <v>x</v>
      </c>
      <c r="M8" s="3">
        <v>0</v>
      </c>
      <c r="N8" s="3" t="str">
        <f t="shared" si="3"/>
        <v>Marrocos</v>
      </c>
      <c r="O8" s="3" t="str">
        <f t="shared" si="4"/>
        <v>Brasil</v>
      </c>
      <c r="P8" s="3"/>
      <c r="Q8" s="3" t="b">
        <f t="shared" si="5"/>
        <v>0</v>
      </c>
      <c r="R8" s="3" t="b">
        <f t="shared" si="6"/>
        <v>0</v>
      </c>
      <c r="S8" s="3" t="b">
        <f t="shared" si="7"/>
        <v>0</v>
      </c>
      <c r="T8" s="3" t="b">
        <f t="shared" si="8"/>
        <v>0</v>
      </c>
      <c r="U8" s="3" t="b">
        <f t="shared" si="9"/>
        <v>1</v>
      </c>
      <c r="V8" s="3"/>
      <c r="W8" s="3" cm="1">
        <f t="array" ref="W8">IF(OR(J8="Brasil",N8="Brasil"),2*_xlfn.IFS(Q8=TRUE,6,R8=TRUE,4,AND(S8=TRUE,T8=FALSE),3,T8=TRUE,2,U8=TRUE,0),_xlfn.IFS(Q8=TRUE,6,R8=TRUE,4,AND(S8=TRUE,T8=FALSE),3,T8=TRUE,2,U8=TRUE,0))</f>
        <v>0</v>
      </c>
      <c r="X8" s="3"/>
      <c r="Y8" s="3"/>
    </row>
    <row r="9" spans="1:25" ht="14.25" customHeight="1" x14ac:dyDescent="0.3">
      <c r="A9" s="3">
        <f>'Tabela de Jogos'!A9</f>
        <v>7</v>
      </c>
      <c r="B9" s="3" t="str">
        <f>'Tabela de Jogos'!B9</f>
        <v>Haiti</v>
      </c>
      <c r="C9" s="3">
        <f>'Tabela de Jogos'!C9</f>
        <v>0</v>
      </c>
      <c r="D9" s="3" t="str">
        <f>'Tabela de Jogos'!D9</f>
        <v>x</v>
      </c>
      <c r="E9" s="3">
        <f>'Tabela de Jogos'!E9</f>
        <v>1</v>
      </c>
      <c r="F9" s="3" t="str">
        <f>'Tabela de Jogos'!F9</f>
        <v>Escócia</v>
      </c>
      <c r="G9" s="3" t="str">
        <f>'Tabela de Jogos'!G9</f>
        <v>Escócia</v>
      </c>
      <c r="H9" s="3"/>
      <c r="I9" s="3">
        <f t="shared" ref="I9:J9" si="15">A9</f>
        <v>7</v>
      </c>
      <c r="J9" s="3" t="str">
        <f t="shared" si="15"/>
        <v>Haiti</v>
      </c>
      <c r="K9" s="3">
        <v>1</v>
      </c>
      <c r="L9" s="3" t="str">
        <f t="shared" si="2"/>
        <v>x</v>
      </c>
      <c r="M9" s="3">
        <v>2</v>
      </c>
      <c r="N9" s="3" t="str">
        <f t="shared" si="3"/>
        <v>Escócia</v>
      </c>
      <c r="O9" s="3" t="str">
        <f t="shared" si="4"/>
        <v>Escócia</v>
      </c>
      <c r="P9" s="3"/>
      <c r="Q9" s="3" t="b">
        <f t="shared" si="5"/>
        <v>0</v>
      </c>
      <c r="R9" s="3" t="b">
        <f t="shared" si="6"/>
        <v>0</v>
      </c>
      <c r="S9" s="3" t="b">
        <f t="shared" si="7"/>
        <v>1</v>
      </c>
      <c r="T9" s="3" t="b">
        <f t="shared" si="8"/>
        <v>0</v>
      </c>
      <c r="U9" s="3" t="b">
        <f t="shared" si="9"/>
        <v>0</v>
      </c>
      <c r="V9" s="3"/>
      <c r="W9" s="3" cm="1">
        <f t="array" ref="W9">IF(OR(J9="Brasil",N9="Brasil"),2*_xlfn.IFS(Q9=TRUE,6,R9=TRUE,4,AND(S9=TRUE,T9=FALSE),3,T9=TRUE,2,U9=TRUE,0),_xlfn.IFS(Q9=TRUE,6,R9=TRUE,4,AND(S9=TRUE,T9=FALSE),3,T9=TRUE,2,U9=TRUE,0))</f>
        <v>3</v>
      </c>
      <c r="X9" s="3"/>
      <c r="Y9" s="3"/>
    </row>
    <row r="10" spans="1:25" ht="14.25" customHeight="1" x14ac:dyDescent="0.3">
      <c r="A10" s="3">
        <f>'Tabela de Jogos'!A10</f>
        <v>8</v>
      </c>
      <c r="B10" s="3" t="str">
        <f>'Tabela de Jogos'!B10</f>
        <v>Austrália</v>
      </c>
      <c r="C10" s="3">
        <f>'Tabela de Jogos'!C10</f>
        <v>2</v>
      </c>
      <c r="D10" s="3" t="str">
        <f>'Tabela de Jogos'!D10</f>
        <v>x</v>
      </c>
      <c r="E10" s="3">
        <f>'Tabela de Jogos'!E10</f>
        <v>0</v>
      </c>
      <c r="F10" s="3" t="str">
        <f>'Tabela de Jogos'!F10</f>
        <v>Turquia</v>
      </c>
      <c r="G10" s="3" t="str">
        <f>'Tabela de Jogos'!G10</f>
        <v>Austrália</v>
      </c>
      <c r="H10" s="3"/>
      <c r="I10" s="3">
        <f t="shared" ref="I10:J10" si="16">A10</f>
        <v>8</v>
      </c>
      <c r="J10" s="3" t="str">
        <f t="shared" si="16"/>
        <v>Austrália</v>
      </c>
      <c r="K10" s="3">
        <v>1</v>
      </c>
      <c r="L10" s="3" t="str">
        <f t="shared" si="2"/>
        <v>x</v>
      </c>
      <c r="M10" s="3">
        <v>1</v>
      </c>
      <c r="N10" s="3" t="str">
        <f t="shared" si="3"/>
        <v>Turquia</v>
      </c>
      <c r="O10" s="3" t="str">
        <f t="shared" si="4"/>
        <v>Empate</v>
      </c>
      <c r="P10" s="3"/>
      <c r="Q10" s="3" t="b">
        <f t="shared" si="5"/>
        <v>0</v>
      </c>
      <c r="R10" s="3" t="b">
        <f t="shared" si="6"/>
        <v>0</v>
      </c>
      <c r="S10" s="3" t="b">
        <f t="shared" si="7"/>
        <v>0</v>
      </c>
      <c r="T10" s="3" t="b">
        <f t="shared" si="8"/>
        <v>0</v>
      </c>
      <c r="U10" s="3" t="b">
        <f t="shared" si="9"/>
        <v>1</v>
      </c>
      <c r="V10" s="3"/>
      <c r="W10" s="3" cm="1">
        <f t="array" ref="W10">IF(OR(J10="Brasil",N10="Brasil"),2*_xlfn.IFS(Q10=TRUE,6,R10=TRUE,4,AND(S10=TRUE,T10=FALSE),3,T10=TRUE,2,U10=TRUE,0),_xlfn.IFS(Q10=TRUE,6,R10=TRUE,4,AND(S10=TRUE,T10=FALSE),3,T10=TRUE,2,U10=TRUE,0))</f>
        <v>0</v>
      </c>
      <c r="X10" s="3"/>
      <c r="Y10" s="3"/>
    </row>
    <row r="11" spans="1:25" ht="14.25" customHeight="1" x14ac:dyDescent="0.3">
      <c r="A11" s="3">
        <f>'Tabela de Jogos'!A11</f>
        <v>9</v>
      </c>
      <c r="B11" s="3" t="str">
        <f>'Tabela de Jogos'!B11</f>
        <v>Alemanha</v>
      </c>
      <c r="C11" s="3">
        <f>'Tabela de Jogos'!C11</f>
        <v>7</v>
      </c>
      <c r="D11" s="3" t="str">
        <f>'Tabela de Jogos'!D11</f>
        <v>x</v>
      </c>
      <c r="E11" s="3">
        <f>'Tabela de Jogos'!E11</f>
        <v>1</v>
      </c>
      <c r="F11" s="3" t="str">
        <f>'Tabela de Jogos'!F11</f>
        <v>Curaçao</v>
      </c>
      <c r="G11" s="3" t="str">
        <f>'Tabela de Jogos'!G11</f>
        <v>Alemanha</v>
      </c>
      <c r="H11" s="3"/>
      <c r="I11" s="3">
        <f t="shared" ref="I11:J11" si="17">A11</f>
        <v>9</v>
      </c>
      <c r="J11" s="3" t="str">
        <f t="shared" si="17"/>
        <v>Alemanha</v>
      </c>
      <c r="K11" s="3">
        <v>4</v>
      </c>
      <c r="L11" s="3" t="str">
        <f t="shared" si="2"/>
        <v>x</v>
      </c>
      <c r="M11" s="3">
        <v>1</v>
      </c>
      <c r="N11" s="3" t="str">
        <f t="shared" si="3"/>
        <v>Curaçao</v>
      </c>
      <c r="O11" s="3" t="str">
        <f t="shared" si="4"/>
        <v>Alemanha</v>
      </c>
      <c r="P11" s="3"/>
      <c r="Q11" s="3" t="b">
        <f t="shared" si="5"/>
        <v>0</v>
      </c>
      <c r="R11" s="3" t="b">
        <f t="shared" si="6"/>
        <v>0</v>
      </c>
      <c r="S11" s="3" t="b">
        <f t="shared" si="7"/>
        <v>0</v>
      </c>
      <c r="T11" s="3" t="b">
        <f t="shared" si="8"/>
        <v>1</v>
      </c>
      <c r="U11" s="3" t="b">
        <f t="shared" si="9"/>
        <v>0</v>
      </c>
      <c r="V11" s="3"/>
      <c r="W11" s="3" cm="1">
        <f t="array" ref="W11">IF(OR(J11="Brasil",N11="Brasil"),2*_xlfn.IFS(Q11=TRUE,6,R11=TRUE,4,AND(S11=TRUE,T11=FALSE),3,T11=TRUE,2,U11=TRUE,0),_xlfn.IFS(Q11=TRUE,6,R11=TRUE,4,AND(S11=TRUE,T11=FALSE),3,T11=TRUE,2,U11=TRUE,0))</f>
        <v>2</v>
      </c>
      <c r="X11" s="3"/>
      <c r="Y11" s="3"/>
    </row>
    <row r="12" spans="1:25" ht="14.25" customHeight="1" x14ac:dyDescent="0.3">
      <c r="A12" s="3">
        <f>'Tabela de Jogos'!A12</f>
        <v>10</v>
      </c>
      <c r="B12" s="3" t="str">
        <f>'Tabela de Jogos'!B12</f>
        <v>Holanda</v>
      </c>
      <c r="C12" s="3">
        <f>'Tabela de Jogos'!C12</f>
        <v>2</v>
      </c>
      <c r="D12" s="3" t="str">
        <f>'Tabela de Jogos'!D12</f>
        <v>x</v>
      </c>
      <c r="E12" s="3">
        <f>'Tabela de Jogos'!E12</f>
        <v>2</v>
      </c>
      <c r="F12" s="3" t="str">
        <f>'Tabela de Jogos'!F12</f>
        <v>Japão</v>
      </c>
      <c r="G12" s="3" t="str">
        <f>'Tabela de Jogos'!G12</f>
        <v>Empate</v>
      </c>
      <c r="H12" s="3"/>
      <c r="I12" s="3">
        <f t="shared" ref="I12:J12" si="18">A12</f>
        <v>10</v>
      </c>
      <c r="J12" s="3" t="str">
        <f t="shared" si="18"/>
        <v>Holanda</v>
      </c>
      <c r="K12" s="3">
        <v>1</v>
      </c>
      <c r="L12" s="3" t="str">
        <f t="shared" si="2"/>
        <v>x</v>
      </c>
      <c r="M12" s="3">
        <v>0</v>
      </c>
      <c r="N12" s="3" t="str">
        <f t="shared" si="3"/>
        <v>Japão</v>
      </c>
      <c r="O12" s="3" t="str">
        <f t="shared" si="4"/>
        <v>Holanda</v>
      </c>
      <c r="P12" s="3"/>
      <c r="Q12" s="3" t="b">
        <f t="shared" si="5"/>
        <v>0</v>
      </c>
      <c r="R12" s="3" t="b">
        <f t="shared" si="6"/>
        <v>0</v>
      </c>
      <c r="S12" s="3" t="b">
        <f t="shared" si="7"/>
        <v>0</v>
      </c>
      <c r="T12" s="3" t="b">
        <f t="shared" si="8"/>
        <v>0</v>
      </c>
      <c r="U12" s="3" t="b">
        <f t="shared" si="9"/>
        <v>1</v>
      </c>
      <c r="V12" s="3"/>
      <c r="W12" s="3" cm="1">
        <f t="array" ref="W12">IF(OR(J12="Brasil",N12="Brasil"),2*_xlfn.IFS(Q12=TRUE,6,R12=TRUE,4,AND(S12=TRUE,T12=FALSE),3,T12=TRUE,2,U12=TRUE,0),_xlfn.IFS(Q12=TRUE,6,R12=TRUE,4,AND(S12=TRUE,T12=FALSE),3,T12=TRUE,2,U12=TRUE,0))</f>
        <v>0</v>
      </c>
      <c r="X12" s="3"/>
      <c r="Y12" s="3"/>
    </row>
    <row r="13" spans="1:25" ht="14.25" customHeight="1" x14ac:dyDescent="0.3">
      <c r="A13" s="3">
        <f>'Tabela de Jogos'!A13</f>
        <v>11</v>
      </c>
      <c r="B13" s="3" t="str">
        <f>'Tabela de Jogos'!B13</f>
        <v>Costa do Marfim</v>
      </c>
      <c r="C13" s="3">
        <f>'Tabela de Jogos'!C13</f>
        <v>1</v>
      </c>
      <c r="D13" s="3" t="str">
        <f>'Tabela de Jogos'!D13</f>
        <v>x</v>
      </c>
      <c r="E13" s="3">
        <f>'Tabela de Jogos'!E13</f>
        <v>0</v>
      </c>
      <c r="F13" s="3" t="str">
        <f>'Tabela de Jogos'!F13</f>
        <v>Equador</v>
      </c>
      <c r="G13" s="3" t="str">
        <f>'Tabela de Jogos'!G13</f>
        <v>Costa do Marfim</v>
      </c>
      <c r="H13" s="3"/>
      <c r="I13" s="3">
        <f t="shared" ref="I13:J13" si="19">A13</f>
        <v>11</v>
      </c>
      <c r="J13" s="3" t="str">
        <f t="shared" si="19"/>
        <v>Costa do Marfim</v>
      </c>
      <c r="K13" s="3">
        <v>1</v>
      </c>
      <c r="L13" s="3" t="str">
        <f t="shared" si="2"/>
        <v>x</v>
      </c>
      <c r="M13" s="3">
        <v>1</v>
      </c>
      <c r="N13" s="3" t="str">
        <f t="shared" si="3"/>
        <v>Equador</v>
      </c>
      <c r="O13" s="3" t="str">
        <f t="shared" si="4"/>
        <v>Empate</v>
      </c>
      <c r="P13" s="3"/>
      <c r="Q13" s="3" t="b">
        <f t="shared" si="5"/>
        <v>0</v>
      </c>
      <c r="R13" s="3" t="b">
        <f t="shared" si="6"/>
        <v>0</v>
      </c>
      <c r="S13" s="3" t="b">
        <f t="shared" si="7"/>
        <v>0</v>
      </c>
      <c r="T13" s="3" t="b">
        <f t="shared" si="8"/>
        <v>0</v>
      </c>
      <c r="U13" s="3" t="b">
        <f t="shared" si="9"/>
        <v>1</v>
      </c>
      <c r="V13" s="3"/>
      <c r="W13" s="3" cm="1">
        <f t="array" ref="W13">IF(OR(J13="Brasil",N13="Brasil"),2*_xlfn.IFS(Q13=TRUE,6,R13=TRUE,4,AND(S13=TRUE,T13=FALSE),3,T13=TRUE,2,U13=TRUE,0),_xlfn.IFS(Q13=TRUE,6,R13=TRUE,4,AND(S13=TRUE,T13=FALSE),3,T13=TRUE,2,U13=TRUE,0))</f>
        <v>0</v>
      </c>
      <c r="X13" s="3"/>
      <c r="Y13" s="3"/>
    </row>
    <row r="14" spans="1:25" ht="14.25" customHeight="1" x14ac:dyDescent="0.3">
      <c r="A14" s="3">
        <f>'Tabela de Jogos'!A14</f>
        <v>12</v>
      </c>
      <c r="B14" s="3" t="str">
        <f>'Tabela de Jogos'!B14</f>
        <v>Suécia</v>
      </c>
      <c r="C14" s="3">
        <f>'Tabela de Jogos'!C14</f>
        <v>5</v>
      </c>
      <c r="D14" s="3" t="str">
        <f>'Tabela de Jogos'!D14</f>
        <v>x</v>
      </c>
      <c r="E14" s="3">
        <f>'Tabela de Jogos'!E14</f>
        <v>1</v>
      </c>
      <c r="F14" s="3" t="str">
        <f>'Tabela de Jogos'!F14</f>
        <v>Tunísia</v>
      </c>
      <c r="G14" s="3" t="str">
        <f>'Tabela de Jogos'!G14</f>
        <v>Suécia</v>
      </c>
      <c r="H14" s="3"/>
      <c r="I14" s="3">
        <f t="shared" ref="I14:J14" si="20">A14</f>
        <v>12</v>
      </c>
      <c r="J14" s="3" t="str">
        <f t="shared" si="20"/>
        <v>Suécia</v>
      </c>
      <c r="K14" s="3">
        <v>1</v>
      </c>
      <c r="L14" s="3" t="str">
        <f t="shared" si="2"/>
        <v>x</v>
      </c>
      <c r="M14" s="3">
        <v>1</v>
      </c>
      <c r="N14" s="3" t="str">
        <f t="shared" si="3"/>
        <v>Tunísia</v>
      </c>
      <c r="O14" s="3" t="str">
        <f t="shared" si="4"/>
        <v>Empate</v>
      </c>
      <c r="P14" s="3"/>
      <c r="Q14" s="3" t="b">
        <f t="shared" si="5"/>
        <v>0</v>
      </c>
      <c r="R14" s="3" t="b">
        <f t="shared" si="6"/>
        <v>0</v>
      </c>
      <c r="S14" s="3" t="b">
        <f t="shared" si="7"/>
        <v>0</v>
      </c>
      <c r="T14" s="3" t="b">
        <f t="shared" si="8"/>
        <v>0</v>
      </c>
      <c r="U14" s="3" t="b">
        <f t="shared" si="9"/>
        <v>1</v>
      </c>
      <c r="V14" s="3"/>
      <c r="W14" s="3" cm="1">
        <f t="array" ref="W14">IF(OR(J14="Brasil",N14="Brasil"),2*_xlfn.IFS(Q14=TRUE,6,R14=TRUE,4,AND(S14=TRUE,T14=FALSE),3,T14=TRUE,2,U14=TRUE,0),_xlfn.IFS(Q14=TRUE,6,R14=TRUE,4,AND(S14=TRUE,T14=FALSE),3,T14=TRUE,2,U14=TRUE,0))</f>
        <v>0</v>
      </c>
      <c r="X14" s="3"/>
      <c r="Y14" s="3"/>
    </row>
    <row r="15" spans="1:25" ht="14.25" customHeight="1" x14ac:dyDescent="0.3">
      <c r="A15" s="3">
        <f>'Tabela de Jogos'!A15</f>
        <v>13</v>
      </c>
      <c r="B15" s="3" t="str">
        <f>'Tabela de Jogos'!B15</f>
        <v>Espanha</v>
      </c>
      <c r="C15" s="3">
        <f>'Tabela de Jogos'!C15</f>
        <v>0</v>
      </c>
      <c r="D15" s="3" t="str">
        <f>'Tabela de Jogos'!D15</f>
        <v>x</v>
      </c>
      <c r="E15" s="3">
        <f>'Tabela de Jogos'!E15</f>
        <v>0</v>
      </c>
      <c r="F15" s="3" t="str">
        <f>'Tabela de Jogos'!F15</f>
        <v>Cabo Verde</v>
      </c>
      <c r="G15" s="3" t="str">
        <f>'Tabela de Jogos'!G15</f>
        <v>Empate</v>
      </c>
      <c r="H15" s="3"/>
      <c r="I15" s="3">
        <f t="shared" ref="I15:J15" si="21">A15</f>
        <v>13</v>
      </c>
      <c r="J15" s="3" t="str">
        <f t="shared" si="21"/>
        <v>Espanha</v>
      </c>
      <c r="K15" s="3">
        <v>4</v>
      </c>
      <c r="L15" s="3" t="str">
        <f t="shared" si="2"/>
        <v>x</v>
      </c>
      <c r="M15" s="3">
        <v>1</v>
      </c>
      <c r="N15" s="3" t="str">
        <f t="shared" si="3"/>
        <v>Cabo Verde</v>
      </c>
      <c r="O15" s="3" t="str">
        <f t="shared" si="4"/>
        <v>Espanha</v>
      </c>
      <c r="P15" s="3"/>
      <c r="Q15" s="3" t="b">
        <f t="shared" si="5"/>
        <v>0</v>
      </c>
      <c r="R15" s="3" t="b">
        <f t="shared" si="6"/>
        <v>0</v>
      </c>
      <c r="S15" s="3" t="b">
        <f t="shared" si="7"/>
        <v>0</v>
      </c>
      <c r="T15" s="3" t="b">
        <f t="shared" si="8"/>
        <v>0</v>
      </c>
      <c r="U15" s="3" t="b">
        <f t="shared" si="9"/>
        <v>1</v>
      </c>
      <c r="V15" s="3"/>
      <c r="W15" s="3" cm="1">
        <f t="array" ref="W15">IF(OR(J15="Brasil",N15="Brasil"),2*_xlfn.IFS(Q15=TRUE,6,R15=TRUE,4,AND(S15=TRUE,T15=FALSE),3,T15=TRUE,2,U15=TRUE,0),_xlfn.IFS(Q15=TRUE,6,R15=TRUE,4,AND(S15=TRUE,T15=FALSE),3,T15=TRUE,2,U15=TRUE,0))</f>
        <v>0</v>
      </c>
      <c r="X15" s="3"/>
      <c r="Y15" s="3"/>
    </row>
    <row r="16" spans="1:25" ht="14.25" customHeight="1" x14ac:dyDescent="0.3">
      <c r="A16" s="3">
        <f>'Tabela de Jogos'!A16</f>
        <v>14</v>
      </c>
      <c r="B16" s="3" t="str">
        <f>'Tabela de Jogos'!B16</f>
        <v>Bélgica</v>
      </c>
      <c r="C16" s="3">
        <f>'Tabela de Jogos'!C16</f>
        <v>1</v>
      </c>
      <c r="D16" s="3" t="str">
        <f>'Tabela de Jogos'!D16</f>
        <v>x</v>
      </c>
      <c r="E16" s="3">
        <f>'Tabela de Jogos'!E16</f>
        <v>1</v>
      </c>
      <c r="F16" s="3" t="str">
        <f>'Tabela de Jogos'!F16</f>
        <v>Egito</v>
      </c>
      <c r="G16" s="3" t="str">
        <f>'Tabela de Jogos'!G16</f>
        <v>Empate</v>
      </c>
      <c r="H16" s="3"/>
      <c r="I16" s="3">
        <f t="shared" ref="I16:J16" si="22">A16</f>
        <v>14</v>
      </c>
      <c r="J16" s="3" t="str">
        <f t="shared" si="22"/>
        <v>Bélgica</v>
      </c>
      <c r="K16" s="3">
        <v>3</v>
      </c>
      <c r="L16" s="3" t="str">
        <f t="shared" si="2"/>
        <v>x</v>
      </c>
      <c r="M16" s="3">
        <v>1</v>
      </c>
      <c r="N16" s="3" t="str">
        <f t="shared" si="3"/>
        <v>Egito</v>
      </c>
      <c r="O16" s="3" t="str">
        <f t="shared" si="4"/>
        <v>Bélgica</v>
      </c>
      <c r="P16" s="3"/>
      <c r="Q16" s="3" t="b">
        <f t="shared" si="5"/>
        <v>0</v>
      </c>
      <c r="R16" s="3" t="b">
        <f t="shared" si="6"/>
        <v>0</v>
      </c>
      <c r="S16" s="3" t="b">
        <f t="shared" si="7"/>
        <v>0</v>
      </c>
      <c r="T16" s="3" t="b">
        <f t="shared" si="8"/>
        <v>0</v>
      </c>
      <c r="U16" s="3" t="b">
        <f t="shared" si="9"/>
        <v>1</v>
      </c>
      <c r="V16" s="3"/>
      <c r="W16" s="3" cm="1">
        <f t="array" ref="W16">IF(OR(J16="Brasil",N16="Brasil"),2*_xlfn.IFS(Q16=TRUE,6,R16=TRUE,4,AND(S16=TRUE,T16=FALSE),3,T16=TRUE,2,U16=TRUE,0),_xlfn.IFS(Q16=TRUE,6,R16=TRUE,4,AND(S16=TRUE,T16=FALSE),3,T16=TRUE,2,U16=TRUE,0))</f>
        <v>0</v>
      </c>
      <c r="X16" s="3"/>
      <c r="Y16" s="3"/>
    </row>
    <row r="17" spans="1:25" ht="14.25" customHeight="1" x14ac:dyDescent="0.3">
      <c r="A17" s="3">
        <f>'Tabela de Jogos'!A17</f>
        <v>15</v>
      </c>
      <c r="B17" s="3" t="str">
        <f>'Tabela de Jogos'!B17</f>
        <v>Arábia Saudita</v>
      </c>
      <c r="C17" s="3">
        <f>'Tabela de Jogos'!C17</f>
        <v>1</v>
      </c>
      <c r="D17" s="3" t="str">
        <f>'Tabela de Jogos'!D17</f>
        <v>x</v>
      </c>
      <c r="E17" s="3">
        <f>'Tabela de Jogos'!E17</f>
        <v>1</v>
      </c>
      <c r="F17" s="3" t="str">
        <f>'Tabela de Jogos'!F17</f>
        <v>Uruguai</v>
      </c>
      <c r="G17" s="3" t="str">
        <f>'Tabela de Jogos'!G17</f>
        <v>Empate</v>
      </c>
      <c r="H17" s="3"/>
      <c r="I17" s="3">
        <f t="shared" ref="I17:J17" si="23">A17</f>
        <v>15</v>
      </c>
      <c r="J17" s="3" t="str">
        <f t="shared" si="23"/>
        <v>Arábia Saudita</v>
      </c>
      <c r="K17" s="3">
        <v>1</v>
      </c>
      <c r="L17" s="3" t="str">
        <f t="shared" si="2"/>
        <v>x</v>
      </c>
      <c r="M17" s="3">
        <v>2</v>
      </c>
      <c r="N17" s="3" t="str">
        <f t="shared" si="3"/>
        <v>Uruguai</v>
      </c>
      <c r="O17" s="3" t="str">
        <f t="shared" si="4"/>
        <v>Uruguai</v>
      </c>
      <c r="P17" s="3"/>
      <c r="Q17" s="3" t="b">
        <f t="shared" si="5"/>
        <v>0</v>
      </c>
      <c r="R17" s="3" t="b">
        <f t="shared" si="6"/>
        <v>0</v>
      </c>
      <c r="S17" s="3" t="b">
        <f t="shared" si="7"/>
        <v>0</v>
      </c>
      <c r="T17" s="3" t="b">
        <f t="shared" si="8"/>
        <v>0</v>
      </c>
      <c r="U17" s="3" t="b">
        <f t="shared" si="9"/>
        <v>1</v>
      </c>
      <c r="V17" s="3"/>
      <c r="W17" s="3" cm="1">
        <f t="array" ref="W17">IF(OR(J17="Brasil",N17="Brasil"),2*_xlfn.IFS(Q17=TRUE,6,R17=TRUE,4,AND(S17=TRUE,T17=FALSE),3,T17=TRUE,2,U17=TRUE,0),_xlfn.IFS(Q17=TRUE,6,R17=TRUE,4,AND(S17=TRUE,T17=FALSE),3,T17=TRUE,2,U17=TRUE,0))</f>
        <v>0</v>
      </c>
      <c r="X17" s="3"/>
      <c r="Y17" s="3"/>
    </row>
    <row r="18" spans="1:25" ht="14.25" customHeight="1" x14ac:dyDescent="0.3">
      <c r="A18" s="3">
        <f>'Tabela de Jogos'!A18</f>
        <v>16</v>
      </c>
      <c r="B18" s="3" t="str">
        <f>'Tabela de Jogos'!B18</f>
        <v>Irã</v>
      </c>
      <c r="C18" s="3">
        <f>'Tabela de Jogos'!C18</f>
        <v>2</v>
      </c>
      <c r="D18" s="3" t="str">
        <f>'Tabela de Jogos'!D18</f>
        <v>x</v>
      </c>
      <c r="E18" s="3">
        <f>'Tabela de Jogos'!E18</f>
        <v>2</v>
      </c>
      <c r="F18" s="3" t="str">
        <f>'Tabela de Jogos'!F18</f>
        <v>Nova Zelândia</v>
      </c>
      <c r="G18" s="3" t="str">
        <f>'Tabela de Jogos'!G18</f>
        <v>Empate</v>
      </c>
      <c r="H18" s="3"/>
      <c r="I18" s="3">
        <f t="shared" ref="I18:J18" si="24">A18</f>
        <v>16</v>
      </c>
      <c r="J18" s="3" t="str">
        <f t="shared" si="24"/>
        <v>Irã</v>
      </c>
      <c r="K18" s="3">
        <v>1</v>
      </c>
      <c r="L18" s="3" t="str">
        <f t="shared" si="2"/>
        <v>x</v>
      </c>
      <c r="M18" s="3">
        <v>1</v>
      </c>
      <c r="N18" s="3" t="str">
        <f t="shared" si="3"/>
        <v>Nova Zelândia</v>
      </c>
      <c r="O18" s="3" t="str">
        <f t="shared" si="4"/>
        <v>Empate</v>
      </c>
      <c r="P18" s="3"/>
      <c r="Q18" s="3" t="b">
        <f t="shared" si="5"/>
        <v>0</v>
      </c>
      <c r="R18" s="3" t="b">
        <f t="shared" si="6"/>
        <v>0</v>
      </c>
      <c r="S18" s="3" t="b">
        <f t="shared" si="7"/>
        <v>1</v>
      </c>
      <c r="T18" s="3" t="b">
        <f t="shared" si="8"/>
        <v>1</v>
      </c>
      <c r="U18" s="3" t="b">
        <f t="shared" si="9"/>
        <v>0</v>
      </c>
      <c r="V18" s="3"/>
      <c r="W18" s="3" cm="1">
        <f t="array" ref="W18">IF(OR(J18="Brasil",N18="Brasil"),2*_xlfn.IFS(Q18=TRUE,6,R18=TRUE,4,AND(S18=TRUE,T18=FALSE),3,T18=TRUE,2,U18=TRUE,0),_xlfn.IFS(Q18=TRUE,6,R18=TRUE,4,AND(S18=TRUE,T18=FALSE),3,T18=TRUE,2,U18=TRUE,0))</f>
        <v>2</v>
      </c>
      <c r="X18" s="3"/>
      <c r="Y18" s="3"/>
    </row>
    <row r="19" spans="1:25" ht="14.25" customHeight="1" x14ac:dyDescent="0.3">
      <c r="A19" s="3">
        <f>'Tabela de Jogos'!A19</f>
        <v>17</v>
      </c>
      <c r="B19" s="3" t="str">
        <f>'Tabela de Jogos'!B19</f>
        <v>França</v>
      </c>
      <c r="C19" s="3">
        <f>'Tabela de Jogos'!C19</f>
        <v>3</v>
      </c>
      <c r="D19" s="3" t="str">
        <f>'Tabela de Jogos'!D19</f>
        <v>x</v>
      </c>
      <c r="E19" s="3">
        <f>'Tabela de Jogos'!E19</f>
        <v>1</v>
      </c>
      <c r="F19" s="3" t="str">
        <f>'Tabela de Jogos'!F19</f>
        <v>Senegal</v>
      </c>
      <c r="G19" s="3" t="str">
        <f>'Tabela de Jogos'!G19</f>
        <v>França</v>
      </c>
      <c r="H19" s="3"/>
      <c r="I19" s="3">
        <f t="shared" ref="I19:J19" si="25">A19</f>
        <v>17</v>
      </c>
      <c r="J19" s="3" t="str">
        <f t="shared" si="25"/>
        <v>França</v>
      </c>
      <c r="K19" s="3">
        <v>3</v>
      </c>
      <c r="L19" s="3" t="str">
        <f t="shared" si="2"/>
        <v>x</v>
      </c>
      <c r="M19" s="3">
        <v>2</v>
      </c>
      <c r="N19" s="3" t="str">
        <f t="shared" si="3"/>
        <v>Senegal</v>
      </c>
      <c r="O19" s="3" t="str">
        <f t="shared" si="4"/>
        <v>França</v>
      </c>
      <c r="P19" s="3"/>
      <c r="Q19" s="3" t="b">
        <f t="shared" si="5"/>
        <v>0</v>
      </c>
      <c r="R19" s="3" t="b">
        <f t="shared" si="6"/>
        <v>1</v>
      </c>
      <c r="S19" s="3" t="b">
        <f t="shared" si="7"/>
        <v>0</v>
      </c>
      <c r="T19" s="3" t="b">
        <f t="shared" si="8"/>
        <v>0</v>
      </c>
      <c r="U19" s="3" t="b">
        <f t="shared" si="9"/>
        <v>0</v>
      </c>
      <c r="V19" s="3"/>
      <c r="W19" s="3" cm="1">
        <f t="array" ref="W19">IF(OR(J19="Brasil",N19="Brasil"),2*_xlfn.IFS(Q19=TRUE,6,R19=TRUE,4,AND(S19=TRUE,T19=FALSE),3,T19=TRUE,2,U19=TRUE,0),_xlfn.IFS(Q19=TRUE,6,R19=TRUE,4,AND(S19=TRUE,T19=FALSE),3,T19=TRUE,2,U19=TRUE,0))</f>
        <v>4</v>
      </c>
      <c r="X19" s="3"/>
      <c r="Y19" s="3"/>
    </row>
    <row r="20" spans="1:25" ht="14.25" customHeight="1" x14ac:dyDescent="0.3">
      <c r="A20" s="3">
        <f>'Tabela de Jogos'!A20</f>
        <v>18</v>
      </c>
      <c r="B20" s="3" t="str">
        <f>'Tabela de Jogos'!B20</f>
        <v>Iraque</v>
      </c>
      <c r="C20" s="3">
        <f>'Tabela de Jogos'!C20</f>
        <v>1</v>
      </c>
      <c r="D20" s="3" t="str">
        <f>'Tabela de Jogos'!D20</f>
        <v>x</v>
      </c>
      <c r="E20" s="3">
        <f>'Tabela de Jogos'!E20</f>
        <v>4</v>
      </c>
      <c r="F20" s="3" t="str">
        <f>'Tabela de Jogos'!F20</f>
        <v>Noruega</v>
      </c>
      <c r="G20" s="3" t="str">
        <f>'Tabela de Jogos'!G20</f>
        <v>Noruega</v>
      </c>
      <c r="H20" s="3"/>
      <c r="I20" s="3">
        <f t="shared" ref="I20:J20" si="26">A20</f>
        <v>18</v>
      </c>
      <c r="J20" s="3" t="str">
        <f t="shared" si="26"/>
        <v>Iraque</v>
      </c>
      <c r="K20" s="3">
        <v>1</v>
      </c>
      <c r="L20" s="3" t="str">
        <f t="shared" si="2"/>
        <v>x</v>
      </c>
      <c r="M20" s="3">
        <v>3</v>
      </c>
      <c r="N20" s="3" t="str">
        <f t="shared" si="3"/>
        <v>Noruega</v>
      </c>
      <c r="O20" s="3" t="str">
        <f t="shared" si="4"/>
        <v>Noruega</v>
      </c>
      <c r="P20" s="3"/>
      <c r="Q20" s="3" t="b">
        <f t="shared" si="5"/>
        <v>0</v>
      </c>
      <c r="R20" s="3" t="b">
        <f t="shared" si="6"/>
        <v>0</v>
      </c>
      <c r="S20" s="3" t="b">
        <f t="shared" si="7"/>
        <v>0</v>
      </c>
      <c r="T20" s="3" t="b">
        <f t="shared" si="8"/>
        <v>1</v>
      </c>
      <c r="U20" s="3" t="b">
        <f t="shared" si="9"/>
        <v>0</v>
      </c>
      <c r="V20" s="3"/>
      <c r="W20" s="3" cm="1">
        <f t="array" ref="W20">IF(OR(J20="Brasil",N20="Brasil"),2*_xlfn.IFS(Q20=TRUE,6,R20=TRUE,4,AND(S20=TRUE,T20=FALSE),3,T20=TRUE,2,U20=TRUE,0),_xlfn.IFS(Q20=TRUE,6,R20=TRUE,4,AND(S20=TRUE,T20=FALSE),3,T20=TRUE,2,U20=TRUE,0))</f>
        <v>2</v>
      </c>
      <c r="X20" s="3"/>
      <c r="Y20" s="3"/>
    </row>
    <row r="21" spans="1:25" ht="14.25" customHeight="1" x14ac:dyDescent="0.3">
      <c r="A21" s="3">
        <f>'Tabela de Jogos'!A21</f>
        <v>19</v>
      </c>
      <c r="B21" s="3" t="str">
        <f>'Tabela de Jogos'!B21</f>
        <v>Argentina</v>
      </c>
      <c r="C21" s="3">
        <f>'Tabela de Jogos'!C21</f>
        <v>3</v>
      </c>
      <c r="D21" s="3" t="str">
        <f>'Tabela de Jogos'!D21</f>
        <v>x</v>
      </c>
      <c r="E21" s="3">
        <f>'Tabela de Jogos'!E21</f>
        <v>0</v>
      </c>
      <c r="F21" s="3" t="str">
        <f>'Tabela de Jogos'!F21</f>
        <v>Argélia</v>
      </c>
      <c r="G21" s="3" t="str">
        <f>'Tabela de Jogos'!G21</f>
        <v>Argentina</v>
      </c>
      <c r="H21" s="3"/>
      <c r="I21" s="3">
        <f t="shared" ref="I21:J21" si="27">A21</f>
        <v>19</v>
      </c>
      <c r="J21" s="3" t="str">
        <f t="shared" si="27"/>
        <v>Argentina</v>
      </c>
      <c r="K21" s="3">
        <v>2</v>
      </c>
      <c r="L21" s="3" t="str">
        <f t="shared" si="2"/>
        <v>x</v>
      </c>
      <c r="M21" s="3">
        <v>2</v>
      </c>
      <c r="N21" s="3" t="str">
        <f t="shared" si="3"/>
        <v>Argélia</v>
      </c>
      <c r="O21" s="3" t="str">
        <f t="shared" si="4"/>
        <v>Empate</v>
      </c>
      <c r="P21" s="3"/>
      <c r="Q21" s="3" t="b">
        <f t="shared" si="5"/>
        <v>0</v>
      </c>
      <c r="R21" s="3" t="b">
        <f t="shared" si="6"/>
        <v>0</v>
      </c>
      <c r="S21" s="3" t="b">
        <f t="shared" si="7"/>
        <v>0</v>
      </c>
      <c r="T21" s="3" t="b">
        <f t="shared" si="8"/>
        <v>0</v>
      </c>
      <c r="U21" s="3" t="b">
        <f t="shared" si="9"/>
        <v>1</v>
      </c>
      <c r="V21" s="3"/>
      <c r="W21" s="3" cm="1">
        <f t="array" ref="W21">IF(OR(J21="Brasil",N21="Brasil"),2*_xlfn.IFS(Q21=TRUE,6,R21=TRUE,4,AND(S21=TRUE,T21=FALSE),3,T21=TRUE,2,U21=TRUE,0),_xlfn.IFS(Q21=TRUE,6,R21=TRUE,4,AND(S21=TRUE,T21=FALSE),3,T21=TRUE,2,U21=TRUE,0))</f>
        <v>0</v>
      </c>
      <c r="X21" s="3"/>
      <c r="Y21" s="3"/>
    </row>
    <row r="22" spans="1:25" ht="14.25" customHeight="1" x14ac:dyDescent="0.3">
      <c r="A22" s="3">
        <f>'Tabela de Jogos'!A22</f>
        <v>20</v>
      </c>
      <c r="B22" s="3" t="str">
        <f>'Tabela de Jogos'!B22</f>
        <v>Áustria</v>
      </c>
      <c r="C22" s="3">
        <f>'Tabela de Jogos'!C22</f>
        <v>3</v>
      </c>
      <c r="D22" s="3" t="str">
        <f>'Tabela de Jogos'!D22</f>
        <v>x</v>
      </c>
      <c r="E22" s="3">
        <f>'Tabela de Jogos'!E22</f>
        <v>1</v>
      </c>
      <c r="F22" s="3" t="str">
        <f>'Tabela de Jogos'!F22</f>
        <v>Jordânia</v>
      </c>
      <c r="G22" s="3" t="str">
        <f>'Tabela de Jogos'!G22</f>
        <v>Áustria</v>
      </c>
      <c r="H22" s="3"/>
      <c r="I22" s="3">
        <f t="shared" ref="I22:J22" si="28">A22</f>
        <v>20</v>
      </c>
      <c r="J22" s="3" t="str">
        <f t="shared" si="28"/>
        <v>Áustria</v>
      </c>
      <c r="K22" s="3">
        <v>0</v>
      </c>
      <c r="L22" s="3" t="str">
        <f t="shared" si="2"/>
        <v>x</v>
      </c>
      <c r="M22" s="3">
        <v>0</v>
      </c>
      <c r="N22" s="3" t="str">
        <f t="shared" si="3"/>
        <v>Jordânia</v>
      </c>
      <c r="O22" s="3" t="str">
        <f t="shared" si="4"/>
        <v>Empate</v>
      </c>
      <c r="P22" s="3"/>
      <c r="Q22" s="3" t="b">
        <f t="shared" si="5"/>
        <v>0</v>
      </c>
      <c r="R22" s="3" t="b">
        <f t="shared" si="6"/>
        <v>0</v>
      </c>
      <c r="S22" s="3" t="b">
        <f t="shared" si="7"/>
        <v>0</v>
      </c>
      <c r="T22" s="3" t="b">
        <f t="shared" si="8"/>
        <v>0</v>
      </c>
      <c r="U22" s="3" t="b">
        <f t="shared" si="9"/>
        <v>1</v>
      </c>
      <c r="V22" s="3"/>
      <c r="W22" s="3" cm="1">
        <f t="array" ref="W22">IF(OR(J22="Brasil",N22="Brasil"),2*_xlfn.IFS(Q22=TRUE,6,R22=TRUE,4,AND(S22=TRUE,T22=FALSE),3,T22=TRUE,2,U22=TRUE,0),_xlfn.IFS(Q22=TRUE,6,R22=TRUE,4,AND(S22=TRUE,T22=FALSE),3,T22=TRUE,2,U22=TRUE,0))</f>
        <v>0</v>
      </c>
      <c r="X22" s="3"/>
      <c r="Y22" s="3"/>
    </row>
    <row r="23" spans="1:25" ht="14.25" customHeight="1" x14ac:dyDescent="0.3">
      <c r="A23" s="3">
        <f>'Tabela de Jogos'!A23</f>
        <v>21</v>
      </c>
      <c r="B23" s="3" t="str">
        <f>'Tabela de Jogos'!B23</f>
        <v>Portugal</v>
      </c>
      <c r="C23" s="3">
        <f>'Tabela de Jogos'!C23</f>
        <v>1</v>
      </c>
      <c r="D23" s="3" t="str">
        <f>'Tabela de Jogos'!D23</f>
        <v>x</v>
      </c>
      <c r="E23" s="3">
        <f>'Tabela de Jogos'!E23</f>
        <v>1</v>
      </c>
      <c r="F23" s="3" t="str">
        <f>'Tabela de Jogos'!F23</f>
        <v>RD Congo</v>
      </c>
      <c r="G23" s="3" t="str">
        <f>'Tabela de Jogos'!G23</f>
        <v>Empate</v>
      </c>
      <c r="H23" s="3"/>
      <c r="I23" s="3">
        <f t="shared" ref="I23:J23" si="29">A23</f>
        <v>21</v>
      </c>
      <c r="J23" s="3" t="str">
        <f t="shared" si="29"/>
        <v>Portugal</v>
      </c>
      <c r="K23" s="3">
        <v>3</v>
      </c>
      <c r="L23" s="3" t="str">
        <f t="shared" si="2"/>
        <v>x</v>
      </c>
      <c r="M23" s="3">
        <v>0</v>
      </c>
      <c r="N23" s="3" t="str">
        <f t="shared" si="3"/>
        <v>RD Congo</v>
      </c>
      <c r="O23" s="3" t="str">
        <f t="shared" si="4"/>
        <v>Portugal</v>
      </c>
      <c r="P23" s="3"/>
      <c r="Q23" s="3" t="b">
        <f t="shared" si="5"/>
        <v>0</v>
      </c>
      <c r="R23" s="3" t="b">
        <f t="shared" si="6"/>
        <v>0</v>
      </c>
      <c r="S23" s="3" t="b">
        <f t="shared" si="7"/>
        <v>0</v>
      </c>
      <c r="T23" s="3" t="b">
        <f t="shared" si="8"/>
        <v>0</v>
      </c>
      <c r="U23" s="3" t="b">
        <f t="shared" si="9"/>
        <v>1</v>
      </c>
      <c r="V23" s="3"/>
      <c r="W23" s="3" cm="1">
        <f t="array" ref="W23">IF(OR(J23="Brasil",N23="Brasil"),2*_xlfn.IFS(Q23=TRUE,6,R23=TRUE,4,AND(S23=TRUE,T23=FALSE),3,T23=TRUE,2,U23=TRUE,0),_xlfn.IFS(Q23=TRUE,6,R23=TRUE,4,AND(S23=TRUE,T23=FALSE),3,T23=TRUE,2,U23=TRUE,0))</f>
        <v>0</v>
      </c>
      <c r="X23" s="3"/>
      <c r="Y23" s="3"/>
    </row>
    <row r="24" spans="1:25" ht="14.25" customHeight="1" x14ac:dyDescent="0.3">
      <c r="A24" s="3">
        <f>'Tabela de Jogos'!A24</f>
        <v>22</v>
      </c>
      <c r="B24" s="3" t="str">
        <f>'Tabela de Jogos'!B24</f>
        <v>Inglaterra</v>
      </c>
      <c r="C24" s="3">
        <f>'Tabela de Jogos'!C24</f>
        <v>4</v>
      </c>
      <c r="D24" s="3" t="str">
        <f>'Tabela de Jogos'!D24</f>
        <v>x</v>
      </c>
      <c r="E24" s="3">
        <f>'Tabela de Jogos'!E24</f>
        <v>2</v>
      </c>
      <c r="F24" s="3" t="str">
        <f>'Tabela de Jogos'!F24</f>
        <v>Croácia</v>
      </c>
      <c r="G24" s="3" t="str">
        <f>'Tabela de Jogos'!G24</f>
        <v>Inglaterra</v>
      </c>
      <c r="H24" s="3"/>
      <c r="I24" s="3">
        <f t="shared" ref="I24:J24" si="30">A24</f>
        <v>22</v>
      </c>
      <c r="J24" s="3" t="str">
        <f t="shared" si="30"/>
        <v>Inglaterra</v>
      </c>
      <c r="K24" s="3">
        <v>1</v>
      </c>
      <c r="L24" s="3" t="str">
        <f t="shared" si="2"/>
        <v>x</v>
      </c>
      <c r="M24" s="3">
        <v>2</v>
      </c>
      <c r="N24" s="3" t="str">
        <f t="shared" si="3"/>
        <v>Croácia</v>
      </c>
      <c r="O24" s="3" t="str">
        <f t="shared" si="4"/>
        <v>Croácia</v>
      </c>
      <c r="P24" s="3"/>
      <c r="Q24" s="3" t="b">
        <f t="shared" si="5"/>
        <v>0</v>
      </c>
      <c r="R24" s="3" t="b">
        <f t="shared" si="6"/>
        <v>0</v>
      </c>
      <c r="S24" s="3" t="b">
        <f t="shared" si="7"/>
        <v>0</v>
      </c>
      <c r="T24" s="3" t="b">
        <f t="shared" si="8"/>
        <v>0</v>
      </c>
      <c r="U24" s="3" t="b">
        <f t="shared" si="9"/>
        <v>1</v>
      </c>
      <c r="V24" s="3"/>
      <c r="W24" s="3" cm="1">
        <f t="array" ref="W24">IF(OR(J24="Brasil",N24="Brasil"),2*_xlfn.IFS(Q24=TRUE,6,R24=TRUE,4,AND(S24=TRUE,T24=FALSE),3,T24=TRUE,2,U24=TRUE,0),_xlfn.IFS(Q24=TRUE,6,R24=TRUE,4,AND(S24=TRUE,T24=FALSE),3,T24=TRUE,2,U24=TRUE,0))</f>
        <v>0</v>
      </c>
      <c r="X24" s="3"/>
      <c r="Y24" s="3"/>
    </row>
    <row r="25" spans="1:25" ht="14.25" customHeight="1" x14ac:dyDescent="0.3">
      <c r="A25" s="3">
        <f>'Tabela de Jogos'!A25</f>
        <v>23</v>
      </c>
      <c r="B25" s="3" t="str">
        <f>'Tabela de Jogos'!B25</f>
        <v>Gana</v>
      </c>
      <c r="C25" s="3">
        <f>'Tabela de Jogos'!C25</f>
        <v>1</v>
      </c>
      <c r="D25" s="3" t="str">
        <f>'Tabela de Jogos'!D25</f>
        <v>x</v>
      </c>
      <c r="E25" s="3">
        <f>'Tabela de Jogos'!E25</f>
        <v>0</v>
      </c>
      <c r="F25" s="3" t="str">
        <f>'Tabela de Jogos'!F25</f>
        <v>Panamá</v>
      </c>
      <c r="G25" s="3" t="str">
        <f>'Tabela de Jogos'!G25</f>
        <v>Gana</v>
      </c>
      <c r="H25" s="3"/>
      <c r="I25" s="3">
        <f t="shared" ref="I25:J25" si="31">A25</f>
        <v>23</v>
      </c>
      <c r="J25" s="3" t="str">
        <f t="shared" si="31"/>
        <v>Gana</v>
      </c>
      <c r="K25" s="3">
        <v>2</v>
      </c>
      <c r="L25" s="3" t="str">
        <f t="shared" si="2"/>
        <v>x</v>
      </c>
      <c r="M25" s="3">
        <v>1</v>
      </c>
      <c r="N25" s="3" t="str">
        <f t="shared" si="3"/>
        <v>Panamá</v>
      </c>
      <c r="O25" s="3" t="str">
        <f t="shared" si="4"/>
        <v>Gana</v>
      </c>
      <c r="P25" s="3"/>
      <c r="Q25" s="3" t="b">
        <f t="shared" si="5"/>
        <v>0</v>
      </c>
      <c r="R25" s="3" t="b">
        <f t="shared" si="6"/>
        <v>0</v>
      </c>
      <c r="S25" s="3" t="b">
        <f t="shared" si="7"/>
        <v>1</v>
      </c>
      <c r="T25" s="3" t="b">
        <f t="shared" si="8"/>
        <v>0</v>
      </c>
      <c r="U25" s="3" t="b">
        <f t="shared" si="9"/>
        <v>0</v>
      </c>
      <c r="V25" s="3"/>
      <c r="W25" s="3" cm="1">
        <f t="array" ref="W25">IF(OR(J25="Brasil",N25="Brasil"),2*_xlfn.IFS(Q25=TRUE,6,R25=TRUE,4,AND(S25=TRUE,T25=FALSE),3,T25=TRUE,2,U25=TRUE,0),_xlfn.IFS(Q25=TRUE,6,R25=TRUE,4,AND(S25=TRUE,T25=FALSE),3,T25=TRUE,2,U25=TRUE,0))</f>
        <v>3</v>
      </c>
      <c r="X25" s="3"/>
      <c r="Y25" s="3"/>
    </row>
    <row r="26" spans="1:25" ht="14.25" customHeight="1" x14ac:dyDescent="0.3">
      <c r="A26" s="3">
        <f>'Tabela de Jogos'!A26</f>
        <v>24</v>
      </c>
      <c r="B26" s="3" t="str">
        <f>'Tabela de Jogos'!B26</f>
        <v>Uzbequistão</v>
      </c>
      <c r="C26" s="3">
        <f>'Tabela de Jogos'!C26</f>
        <v>1</v>
      </c>
      <c r="D26" s="3" t="str">
        <f>'Tabela de Jogos'!D26</f>
        <v>x</v>
      </c>
      <c r="E26" s="3">
        <f>'Tabela de Jogos'!E26</f>
        <v>3</v>
      </c>
      <c r="F26" s="3" t="str">
        <f>'Tabela de Jogos'!F26</f>
        <v>Colômbia</v>
      </c>
      <c r="G26" s="3" t="str">
        <f>'Tabela de Jogos'!G26</f>
        <v>Colômbia</v>
      </c>
      <c r="H26" s="3"/>
      <c r="I26" s="3">
        <f t="shared" ref="I26:J26" si="32">A26</f>
        <v>24</v>
      </c>
      <c r="J26" s="3" t="str">
        <f t="shared" si="32"/>
        <v>Uzbequistão</v>
      </c>
      <c r="K26" s="3">
        <v>0</v>
      </c>
      <c r="L26" s="3" t="str">
        <f t="shared" si="2"/>
        <v>x</v>
      </c>
      <c r="M26" s="3">
        <v>2</v>
      </c>
      <c r="N26" s="3" t="str">
        <f t="shared" si="3"/>
        <v>Colômbia</v>
      </c>
      <c r="O26" s="3" t="str">
        <f t="shared" si="4"/>
        <v>Colômbia</v>
      </c>
      <c r="P26" s="3"/>
      <c r="Q26" s="3" t="b">
        <f t="shared" si="5"/>
        <v>0</v>
      </c>
      <c r="R26" s="3" t="b">
        <f t="shared" si="6"/>
        <v>0</v>
      </c>
      <c r="S26" s="3" t="b">
        <f t="shared" si="7"/>
        <v>1</v>
      </c>
      <c r="T26" s="3" t="b">
        <f t="shared" si="8"/>
        <v>0</v>
      </c>
      <c r="U26" s="3" t="b">
        <f t="shared" si="9"/>
        <v>0</v>
      </c>
      <c r="V26" s="3"/>
      <c r="W26" s="3" cm="1">
        <f t="array" ref="W26">IF(OR(J26="Brasil",N26="Brasil"),2*_xlfn.IFS(Q26=TRUE,6,R26=TRUE,4,AND(S26=TRUE,T26=FALSE),3,T26=TRUE,2,U26=TRUE,0),_xlfn.IFS(Q26=TRUE,6,R26=TRUE,4,AND(S26=TRUE,T26=FALSE),3,T26=TRUE,2,U26=TRUE,0))</f>
        <v>3</v>
      </c>
      <c r="X26" s="3"/>
      <c r="Y26" s="3"/>
    </row>
    <row r="27" spans="1:25" ht="14.25" customHeight="1" x14ac:dyDescent="0.3">
      <c r="A27" s="3">
        <f>'Tabela de Jogos'!A27</f>
        <v>25</v>
      </c>
      <c r="B27" s="3" t="str">
        <f>'Tabela de Jogos'!B27</f>
        <v>Tchéquia</v>
      </c>
      <c r="C27" s="3">
        <f>'Tabela de Jogos'!C27</f>
        <v>1</v>
      </c>
      <c r="D27" s="3" t="str">
        <f>'Tabela de Jogos'!D27</f>
        <v>x</v>
      </c>
      <c r="E27" s="3">
        <f>'Tabela de Jogos'!E27</f>
        <v>1</v>
      </c>
      <c r="F27" s="3" t="str">
        <f>'Tabela de Jogos'!F27</f>
        <v>África do Sul</v>
      </c>
      <c r="G27" s="3" t="str">
        <f>'Tabela de Jogos'!G27</f>
        <v>Empate</v>
      </c>
      <c r="H27" s="3"/>
      <c r="I27" s="3">
        <f t="shared" ref="I27:J27" si="33">A27</f>
        <v>25</v>
      </c>
      <c r="J27" s="3" t="str">
        <f t="shared" si="33"/>
        <v>Tchéquia</v>
      </c>
      <c r="K27" s="3">
        <v>2</v>
      </c>
      <c r="L27" s="3" t="str">
        <f t="shared" si="2"/>
        <v>x</v>
      </c>
      <c r="M27" s="3">
        <v>2</v>
      </c>
      <c r="N27" s="3" t="str">
        <f t="shared" si="3"/>
        <v>África do Sul</v>
      </c>
      <c r="O27" s="3" t="str">
        <f t="shared" si="4"/>
        <v>Empate</v>
      </c>
      <c r="P27" s="3"/>
      <c r="Q27" s="3" t="b">
        <f t="shared" si="5"/>
        <v>0</v>
      </c>
      <c r="R27" s="3" t="b">
        <f t="shared" si="6"/>
        <v>0</v>
      </c>
      <c r="S27" s="3" t="b">
        <f t="shared" si="7"/>
        <v>1</v>
      </c>
      <c r="T27" s="3" t="b">
        <f t="shared" si="8"/>
        <v>1</v>
      </c>
      <c r="U27" s="3" t="b">
        <f t="shared" si="9"/>
        <v>0</v>
      </c>
      <c r="V27" s="3"/>
      <c r="W27" s="3" cm="1">
        <f t="array" ref="W27">IF(OR(J27="Brasil",N27="Brasil"),2*_xlfn.IFS(Q27=TRUE,6,R27=TRUE,4,AND(S27=TRUE,T27=FALSE),3,T27=TRUE,2,U27=TRUE,0),_xlfn.IFS(Q27=TRUE,6,R27=TRUE,4,AND(S27=TRUE,T27=FALSE),3,T27=TRUE,2,U27=TRUE,0))</f>
        <v>2</v>
      </c>
      <c r="X27" s="3"/>
      <c r="Y27" s="3"/>
    </row>
    <row r="28" spans="1:25" ht="14.25" customHeight="1" x14ac:dyDescent="0.3">
      <c r="A28" s="3">
        <f>'Tabela de Jogos'!A28</f>
        <v>26</v>
      </c>
      <c r="B28" s="3" t="str">
        <f>'Tabela de Jogos'!B28</f>
        <v>Suíça</v>
      </c>
      <c r="C28" s="3">
        <f>'Tabela de Jogos'!C28</f>
        <v>4</v>
      </c>
      <c r="D28" s="3" t="str">
        <f>'Tabela de Jogos'!D28</f>
        <v>x</v>
      </c>
      <c r="E28" s="3">
        <f>'Tabela de Jogos'!E28</f>
        <v>1</v>
      </c>
      <c r="F28" s="3" t="str">
        <f>'Tabela de Jogos'!F28</f>
        <v>Bósnia</v>
      </c>
      <c r="G28" s="3" t="str">
        <f>'Tabela de Jogos'!G28</f>
        <v>Suíça</v>
      </c>
      <c r="H28" s="3"/>
      <c r="I28" s="3">
        <f t="shared" ref="I28:J28" si="34">A28</f>
        <v>26</v>
      </c>
      <c r="J28" s="3" t="str">
        <f t="shared" si="34"/>
        <v>Suíça</v>
      </c>
      <c r="K28" s="3">
        <v>2</v>
      </c>
      <c r="L28" s="3" t="str">
        <f t="shared" si="2"/>
        <v>x</v>
      </c>
      <c r="M28" s="3">
        <v>1</v>
      </c>
      <c r="N28" s="3" t="str">
        <f t="shared" si="3"/>
        <v>Bósnia</v>
      </c>
      <c r="O28" s="3" t="str">
        <f t="shared" si="4"/>
        <v>Suíça</v>
      </c>
      <c r="P28" s="3"/>
      <c r="Q28" s="3" t="b">
        <f t="shared" si="5"/>
        <v>0</v>
      </c>
      <c r="R28" s="3" t="b">
        <f t="shared" si="6"/>
        <v>0</v>
      </c>
      <c r="S28" s="3" t="b">
        <f t="shared" si="7"/>
        <v>0</v>
      </c>
      <c r="T28" s="3" t="b">
        <f t="shared" si="8"/>
        <v>1</v>
      </c>
      <c r="U28" s="3" t="b">
        <f t="shared" si="9"/>
        <v>0</v>
      </c>
      <c r="V28" s="3"/>
      <c r="W28" s="3" cm="1">
        <f t="array" ref="W28">IF(OR(J28="Brasil",N28="Brasil"),2*_xlfn.IFS(Q28=TRUE,6,R28=TRUE,4,AND(S28=TRUE,T28=FALSE),3,T28=TRUE,2,U28=TRUE,0),_xlfn.IFS(Q28=TRUE,6,R28=TRUE,4,AND(S28=TRUE,T28=FALSE),3,T28=TRUE,2,U28=TRUE,0))</f>
        <v>2</v>
      </c>
      <c r="X28" s="3"/>
      <c r="Y28" s="3"/>
    </row>
    <row r="29" spans="1:25" ht="14.25" customHeight="1" x14ac:dyDescent="0.3">
      <c r="A29" s="3">
        <f>'Tabela de Jogos'!A29</f>
        <v>27</v>
      </c>
      <c r="B29" s="3" t="str">
        <f>'Tabela de Jogos'!B29</f>
        <v>Canadá</v>
      </c>
      <c r="C29" s="3">
        <f>'Tabela de Jogos'!C29</f>
        <v>6</v>
      </c>
      <c r="D29" s="3" t="str">
        <f>'Tabela de Jogos'!D29</f>
        <v>x</v>
      </c>
      <c r="E29" s="3">
        <f>'Tabela de Jogos'!E29</f>
        <v>0</v>
      </c>
      <c r="F29" s="3" t="str">
        <f>'Tabela de Jogos'!F29</f>
        <v>Catar</v>
      </c>
      <c r="G29" s="3" t="str">
        <f>'Tabela de Jogos'!G29</f>
        <v>Canadá</v>
      </c>
      <c r="H29" s="3"/>
      <c r="I29" s="3">
        <f t="shared" ref="I29:J29" si="35">A29</f>
        <v>27</v>
      </c>
      <c r="J29" s="3" t="str">
        <f t="shared" si="35"/>
        <v>Canadá</v>
      </c>
      <c r="K29" s="3">
        <v>1</v>
      </c>
      <c r="L29" s="3" t="str">
        <f t="shared" si="2"/>
        <v>x</v>
      </c>
      <c r="M29" s="3">
        <v>2</v>
      </c>
      <c r="N29" s="3" t="str">
        <f t="shared" si="3"/>
        <v>Catar</v>
      </c>
      <c r="O29" s="3" t="str">
        <f t="shared" si="4"/>
        <v>Catar</v>
      </c>
      <c r="P29" s="3"/>
      <c r="Q29" s="3" t="b">
        <f t="shared" si="5"/>
        <v>0</v>
      </c>
      <c r="R29" s="3" t="b">
        <f t="shared" si="6"/>
        <v>0</v>
      </c>
      <c r="S29" s="3" t="b">
        <f t="shared" si="7"/>
        <v>0</v>
      </c>
      <c r="T29" s="3" t="b">
        <f t="shared" si="8"/>
        <v>0</v>
      </c>
      <c r="U29" s="3" t="b">
        <f t="shared" si="9"/>
        <v>1</v>
      </c>
      <c r="V29" s="3"/>
      <c r="W29" s="3" cm="1">
        <f t="array" ref="W29">IF(OR(J29="Brasil",N29="Brasil"),2*_xlfn.IFS(Q29=TRUE,6,R29=TRUE,4,AND(S29=TRUE,T29=FALSE),3,T29=TRUE,2,U29=TRUE,0),_xlfn.IFS(Q29=TRUE,6,R29=TRUE,4,AND(S29=TRUE,T29=FALSE),3,T29=TRUE,2,U29=TRUE,0))</f>
        <v>0</v>
      </c>
      <c r="X29" s="3"/>
      <c r="Y29" s="3"/>
    </row>
    <row r="30" spans="1:25" ht="14.25" customHeight="1" x14ac:dyDescent="0.3">
      <c r="A30" s="3">
        <f>'Tabela de Jogos'!A30</f>
        <v>28</v>
      </c>
      <c r="B30" s="3" t="str">
        <f>'Tabela de Jogos'!B30</f>
        <v>México</v>
      </c>
      <c r="C30" s="3">
        <f>'Tabela de Jogos'!C30</f>
        <v>1</v>
      </c>
      <c r="D30" s="3" t="str">
        <f>'Tabela de Jogos'!D30</f>
        <v>x</v>
      </c>
      <c r="E30" s="3">
        <f>'Tabela de Jogos'!E30</f>
        <v>0</v>
      </c>
      <c r="F30" s="3" t="str">
        <f>'Tabela de Jogos'!F30</f>
        <v>Coreia do Sul</v>
      </c>
      <c r="G30" s="3" t="str">
        <f>'Tabela de Jogos'!G30</f>
        <v>México</v>
      </c>
      <c r="H30" s="3"/>
      <c r="I30" s="3">
        <f t="shared" ref="I30:J30" si="36">A30</f>
        <v>28</v>
      </c>
      <c r="J30" s="3" t="str">
        <f t="shared" si="36"/>
        <v>México</v>
      </c>
      <c r="K30" s="3">
        <v>3</v>
      </c>
      <c r="L30" s="3" t="str">
        <f t="shared" si="2"/>
        <v>x</v>
      </c>
      <c r="M30" s="3">
        <v>2</v>
      </c>
      <c r="N30" s="3" t="str">
        <f t="shared" si="3"/>
        <v>Coreia do Sul</v>
      </c>
      <c r="O30" s="3" t="str">
        <f t="shared" si="4"/>
        <v>México</v>
      </c>
      <c r="P30" s="3"/>
      <c r="Q30" s="3" t="b">
        <f t="shared" si="5"/>
        <v>0</v>
      </c>
      <c r="R30" s="3" t="b">
        <f t="shared" si="6"/>
        <v>0</v>
      </c>
      <c r="S30" s="3" t="b">
        <f t="shared" si="7"/>
        <v>1</v>
      </c>
      <c r="T30" s="3" t="b">
        <f t="shared" si="8"/>
        <v>0</v>
      </c>
      <c r="U30" s="3" t="b">
        <f t="shared" si="9"/>
        <v>0</v>
      </c>
      <c r="V30" s="3"/>
      <c r="W30" s="3" cm="1">
        <f t="array" ref="W30">IF(OR(J30="Brasil",N30="Brasil"),2*_xlfn.IFS(Q30=TRUE,6,R30=TRUE,4,AND(S30=TRUE,T30=FALSE),3,T30=TRUE,2,U30=TRUE,0),_xlfn.IFS(Q30=TRUE,6,R30=TRUE,4,AND(S30=TRUE,T30=FALSE),3,T30=TRUE,2,U30=TRUE,0))</f>
        <v>3</v>
      </c>
      <c r="X30" s="3"/>
      <c r="Y30" s="3"/>
    </row>
    <row r="31" spans="1:25" ht="14.25" customHeight="1" x14ac:dyDescent="0.3">
      <c r="A31" s="3">
        <f>'Tabela de Jogos'!A31</f>
        <v>29</v>
      </c>
      <c r="B31" s="3" t="str">
        <f>'Tabela de Jogos'!B31</f>
        <v>EUA</v>
      </c>
      <c r="C31" s="3">
        <f>'Tabela de Jogos'!C31</f>
        <v>2</v>
      </c>
      <c r="D31" s="3" t="str">
        <f>'Tabela de Jogos'!D31</f>
        <v>x</v>
      </c>
      <c r="E31" s="3">
        <f>'Tabela de Jogos'!E31</f>
        <v>0</v>
      </c>
      <c r="F31" s="3" t="str">
        <f>'Tabela de Jogos'!F31</f>
        <v>Austrália</v>
      </c>
      <c r="G31" s="3" t="str">
        <f>'Tabela de Jogos'!G31</f>
        <v>EUA</v>
      </c>
      <c r="H31" s="3"/>
      <c r="I31" s="3">
        <f t="shared" ref="I31:J31" si="37">A31</f>
        <v>29</v>
      </c>
      <c r="J31" s="3" t="str">
        <f t="shared" si="37"/>
        <v>EUA</v>
      </c>
      <c r="K31" s="3">
        <v>3</v>
      </c>
      <c r="L31" s="3" t="str">
        <f t="shared" si="2"/>
        <v>x</v>
      </c>
      <c r="M31" s="3">
        <v>1</v>
      </c>
      <c r="N31" s="3" t="str">
        <f t="shared" si="3"/>
        <v>Austrália</v>
      </c>
      <c r="O31" s="3" t="str">
        <f t="shared" si="4"/>
        <v>EUA</v>
      </c>
      <c r="P31" s="3"/>
      <c r="Q31" s="3" t="b">
        <f t="shared" si="5"/>
        <v>0</v>
      </c>
      <c r="R31" s="3" t="b">
        <f t="shared" si="6"/>
        <v>0</v>
      </c>
      <c r="S31" s="3" t="b">
        <f t="shared" si="7"/>
        <v>1</v>
      </c>
      <c r="T31" s="3" t="b">
        <f t="shared" si="8"/>
        <v>0</v>
      </c>
      <c r="U31" s="3" t="b">
        <f t="shared" si="9"/>
        <v>0</v>
      </c>
      <c r="V31" s="3"/>
      <c r="W31" s="3" cm="1">
        <f t="array" ref="W31">IF(OR(J31="Brasil",N31="Brasil"),2*_xlfn.IFS(Q31=TRUE,6,R31=TRUE,4,AND(S31=TRUE,T31=FALSE),3,T31=TRUE,2,U31=TRUE,0),_xlfn.IFS(Q31=TRUE,6,R31=TRUE,4,AND(S31=TRUE,T31=FALSE),3,T31=TRUE,2,U31=TRUE,0))</f>
        <v>3</v>
      </c>
      <c r="X31" s="3"/>
      <c r="Y31" s="3"/>
    </row>
    <row r="32" spans="1:25" ht="14.25" customHeight="1" x14ac:dyDescent="0.3">
      <c r="A32" s="3">
        <f>'Tabela de Jogos'!A32</f>
        <v>30</v>
      </c>
      <c r="B32" s="3" t="str">
        <f>'Tabela de Jogos'!B32</f>
        <v>Escócia</v>
      </c>
      <c r="C32" s="3">
        <f>'Tabela de Jogos'!C32</f>
        <v>0</v>
      </c>
      <c r="D32" s="3" t="str">
        <f>'Tabela de Jogos'!D32</f>
        <v>x</v>
      </c>
      <c r="E32" s="3">
        <f>'Tabela de Jogos'!E32</f>
        <v>1</v>
      </c>
      <c r="F32" s="3" t="str">
        <f>'Tabela de Jogos'!F32</f>
        <v>Marrocos</v>
      </c>
      <c r="G32" s="3" t="str">
        <f>'Tabela de Jogos'!G32</f>
        <v>Marrocos</v>
      </c>
      <c r="H32" s="3"/>
      <c r="I32" s="3">
        <f t="shared" ref="I32:J32" si="38">A32</f>
        <v>30</v>
      </c>
      <c r="J32" s="3" t="str">
        <f t="shared" si="38"/>
        <v>Escócia</v>
      </c>
      <c r="K32" s="3">
        <v>0</v>
      </c>
      <c r="L32" s="3" t="str">
        <f t="shared" si="2"/>
        <v>x</v>
      </c>
      <c r="M32" s="3">
        <v>2</v>
      </c>
      <c r="N32" s="3" t="str">
        <f t="shared" si="3"/>
        <v>Marrocos</v>
      </c>
      <c r="O32" s="3" t="str">
        <f t="shared" si="4"/>
        <v>Marrocos</v>
      </c>
      <c r="P32" s="3"/>
      <c r="Q32" s="3" t="b">
        <f t="shared" si="5"/>
        <v>0</v>
      </c>
      <c r="R32" s="3" t="b">
        <f t="shared" si="6"/>
        <v>0</v>
      </c>
      <c r="S32" s="3" t="b">
        <f t="shared" si="7"/>
        <v>0</v>
      </c>
      <c r="T32" s="3" t="b">
        <f t="shared" si="8"/>
        <v>1</v>
      </c>
      <c r="U32" s="3" t="b">
        <f t="shared" si="9"/>
        <v>0</v>
      </c>
      <c r="V32" s="3"/>
      <c r="W32" s="3" cm="1">
        <f t="array" ref="W32">IF(OR(J32="Brasil",N32="Brasil"),2*_xlfn.IFS(Q32=TRUE,6,R32=TRUE,4,AND(S32=TRUE,T32=FALSE),3,T32=TRUE,2,U32=TRUE,0),_xlfn.IFS(Q32=TRUE,6,R32=TRUE,4,AND(S32=TRUE,T32=FALSE),3,T32=TRUE,2,U32=TRUE,0))</f>
        <v>2</v>
      </c>
      <c r="X32" s="3"/>
      <c r="Y32" s="3"/>
    </row>
    <row r="33" spans="1:25" ht="14.25" customHeight="1" x14ac:dyDescent="0.3">
      <c r="A33" s="3">
        <f>'Tabela de Jogos'!A33</f>
        <v>31</v>
      </c>
      <c r="B33" s="3" t="str">
        <f>'Tabela de Jogos'!B33</f>
        <v>Brasil</v>
      </c>
      <c r="C33" s="3">
        <f>'Tabela de Jogos'!C33</f>
        <v>3</v>
      </c>
      <c r="D33" s="3" t="str">
        <f>'Tabela de Jogos'!D33</f>
        <v>x</v>
      </c>
      <c r="E33" s="3">
        <f>'Tabela de Jogos'!E33</f>
        <v>0</v>
      </c>
      <c r="F33" s="3" t="str">
        <f>'Tabela de Jogos'!F33</f>
        <v>Haiti</v>
      </c>
      <c r="G33" s="3" t="str">
        <f>'Tabela de Jogos'!G33</f>
        <v>Brasil</v>
      </c>
      <c r="H33" s="3"/>
      <c r="I33" s="3">
        <f t="shared" ref="I33:J33" si="39">A33</f>
        <v>31</v>
      </c>
      <c r="J33" s="3" t="str">
        <f t="shared" si="39"/>
        <v>Brasil</v>
      </c>
      <c r="K33" s="3">
        <v>3</v>
      </c>
      <c r="L33" s="3" t="str">
        <f t="shared" si="2"/>
        <v>x</v>
      </c>
      <c r="M33" s="3">
        <v>1</v>
      </c>
      <c r="N33" s="3" t="str">
        <f t="shared" si="3"/>
        <v>Haiti</v>
      </c>
      <c r="O33" s="3" t="str">
        <f t="shared" si="4"/>
        <v>Brasil</v>
      </c>
      <c r="P33" s="3"/>
      <c r="Q33" s="3" t="b">
        <f t="shared" si="5"/>
        <v>0</v>
      </c>
      <c r="R33" s="3" t="b">
        <f t="shared" si="6"/>
        <v>1</v>
      </c>
      <c r="S33" s="3" t="b">
        <f t="shared" si="7"/>
        <v>0</v>
      </c>
      <c r="T33" s="3" t="b">
        <f t="shared" si="8"/>
        <v>0</v>
      </c>
      <c r="U33" s="3" t="b">
        <f t="shared" si="9"/>
        <v>0</v>
      </c>
      <c r="V33" s="3"/>
      <c r="W33" s="3" cm="1">
        <f t="array" ref="W33">IF(OR(J33="Brasil",N33="Brasil"),2*_xlfn.IFS(Q33=TRUE,6,R33=TRUE,4,AND(S33=TRUE,T33=FALSE),3,T33=TRUE,2,U33=TRUE,0),_xlfn.IFS(Q33=TRUE,6,R33=TRUE,4,AND(S33=TRUE,T33=FALSE),3,T33=TRUE,2,U33=TRUE,0))</f>
        <v>8</v>
      </c>
      <c r="X33" s="3"/>
      <c r="Y33" s="3"/>
    </row>
    <row r="34" spans="1:25" ht="14.25" customHeight="1" x14ac:dyDescent="0.3">
      <c r="A34" s="3">
        <f>'Tabela de Jogos'!A34</f>
        <v>32</v>
      </c>
      <c r="B34" s="3" t="str">
        <f>'Tabela de Jogos'!B34</f>
        <v>Turquia</v>
      </c>
      <c r="C34" s="3">
        <f>'Tabela de Jogos'!C34</f>
        <v>0</v>
      </c>
      <c r="D34" s="3" t="str">
        <f>'Tabela de Jogos'!D34</f>
        <v>x</v>
      </c>
      <c r="E34" s="3">
        <f>'Tabela de Jogos'!E34</f>
        <v>1</v>
      </c>
      <c r="F34" s="3" t="str">
        <f>'Tabela de Jogos'!F34</f>
        <v>Paraguai</v>
      </c>
      <c r="G34" s="3" t="str">
        <f>'Tabela de Jogos'!G34</f>
        <v>Paraguai</v>
      </c>
      <c r="H34" s="3"/>
      <c r="I34" s="3">
        <f t="shared" ref="I34:J34" si="40">A34</f>
        <v>32</v>
      </c>
      <c r="J34" s="3" t="str">
        <f t="shared" si="40"/>
        <v>Turquia</v>
      </c>
      <c r="K34" s="3">
        <v>3</v>
      </c>
      <c r="L34" s="3" t="str">
        <f t="shared" si="2"/>
        <v>x</v>
      </c>
      <c r="M34" s="3">
        <v>1</v>
      </c>
      <c r="N34" s="3" t="str">
        <f t="shared" si="3"/>
        <v>Paraguai</v>
      </c>
      <c r="O34" s="3" t="str">
        <f t="shared" si="4"/>
        <v>Turquia</v>
      </c>
      <c r="P34" s="3"/>
      <c r="Q34" s="3" t="b">
        <f t="shared" si="5"/>
        <v>0</v>
      </c>
      <c r="R34" s="3" t="b">
        <f t="shared" si="6"/>
        <v>0</v>
      </c>
      <c r="S34" s="3" t="b">
        <f t="shared" si="7"/>
        <v>0</v>
      </c>
      <c r="T34" s="3" t="b">
        <f t="shared" si="8"/>
        <v>0</v>
      </c>
      <c r="U34" s="3" t="b">
        <f t="shared" si="9"/>
        <v>1</v>
      </c>
      <c r="V34" s="3"/>
      <c r="W34" s="3" cm="1">
        <f t="array" ref="W34">IF(OR(J34="Brasil",N34="Brasil"),2*_xlfn.IFS(Q34=TRUE,6,R34=TRUE,4,AND(S34=TRUE,T34=FALSE),3,T34=TRUE,2,U34=TRUE,0),_xlfn.IFS(Q34=TRUE,6,R34=TRUE,4,AND(S34=TRUE,T34=FALSE),3,T34=TRUE,2,U34=TRUE,0))</f>
        <v>0</v>
      </c>
      <c r="X34" s="3"/>
      <c r="Y34" s="3"/>
    </row>
    <row r="35" spans="1:25" ht="14.25" customHeight="1" x14ac:dyDescent="0.3">
      <c r="A35" s="3">
        <f>'Tabela de Jogos'!A35</f>
        <v>33</v>
      </c>
      <c r="B35" s="3" t="str">
        <f>'Tabela de Jogos'!B35</f>
        <v>Holanda</v>
      </c>
      <c r="C35" s="3">
        <f>'Tabela de Jogos'!C35</f>
        <v>5</v>
      </c>
      <c r="D35" s="3" t="str">
        <f>'Tabela de Jogos'!D35</f>
        <v>x</v>
      </c>
      <c r="E35" s="3">
        <f>'Tabela de Jogos'!E35</f>
        <v>1</v>
      </c>
      <c r="F35" s="3" t="str">
        <f>'Tabela de Jogos'!F35</f>
        <v>Suécia</v>
      </c>
      <c r="G35" s="3" t="str">
        <f>'Tabela de Jogos'!G35</f>
        <v>Holanda</v>
      </c>
      <c r="H35" s="3"/>
      <c r="I35" s="3">
        <f t="shared" ref="I35:J35" si="41">A35</f>
        <v>33</v>
      </c>
      <c r="J35" s="3" t="str">
        <f t="shared" si="41"/>
        <v>Holanda</v>
      </c>
      <c r="K35" s="3">
        <v>1</v>
      </c>
      <c r="L35" s="3" t="str">
        <f t="shared" si="2"/>
        <v>x</v>
      </c>
      <c r="M35" s="3">
        <v>2</v>
      </c>
      <c r="N35" s="3" t="str">
        <f t="shared" si="3"/>
        <v>Suécia</v>
      </c>
      <c r="O35" s="3" t="str">
        <f t="shared" si="4"/>
        <v>Suécia</v>
      </c>
      <c r="P35" s="3"/>
      <c r="Q35" s="3" t="b">
        <f t="shared" si="5"/>
        <v>0</v>
      </c>
      <c r="R35" s="3" t="b">
        <f t="shared" si="6"/>
        <v>0</v>
      </c>
      <c r="S35" s="3" t="b">
        <f t="shared" si="7"/>
        <v>0</v>
      </c>
      <c r="T35" s="3" t="b">
        <f t="shared" si="8"/>
        <v>0</v>
      </c>
      <c r="U35" s="3" t="b">
        <f t="shared" si="9"/>
        <v>1</v>
      </c>
      <c r="V35" s="3"/>
      <c r="W35" s="3" cm="1">
        <f t="array" ref="W35">IF(OR(J35="Brasil",N35="Brasil"),2*_xlfn.IFS(Q35=TRUE,6,R35=TRUE,4,AND(S35=TRUE,T35=FALSE),3,T35=TRUE,2,U35=TRUE,0),_xlfn.IFS(Q35=TRUE,6,R35=TRUE,4,AND(S35=TRUE,T35=FALSE),3,T35=TRUE,2,U35=TRUE,0))</f>
        <v>0</v>
      </c>
      <c r="X35" s="3"/>
      <c r="Y35" s="3"/>
    </row>
    <row r="36" spans="1:25" ht="14.25" customHeight="1" x14ac:dyDescent="0.3">
      <c r="A36" s="3">
        <f>'Tabela de Jogos'!A36</f>
        <v>34</v>
      </c>
      <c r="B36" s="3" t="str">
        <f>'Tabela de Jogos'!B36</f>
        <v>Alemanha</v>
      </c>
      <c r="C36" s="3">
        <f>'Tabela de Jogos'!C36</f>
        <v>2</v>
      </c>
      <c r="D36" s="3" t="str">
        <f>'Tabela de Jogos'!D36</f>
        <v>x</v>
      </c>
      <c r="E36" s="3">
        <f>'Tabela de Jogos'!E36</f>
        <v>1</v>
      </c>
      <c r="F36" s="3" t="str">
        <f>'Tabela de Jogos'!F36</f>
        <v>Costa do Marfim</v>
      </c>
      <c r="G36" s="3" t="str">
        <f>'Tabela de Jogos'!G36</f>
        <v>Alemanha</v>
      </c>
      <c r="H36" s="3"/>
      <c r="I36" s="3">
        <f t="shared" ref="I36:J36" si="42">A36</f>
        <v>34</v>
      </c>
      <c r="J36" s="3" t="str">
        <f t="shared" si="42"/>
        <v>Alemanha</v>
      </c>
      <c r="K36" s="3">
        <v>3</v>
      </c>
      <c r="L36" s="3" t="str">
        <f t="shared" si="2"/>
        <v>x</v>
      </c>
      <c r="M36" s="3">
        <v>0</v>
      </c>
      <c r="N36" s="3" t="str">
        <f t="shared" si="3"/>
        <v>Costa do Marfim</v>
      </c>
      <c r="O36" s="3" t="str">
        <f t="shared" si="4"/>
        <v>Alemanha</v>
      </c>
      <c r="P36" s="3"/>
      <c r="Q36" s="3" t="b">
        <f t="shared" si="5"/>
        <v>0</v>
      </c>
      <c r="R36" s="3" t="b">
        <f t="shared" si="6"/>
        <v>0</v>
      </c>
      <c r="S36" s="3" t="b">
        <f t="shared" si="7"/>
        <v>0</v>
      </c>
      <c r="T36" s="3" t="b">
        <f t="shared" si="8"/>
        <v>1</v>
      </c>
      <c r="U36" s="3" t="b">
        <f t="shared" si="9"/>
        <v>0</v>
      </c>
      <c r="V36" s="3"/>
      <c r="W36" s="3" cm="1">
        <f t="array" ref="W36">IF(OR(J36="Brasil",N36="Brasil"),2*_xlfn.IFS(Q36=TRUE,6,R36=TRUE,4,AND(S36=TRUE,T36=FALSE),3,T36=TRUE,2,U36=TRUE,0),_xlfn.IFS(Q36=TRUE,6,R36=TRUE,4,AND(S36=TRUE,T36=FALSE),3,T36=TRUE,2,U36=TRUE,0))</f>
        <v>2</v>
      </c>
      <c r="X36" s="3"/>
      <c r="Y36" s="3"/>
    </row>
    <row r="37" spans="1:25" ht="14.25" customHeight="1" x14ac:dyDescent="0.3">
      <c r="A37" s="3">
        <f>'Tabela de Jogos'!A37</f>
        <v>35</v>
      </c>
      <c r="B37" s="3" t="str">
        <f>'Tabela de Jogos'!B37</f>
        <v>Equador</v>
      </c>
      <c r="C37" s="3">
        <f>'Tabela de Jogos'!C37</f>
        <v>0</v>
      </c>
      <c r="D37" s="3" t="str">
        <f>'Tabela de Jogos'!D37</f>
        <v>x</v>
      </c>
      <c r="E37" s="3">
        <f>'Tabela de Jogos'!E37</f>
        <v>0</v>
      </c>
      <c r="F37" s="3" t="str">
        <f>'Tabela de Jogos'!F37</f>
        <v>Curaçao</v>
      </c>
      <c r="G37" s="3" t="str">
        <f>'Tabela de Jogos'!G37</f>
        <v>Empate</v>
      </c>
      <c r="H37" s="3"/>
      <c r="I37" s="3">
        <f t="shared" ref="I37:J37" si="43">A37</f>
        <v>35</v>
      </c>
      <c r="J37" s="3" t="str">
        <f t="shared" si="43"/>
        <v>Equador</v>
      </c>
      <c r="K37" s="3">
        <v>2</v>
      </c>
      <c r="L37" s="3" t="str">
        <f t="shared" si="2"/>
        <v>x</v>
      </c>
      <c r="M37" s="3">
        <v>2</v>
      </c>
      <c r="N37" s="3" t="str">
        <f t="shared" si="3"/>
        <v>Curaçao</v>
      </c>
      <c r="O37" s="3" t="str">
        <f t="shared" si="4"/>
        <v>Empate</v>
      </c>
      <c r="P37" s="3"/>
      <c r="Q37" s="3" t="b">
        <f t="shared" si="5"/>
        <v>0</v>
      </c>
      <c r="R37" s="3" t="b">
        <f t="shared" si="6"/>
        <v>0</v>
      </c>
      <c r="S37" s="3" t="b">
        <f t="shared" si="7"/>
        <v>1</v>
      </c>
      <c r="T37" s="3" t="b">
        <f t="shared" si="8"/>
        <v>1</v>
      </c>
      <c r="U37" s="3" t="b">
        <f t="shared" si="9"/>
        <v>0</v>
      </c>
      <c r="V37" s="3"/>
      <c r="W37" s="3" cm="1">
        <f t="array" ref="W37">IF(OR(J37="Brasil",N37="Brasil"),2*_xlfn.IFS(Q37=TRUE,6,R37=TRUE,4,AND(S37=TRUE,T37=FALSE),3,T37=TRUE,2,U37=TRUE,0),_xlfn.IFS(Q37=TRUE,6,R37=TRUE,4,AND(S37=TRUE,T37=FALSE),3,T37=TRUE,2,U37=TRUE,0))</f>
        <v>2</v>
      </c>
      <c r="X37" s="3"/>
      <c r="Y37" s="3"/>
    </row>
    <row r="38" spans="1:25" ht="14.25" customHeight="1" x14ac:dyDescent="0.3">
      <c r="A38" s="3">
        <f>'Tabela de Jogos'!A38</f>
        <v>36</v>
      </c>
      <c r="B38" s="3" t="str">
        <f>'Tabela de Jogos'!B38</f>
        <v>Tunísia</v>
      </c>
      <c r="C38" s="3">
        <f>'Tabela de Jogos'!C38</f>
        <v>0</v>
      </c>
      <c r="D38" s="3" t="str">
        <f>'Tabela de Jogos'!D38</f>
        <v>x</v>
      </c>
      <c r="E38" s="3">
        <f>'Tabela de Jogos'!E38</f>
        <v>4</v>
      </c>
      <c r="F38" s="3" t="str">
        <f>'Tabela de Jogos'!F38</f>
        <v>Japão</v>
      </c>
      <c r="G38" s="3" t="str">
        <f>'Tabela de Jogos'!G38</f>
        <v>Japão</v>
      </c>
      <c r="H38" s="3"/>
      <c r="I38" s="3">
        <f t="shared" ref="I38:J38" si="44">A38</f>
        <v>36</v>
      </c>
      <c r="J38" s="3" t="str">
        <f t="shared" si="44"/>
        <v>Tunísia</v>
      </c>
      <c r="K38" s="3">
        <v>1</v>
      </c>
      <c r="L38" s="3" t="str">
        <f t="shared" si="2"/>
        <v>x</v>
      </c>
      <c r="M38" s="3">
        <v>3</v>
      </c>
      <c r="N38" s="3" t="str">
        <f t="shared" si="3"/>
        <v>Japão</v>
      </c>
      <c r="O38" s="3" t="str">
        <f t="shared" si="4"/>
        <v>Japão</v>
      </c>
      <c r="P38" s="3"/>
      <c r="Q38" s="3" t="b">
        <f t="shared" si="5"/>
        <v>0</v>
      </c>
      <c r="R38" s="3" t="b">
        <f t="shared" si="6"/>
        <v>0</v>
      </c>
      <c r="S38" s="3" t="b">
        <f t="shared" si="7"/>
        <v>0</v>
      </c>
      <c r="T38" s="3" t="b">
        <f t="shared" si="8"/>
        <v>1</v>
      </c>
      <c r="U38" s="3" t="b">
        <f t="shared" si="9"/>
        <v>0</v>
      </c>
      <c r="V38" s="3"/>
      <c r="W38" s="3" cm="1">
        <f t="array" ref="W38">IF(OR(J38="Brasil",N38="Brasil"),2*_xlfn.IFS(Q38=TRUE,6,R38=TRUE,4,AND(S38=TRUE,T38=FALSE),3,T38=TRUE,2,U38=TRUE,0),_xlfn.IFS(Q38=TRUE,6,R38=TRUE,4,AND(S38=TRUE,T38=FALSE),3,T38=TRUE,2,U38=TRUE,0))</f>
        <v>2</v>
      </c>
      <c r="X38" s="3"/>
      <c r="Y38" s="3"/>
    </row>
    <row r="39" spans="1:25" ht="14.25" customHeight="1" x14ac:dyDescent="0.3">
      <c r="A39" s="3">
        <f>'Tabela de Jogos'!A39</f>
        <v>37</v>
      </c>
      <c r="B39" s="3" t="str">
        <f>'Tabela de Jogos'!B39</f>
        <v>Espanha</v>
      </c>
      <c r="C39" s="3">
        <f>'Tabela de Jogos'!C39</f>
        <v>4</v>
      </c>
      <c r="D39" s="3" t="str">
        <f>'Tabela de Jogos'!D39</f>
        <v>x</v>
      </c>
      <c r="E39" s="3">
        <f>'Tabela de Jogos'!E39</f>
        <v>0</v>
      </c>
      <c r="F39" s="3" t="str">
        <f>'Tabela de Jogos'!F39</f>
        <v>Arábia Saudita</v>
      </c>
      <c r="G39" s="3" t="str">
        <f>'Tabela de Jogos'!G39</f>
        <v>Espanha</v>
      </c>
      <c r="H39" s="3"/>
      <c r="I39" s="3">
        <f t="shared" ref="I39:J39" si="45">A39</f>
        <v>37</v>
      </c>
      <c r="J39" s="3" t="str">
        <f t="shared" si="45"/>
        <v>Espanha</v>
      </c>
      <c r="K39" s="3">
        <v>4</v>
      </c>
      <c r="L39" s="3" t="str">
        <f t="shared" si="2"/>
        <v>x</v>
      </c>
      <c r="M39" s="3">
        <v>0</v>
      </c>
      <c r="N39" s="3" t="str">
        <f t="shared" si="3"/>
        <v>Arábia Saudita</v>
      </c>
      <c r="O39" s="3" t="str">
        <f t="shared" si="4"/>
        <v>Espanha</v>
      </c>
      <c r="P39" s="3"/>
      <c r="Q39" s="3" t="b">
        <f t="shared" si="5"/>
        <v>1</v>
      </c>
      <c r="R39" s="3" t="b">
        <f t="shared" si="6"/>
        <v>0</v>
      </c>
      <c r="S39" s="3" t="b">
        <f t="shared" si="7"/>
        <v>0</v>
      </c>
      <c r="T39" s="3" t="b">
        <f t="shared" si="8"/>
        <v>0</v>
      </c>
      <c r="U39" s="3" t="b">
        <f t="shared" si="9"/>
        <v>0</v>
      </c>
      <c r="V39" s="3"/>
      <c r="W39" s="3" cm="1">
        <f t="array" ref="W39">IF(OR(J39="Brasil",N39="Brasil"),2*_xlfn.IFS(Q39=TRUE,6,R39=TRUE,4,AND(S39=TRUE,T39=FALSE),3,T39=TRUE,2,U39=TRUE,0),_xlfn.IFS(Q39=TRUE,6,R39=TRUE,4,AND(S39=TRUE,T39=FALSE),3,T39=TRUE,2,U39=TRUE,0))</f>
        <v>6</v>
      </c>
      <c r="X39" s="3"/>
      <c r="Y39" s="3"/>
    </row>
    <row r="40" spans="1:25" ht="14.25" customHeight="1" x14ac:dyDescent="0.3">
      <c r="A40" s="3">
        <f>'Tabela de Jogos'!A40</f>
        <v>38</v>
      </c>
      <c r="B40" s="3" t="str">
        <f>'Tabela de Jogos'!B40</f>
        <v>Bélgica</v>
      </c>
      <c r="C40" s="3">
        <f>'Tabela de Jogos'!C40</f>
        <v>0</v>
      </c>
      <c r="D40" s="3" t="str">
        <f>'Tabela de Jogos'!D40</f>
        <v>x</v>
      </c>
      <c r="E40" s="3">
        <f>'Tabela de Jogos'!E40</f>
        <v>0</v>
      </c>
      <c r="F40" s="3" t="str">
        <f>'Tabela de Jogos'!F40</f>
        <v>Irã</v>
      </c>
      <c r="G40" s="3" t="str">
        <f>'Tabela de Jogos'!G40</f>
        <v>Empate</v>
      </c>
      <c r="H40" s="3"/>
      <c r="I40" s="3">
        <f t="shared" ref="I40:J40" si="46">A40</f>
        <v>38</v>
      </c>
      <c r="J40" s="3" t="str">
        <f t="shared" si="46"/>
        <v>Bélgica</v>
      </c>
      <c r="K40" s="3">
        <v>3</v>
      </c>
      <c r="L40" s="3" t="str">
        <f t="shared" si="2"/>
        <v>x</v>
      </c>
      <c r="M40" s="3">
        <v>1</v>
      </c>
      <c r="N40" s="3" t="str">
        <f t="shared" si="3"/>
        <v>Irã</v>
      </c>
      <c r="O40" s="3" t="str">
        <f t="shared" si="4"/>
        <v>Bélgica</v>
      </c>
      <c r="P40" s="3"/>
      <c r="Q40" s="3" t="b">
        <f t="shared" si="5"/>
        <v>0</v>
      </c>
      <c r="R40" s="3" t="b">
        <f t="shared" si="6"/>
        <v>0</v>
      </c>
      <c r="S40" s="3" t="b">
        <f t="shared" si="7"/>
        <v>0</v>
      </c>
      <c r="T40" s="3" t="b">
        <f t="shared" si="8"/>
        <v>0</v>
      </c>
      <c r="U40" s="3" t="b">
        <f t="shared" si="9"/>
        <v>1</v>
      </c>
      <c r="V40" s="3"/>
      <c r="W40" s="3" cm="1">
        <f t="array" ref="W40">IF(OR(J40="Brasil",N40="Brasil"),2*_xlfn.IFS(Q40=TRUE,6,R40=TRUE,4,AND(S40=TRUE,T40=FALSE),3,T40=TRUE,2,U40=TRUE,0),_xlfn.IFS(Q40=TRUE,6,R40=TRUE,4,AND(S40=TRUE,T40=FALSE),3,T40=TRUE,2,U40=TRUE,0))</f>
        <v>0</v>
      </c>
      <c r="X40" s="3"/>
      <c r="Y40" s="3"/>
    </row>
    <row r="41" spans="1:25" ht="14.25" customHeight="1" x14ac:dyDescent="0.3">
      <c r="A41" s="3">
        <f>'Tabela de Jogos'!A41</f>
        <v>39</v>
      </c>
      <c r="B41" s="3" t="str">
        <f>'Tabela de Jogos'!B41</f>
        <v>Uruguai</v>
      </c>
      <c r="C41" s="3">
        <f>'Tabela de Jogos'!C41</f>
        <v>2</v>
      </c>
      <c r="D41" s="3" t="str">
        <f>'Tabela de Jogos'!D41</f>
        <v>x</v>
      </c>
      <c r="E41" s="3">
        <f>'Tabela de Jogos'!E41</f>
        <v>2</v>
      </c>
      <c r="F41" s="3" t="str">
        <f>'Tabela de Jogos'!F41</f>
        <v>Cabo Verde</v>
      </c>
      <c r="G41" s="3" t="str">
        <f>'Tabela de Jogos'!G41</f>
        <v>Empate</v>
      </c>
      <c r="H41" s="3"/>
      <c r="I41" s="3">
        <f t="shared" ref="I41:J41" si="47">A41</f>
        <v>39</v>
      </c>
      <c r="J41" s="3" t="str">
        <f t="shared" si="47"/>
        <v>Uruguai</v>
      </c>
      <c r="K41" s="3">
        <v>0</v>
      </c>
      <c r="L41" s="3" t="str">
        <f t="shared" si="2"/>
        <v>x</v>
      </c>
      <c r="M41" s="3">
        <v>1</v>
      </c>
      <c r="N41" s="3" t="str">
        <f t="shared" si="3"/>
        <v>Cabo Verde</v>
      </c>
      <c r="O41" s="3" t="str">
        <f t="shared" si="4"/>
        <v>Cabo Verde</v>
      </c>
      <c r="P41" s="3"/>
      <c r="Q41" s="3" t="b">
        <f t="shared" si="5"/>
        <v>0</v>
      </c>
      <c r="R41" s="3" t="b">
        <f t="shared" si="6"/>
        <v>0</v>
      </c>
      <c r="S41" s="3" t="b">
        <f t="shared" si="7"/>
        <v>0</v>
      </c>
      <c r="T41" s="3" t="b">
        <f t="shared" si="8"/>
        <v>0</v>
      </c>
      <c r="U41" s="3" t="b">
        <f t="shared" si="9"/>
        <v>1</v>
      </c>
      <c r="V41" s="3"/>
      <c r="W41" s="3" cm="1">
        <f t="array" ref="W41">IF(OR(J41="Brasil",N41="Brasil"),2*_xlfn.IFS(Q41=TRUE,6,R41=TRUE,4,AND(S41=TRUE,T41=FALSE),3,T41=TRUE,2,U41=TRUE,0),_xlfn.IFS(Q41=TRUE,6,R41=TRUE,4,AND(S41=TRUE,T41=FALSE),3,T41=TRUE,2,U41=TRUE,0))</f>
        <v>0</v>
      </c>
      <c r="X41" s="3"/>
      <c r="Y41" s="3"/>
    </row>
    <row r="42" spans="1:25" ht="14.25" customHeight="1" x14ac:dyDescent="0.3">
      <c r="A42" s="3">
        <f>'Tabela de Jogos'!A42</f>
        <v>40</v>
      </c>
      <c r="B42" s="3" t="str">
        <f>'Tabela de Jogos'!B42</f>
        <v>Nova Zelândia</v>
      </c>
      <c r="C42" s="3">
        <f>'Tabela de Jogos'!C42</f>
        <v>1</v>
      </c>
      <c r="D42" s="3" t="str">
        <f>'Tabela de Jogos'!D42</f>
        <v>x</v>
      </c>
      <c r="E42" s="3">
        <f>'Tabela de Jogos'!E42</f>
        <v>3</v>
      </c>
      <c r="F42" s="3" t="str">
        <f>'Tabela de Jogos'!F42</f>
        <v>Egito</v>
      </c>
      <c r="G42" s="3" t="str">
        <f>'Tabela de Jogos'!G42</f>
        <v>Egito</v>
      </c>
      <c r="H42" s="3"/>
      <c r="I42" s="3">
        <f t="shared" ref="I42:J42" si="48">A42</f>
        <v>40</v>
      </c>
      <c r="J42" s="3" t="str">
        <f t="shared" si="48"/>
        <v>Nova Zelândia</v>
      </c>
      <c r="K42" s="3">
        <v>0</v>
      </c>
      <c r="L42" s="3" t="str">
        <f t="shared" si="2"/>
        <v>x</v>
      </c>
      <c r="M42" s="3">
        <v>2</v>
      </c>
      <c r="N42" s="3" t="str">
        <f t="shared" si="3"/>
        <v>Egito</v>
      </c>
      <c r="O42" s="3" t="str">
        <f t="shared" si="4"/>
        <v>Egito</v>
      </c>
      <c r="P42" s="3"/>
      <c r="Q42" s="3" t="b">
        <f t="shared" si="5"/>
        <v>0</v>
      </c>
      <c r="R42" s="3" t="b">
        <f t="shared" si="6"/>
        <v>0</v>
      </c>
      <c r="S42" s="3" t="b">
        <f t="shared" si="7"/>
        <v>1</v>
      </c>
      <c r="T42" s="3" t="b">
        <f t="shared" si="8"/>
        <v>0</v>
      </c>
      <c r="U42" s="3" t="b">
        <f t="shared" si="9"/>
        <v>0</v>
      </c>
      <c r="V42" s="3"/>
      <c r="W42" s="3" cm="1">
        <f t="array" ref="W42">IF(OR(J42="Brasil",N42="Brasil"),2*_xlfn.IFS(Q42=TRUE,6,R42=TRUE,4,AND(S42=TRUE,T42=FALSE),3,T42=TRUE,2,U42=TRUE,0),_xlfn.IFS(Q42=TRUE,6,R42=TRUE,4,AND(S42=TRUE,T42=FALSE),3,T42=TRUE,2,U42=TRUE,0))</f>
        <v>3</v>
      </c>
      <c r="X42" s="3"/>
      <c r="Y42" s="3"/>
    </row>
    <row r="43" spans="1:25" ht="14.25" customHeight="1" x14ac:dyDescent="0.3">
      <c r="A43" s="3">
        <f>'Tabela de Jogos'!A43</f>
        <v>41</v>
      </c>
      <c r="B43" s="3" t="str">
        <f>'Tabela de Jogos'!B43</f>
        <v>Argentina</v>
      </c>
      <c r="C43" s="3">
        <f>'Tabela de Jogos'!C43</f>
        <v>2</v>
      </c>
      <c r="D43" s="3" t="str">
        <f>'Tabela de Jogos'!D43</f>
        <v>x</v>
      </c>
      <c r="E43" s="3">
        <f>'Tabela de Jogos'!E43</f>
        <v>0</v>
      </c>
      <c r="F43" s="3" t="str">
        <f>'Tabela de Jogos'!F43</f>
        <v>Áustria</v>
      </c>
      <c r="G43" s="3" t="str">
        <f>'Tabela de Jogos'!G43</f>
        <v>Argentina</v>
      </c>
      <c r="H43" s="3"/>
      <c r="I43" s="3">
        <f t="shared" ref="I43:J43" si="49">A43</f>
        <v>41</v>
      </c>
      <c r="J43" s="3" t="str">
        <f t="shared" si="49"/>
        <v>Argentina</v>
      </c>
      <c r="K43" s="3">
        <v>3</v>
      </c>
      <c r="L43" s="3" t="str">
        <f t="shared" si="2"/>
        <v>x</v>
      </c>
      <c r="M43" s="3">
        <v>2</v>
      </c>
      <c r="N43" s="3" t="str">
        <f t="shared" si="3"/>
        <v>Áustria</v>
      </c>
      <c r="O43" s="3" t="str">
        <f t="shared" si="4"/>
        <v>Argentina</v>
      </c>
      <c r="P43" s="3"/>
      <c r="Q43" s="3" t="b">
        <f t="shared" si="5"/>
        <v>0</v>
      </c>
      <c r="R43" s="3" t="b">
        <f t="shared" si="6"/>
        <v>0</v>
      </c>
      <c r="S43" s="3" t="b">
        <f t="shared" si="7"/>
        <v>0</v>
      </c>
      <c r="T43" s="3" t="b">
        <f t="shared" si="8"/>
        <v>1</v>
      </c>
      <c r="U43" s="3" t="b">
        <f t="shared" si="9"/>
        <v>0</v>
      </c>
      <c r="V43" s="3"/>
      <c r="W43" s="3" cm="1">
        <f t="array" ref="W43">IF(OR(J43="Brasil",N43="Brasil"),2*_xlfn.IFS(Q43=TRUE,6,R43=TRUE,4,AND(S43=TRUE,T43=FALSE),3,T43=TRUE,2,U43=TRUE,0),_xlfn.IFS(Q43=TRUE,6,R43=TRUE,4,AND(S43=TRUE,T43=FALSE),3,T43=TRUE,2,U43=TRUE,0))</f>
        <v>2</v>
      </c>
      <c r="X43" s="3"/>
      <c r="Y43" s="3"/>
    </row>
    <row r="44" spans="1:25" ht="14.25" customHeight="1" x14ac:dyDescent="0.3">
      <c r="A44" s="3">
        <f>'Tabela de Jogos'!A44</f>
        <v>42</v>
      </c>
      <c r="B44" s="3" t="str">
        <f>'Tabela de Jogos'!B44</f>
        <v>França</v>
      </c>
      <c r="C44" s="3">
        <f>'Tabela de Jogos'!C44</f>
        <v>3</v>
      </c>
      <c r="D44" s="3" t="str">
        <f>'Tabela de Jogos'!D44</f>
        <v>x</v>
      </c>
      <c r="E44" s="3">
        <f>'Tabela de Jogos'!E44</f>
        <v>0</v>
      </c>
      <c r="F44" s="3" t="str">
        <f>'Tabela de Jogos'!F44</f>
        <v>Iraque</v>
      </c>
      <c r="G44" s="3" t="str">
        <f>'Tabela de Jogos'!G44</f>
        <v>França</v>
      </c>
      <c r="H44" s="3"/>
      <c r="I44" s="3">
        <f t="shared" ref="I44:J44" si="50">A44</f>
        <v>42</v>
      </c>
      <c r="J44" s="3" t="str">
        <f t="shared" si="50"/>
        <v>França</v>
      </c>
      <c r="K44" s="3">
        <v>4</v>
      </c>
      <c r="L44" s="3" t="str">
        <f t="shared" si="2"/>
        <v>x</v>
      </c>
      <c r="M44" s="3">
        <v>1</v>
      </c>
      <c r="N44" s="3" t="str">
        <f t="shared" si="3"/>
        <v>Iraque</v>
      </c>
      <c r="O44" s="3" t="str">
        <f t="shared" si="4"/>
        <v>França</v>
      </c>
      <c r="P44" s="3"/>
      <c r="Q44" s="3" t="b">
        <f t="shared" si="5"/>
        <v>0</v>
      </c>
      <c r="R44" s="3" t="b">
        <f t="shared" si="6"/>
        <v>0</v>
      </c>
      <c r="S44" s="3" t="b">
        <f t="shared" si="7"/>
        <v>1</v>
      </c>
      <c r="T44" s="3" t="b">
        <f t="shared" si="8"/>
        <v>0</v>
      </c>
      <c r="U44" s="3" t="b">
        <f t="shared" si="9"/>
        <v>0</v>
      </c>
      <c r="V44" s="3"/>
      <c r="W44" s="3" cm="1">
        <f t="array" ref="W44">IF(OR(J44="Brasil",N44="Brasil"),2*_xlfn.IFS(Q44=TRUE,6,R44=TRUE,4,AND(S44=TRUE,T44=FALSE),3,T44=TRUE,2,U44=TRUE,0),_xlfn.IFS(Q44=TRUE,6,R44=TRUE,4,AND(S44=TRUE,T44=FALSE),3,T44=TRUE,2,U44=TRUE,0))</f>
        <v>3</v>
      </c>
      <c r="X44" s="3"/>
      <c r="Y44" s="3"/>
    </row>
    <row r="45" spans="1:25" ht="14.25" customHeight="1" x14ac:dyDescent="0.3">
      <c r="A45" s="3">
        <f>'Tabela de Jogos'!A45</f>
        <v>43</v>
      </c>
      <c r="B45" s="3" t="str">
        <f>'Tabela de Jogos'!B45</f>
        <v>Noruega</v>
      </c>
      <c r="C45" s="3">
        <f>'Tabela de Jogos'!C45</f>
        <v>3</v>
      </c>
      <c r="D45" s="3" t="str">
        <f>'Tabela de Jogos'!D45</f>
        <v>x</v>
      </c>
      <c r="E45" s="3">
        <f>'Tabela de Jogos'!E45</f>
        <v>2</v>
      </c>
      <c r="F45" s="3" t="str">
        <f>'Tabela de Jogos'!F45</f>
        <v>Senegal</v>
      </c>
      <c r="G45" s="3" t="str">
        <f>'Tabela de Jogos'!G45</f>
        <v>Noruega</v>
      </c>
      <c r="H45" s="3"/>
      <c r="I45" s="3">
        <f t="shared" ref="I45:J45" si="51">A45</f>
        <v>43</v>
      </c>
      <c r="J45" s="3" t="str">
        <f t="shared" si="51"/>
        <v>Noruega</v>
      </c>
      <c r="K45" s="3">
        <v>3</v>
      </c>
      <c r="L45" s="3" t="str">
        <f t="shared" si="2"/>
        <v>x</v>
      </c>
      <c r="M45" s="3">
        <v>1</v>
      </c>
      <c r="N45" s="3" t="str">
        <f t="shared" si="3"/>
        <v>Senegal</v>
      </c>
      <c r="O45" s="3" t="str">
        <f t="shared" si="4"/>
        <v>Noruega</v>
      </c>
      <c r="P45" s="3"/>
      <c r="Q45" s="3" t="b">
        <f t="shared" si="5"/>
        <v>0</v>
      </c>
      <c r="R45" s="3" t="b">
        <f t="shared" si="6"/>
        <v>1</v>
      </c>
      <c r="S45" s="3" t="b">
        <f t="shared" si="7"/>
        <v>0</v>
      </c>
      <c r="T45" s="3" t="b">
        <f t="shared" si="8"/>
        <v>0</v>
      </c>
      <c r="U45" s="3" t="b">
        <f t="shared" si="9"/>
        <v>0</v>
      </c>
      <c r="V45" s="3"/>
      <c r="W45" s="3" cm="1">
        <f t="array" ref="W45">IF(OR(J45="Brasil",N45="Brasil"),2*_xlfn.IFS(Q45=TRUE,6,R45=TRUE,4,AND(S45=TRUE,T45=FALSE),3,T45=TRUE,2,U45=TRUE,0),_xlfn.IFS(Q45=TRUE,6,R45=TRUE,4,AND(S45=TRUE,T45=FALSE),3,T45=TRUE,2,U45=TRUE,0))</f>
        <v>4</v>
      </c>
      <c r="X45" s="3"/>
      <c r="Y45" s="3"/>
    </row>
    <row r="46" spans="1:25" ht="14.25" customHeight="1" x14ac:dyDescent="0.3">
      <c r="A46" s="3">
        <f>'Tabela de Jogos'!A46</f>
        <v>44</v>
      </c>
      <c r="B46" s="3" t="str">
        <f>'Tabela de Jogos'!B46</f>
        <v>Jordânia</v>
      </c>
      <c r="C46" s="3">
        <f>'Tabela de Jogos'!C46</f>
        <v>1</v>
      </c>
      <c r="D46" s="3" t="str">
        <f>'Tabela de Jogos'!D46</f>
        <v>x</v>
      </c>
      <c r="E46" s="3">
        <f>'Tabela de Jogos'!E46</f>
        <v>2</v>
      </c>
      <c r="F46" s="3" t="str">
        <f>'Tabela de Jogos'!F46</f>
        <v>Argélia</v>
      </c>
      <c r="G46" s="3" t="str">
        <f>'Tabela de Jogos'!G46</f>
        <v>Argélia</v>
      </c>
      <c r="H46" s="3"/>
      <c r="I46" s="3">
        <f t="shared" ref="I46:J46" si="52">A46</f>
        <v>44</v>
      </c>
      <c r="J46" s="3" t="str">
        <f t="shared" si="52"/>
        <v>Jordânia</v>
      </c>
      <c r="K46" s="3">
        <v>1</v>
      </c>
      <c r="L46" s="3" t="str">
        <f t="shared" si="2"/>
        <v>x</v>
      </c>
      <c r="M46" s="3">
        <v>2</v>
      </c>
      <c r="N46" s="3" t="str">
        <f t="shared" si="3"/>
        <v>Argélia</v>
      </c>
      <c r="O46" s="3" t="str">
        <f t="shared" si="4"/>
        <v>Argélia</v>
      </c>
      <c r="P46" s="3"/>
      <c r="Q46" s="3" t="b">
        <f t="shared" si="5"/>
        <v>1</v>
      </c>
      <c r="R46" s="3" t="b">
        <f t="shared" si="6"/>
        <v>0</v>
      </c>
      <c r="S46" s="3" t="b">
        <f t="shared" si="7"/>
        <v>0</v>
      </c>
      <c r="T46" s="3" t="b">
        <f t="shared" si="8"/>
        <v>0</v>
      </c>
      <c r="U46" s="3" t="b">
        <f t="shared" si="9"/>
        <v>0</v>
      </c>
      <c r="V46" s="3"/>
      <c r="W46" s="3" cm="1">
        <f t="array" ref="W46">IF(OR(J46="Brasil",N46="Brasil"),2*_xlfn.IFS(Q46=TRUE,6,R46=TRUE,4,AND(S46=TRUE,T46=FALSE),3,T46=TRUE,2,U46=TRUE,0),_xlfn.IFS(Q46=TRUE,6,R46=TRUE,4,AND(S46=TRUE,T46=FALSE),3,T46=TRUE,2,U46=TRUE,0))</f>
        <v>6</v>
      </c>
      <c r="X46" s="3"/>
      <c r="Y46" s="3"/>
    </row>
    <row r="47" spans="1:25" ht="14.25" customHeight="1" x14ac:dyDescent="0.3">
      <c r="A47" s="3">
        <f>'Tabela de Jogos'!A47</f>
        <v>45</v>
      </c>
      <c r="B47" s="3" t="str">
        <f>'Tabela de Jogos'!B47</f>
        <v>Portugal</v>
      </c>
      <c r="C47" s="3">
        <f>'Tabela de Jogos'!C47</f>
        <v>5</v>
      </c>
      <c r="D47" s="3" t="str">
        <f>'Tabela de Jogos'!D47</f>
        <v>x</v>
      </c>
      <c r="E47" s="3">
        <f>'Tabela de Jogos'!E47</f>
        <v>0</v>
      </c>
      <c r="F47" s="3" t="str">
        <f>'Tabela de Jogos'!F47</f>
        <v>Uzbequistão</v>
      </c>
      <c r="G47" s="3" t="str">
        <f>'Tabela de Jogos'!G47</f>
        <v>Portugal</v>
      </c>
      <c r="H47" s="3"/>
      <c r="I47" s="3">
        <f t="shared" ref="I47:J47" si="53">A47</f>
        <v>45</v>
      </c>
      <c r="J47" s="3" t="str">
        <f t="shared" si="53"/>
        <v>Portugal</v>
      </c>
      <c r="K47" s="3">
        <v>2</v>
      </c>
      <c r="L47" s="3" t="str">
        <f t="shared" si="2"/>
        <v>x</v>
      </c>
      <c r="M47" s="3">
        <v>0</v>
      </c>
      <c r="N47" s="3" t="str">
        <f t="shared" si="3"/>
        <v>Uzbequistão</v>
      </c>
      <c r="O47" s="3" t="str">
        <f t="shared" si="4"/>
        <v>Portugal</v>
      </c>
      <c r="P47" s="3"/>
      <c r="Q47" s="3" t="b">
        <f t="shared" si="5"/>
        <v>0</v>
      </c>
      <c r="R47" s="3" t="b">
        <f t="shared" si="6"/>
        <v>0</v>
      </c>
      <c r="S47" s="3" t="b">
        <f t="shared" si="7"/>
        <v>0</v>
      </c>
      <c r="T47" s="3" t="b">
        <f t="shared" si="8"/>
        <v>1</v>
      </c>
      <c r="U47" s="3" t="b">
        <f t="shared" si="9"/>
        <v>0</v>
      </c>
      <c r="V47" s="3"/>
      <c r="W47" s="3" cm="1">
        <f t="array" ref="W47">IF(OR(J47="Brasil",N47="Brasil"),2*_xlfn.IFS(Q47=TRUE,6,R47=TRUE,4,AND(S47=TRUE,T47=FALSE),3,T47=TRUE,2,U47=TRUE,0),_xlfn.IFS(Q47=TRUE,6,R47=TRUE,4,AND(S47=TRUE,T47=FALSE),3,T47=TRUE,2,U47=TRUE,0))</f>
        <v>2</v>
      </c>
      <c r="X47" s="3"/>
      <c r="Y47" s="3"/>
    </row>
    <row r="48" spans="1:25" ht="14.25" customHeight="1" x14ac:dyDescent="0.3">
      <c r="A48" s="3">
        <f>'Tabela de Jogos'!A48</f>
        <v>46</v>
      </c>
      <c r="B48" s="3" t="str">
        <f>'Tabela de Jogos'!B48</f>
        <v>Inglaterra</v>
      </c>
      <c r="C48" s="3">
        <f>'Tabela de Jogos'!C48</f>
        <v>0</v>
      </c>
      <c r="D48" s="3" t="str">
        <f>'Tabela de Jogos'!D48</f>
        <v>x</v>
      </c>
      <c r="E48" s="3">
        <f>'Tabela de Jogos'!E48</f>
        <v>0</v>
      </c>
      <c r="F48" s="3" t="str">
        <f>'Tabela de Jogos'!F48</f>
        <v>Gana</v>
      </c>
      <c r="G48" s="3" t="str">
        <f>'Tabela de Jogos'!G48</f>
        <v>Empate</v>
      </c>
      <c r="H48" s="3"/>
      <c r="I48" s="3">
        <f t="shared" ref="I48:J48" si="54">A48</f>
        <v>46</v>
      </c>
      <c r="J48" s="3" t="str">
        <f t="shared" si="54"/>
        <v>Inglaterra</v>
      </c>
      <c r="K48" s="3">
        <v>3</v>
      </c>
      <c r="L48" s="3" t="str">
        <f t="shared" si="2"/>
        <v>x</v>
      </c>
      <c r="M48" s="3">
        <v>1</v>
      </c>
      <c r="N48" s="3" t="str">
        <f t="shared" si="3"/>
        <v>Gana</v>
      </c>
      <c r="O48" s="3" t="str">
        <f t="shared" si="4"/>
        <v>Inglaterra</v>
      </c>
      <c r="P48" s="3"/>
      <c r="Q48" s="3" t="b">
        <f t="shared" si="5"/>
        <v>0</v>
      </c>
      <c r="R48" s="3" t="b">
        <f t="shared" si="6"/>
        <v>0</v>
      </c>
      <c r="S48" s="3" t="b">
        <f t="shared" si="7"/>
        <v>0</v>
      </c>
      <c r="T48" s="3" t="b">
        <f t="shared" si="8"/>
        <v>0</v>
      </c>
      <c r="U48" s="3" t="b">
        <f t="shared" si="9"/>
        <v>1</v>
      </c>
      <c r="V48" s="3"/>
      <c r="W48" s="3" cm="1">
        <f t="array" ref="W48">IF(OR(J48="Brasil",N48="Brasil"),2*_xlfn.IFS(Q48=TRUE,6,R48=TRUE,4,AND(S48=TRUE,T48=FALSE),3,T48=TRUE,2,U48=TRUE,0),_xlfn.IFS(Q48=TRUE,6,R48=TRUE,4,AND(S48=TRUE,T48=FALSE),3,T48=TRUE,2,U48=TRUE,0))</f>
        <v>0</v>
      </c>
      <c r="X48" s="3"/>
      <c r="Y48" s="3"/>
    </row>
    <row r="49" spans="1:25" ht="14.25" customHeight="1" x14ac:dyDescent="0.3">
      <c r="A49" s="3">
        <f>'Tabela de Jogos'!A49</f>
        <v>47</v>
      </c>
      <c r="B49" s="3" t="str">
        <f>'Tabela de Jogos'!B49</f>
        <v>Panamá</v>
      </c>
      <c r="C49" s="3">
        <f>'Tabela de Jogos'!C49</f>
        <v>0</v>
      </c>
      <c r="D49" s="3" t="str">
        <f>'Tabela de Jogos'!D49</f>
        <v>x</v>
      </c>
      <c r="E49" s="3">
        <f>'Tabela de Jogos'!E49</f>
        <v>1</v>
      </c>
      <c r="F49" s="3" t="str">
        <f>'Tabela de Jogos'!F49</f>
        <v>Croácia</v>
      </c>
      <c r="G49" s="3" t="str">
        <f>'Tabela de Jogos'!G49</f>
        <v>Croácia</v>
      </c>
      <c r="H49" s="3"/>
      <c r="I49" s="3">
        <f t="shared" ref="I49:J49" si="55">A49</f>
        <v>47</v>
      </c>
      <c r="J49" s="3" t="str">
        <f t="shared" si="55"/>
        <v>Panamá</v>
      </c>
      <c r="K49" s="3">
        <v>1</v>
      </c>
      <c r="L49" s="3" t="str">
        <f t="shared" si="2"/>
        <v>x</v>
      </c>
      <c r="M49" s="3">
        <v>1</v>
      </c>
      <c r="N49" s="3" t="str">
        <f t="shared" si="3"/>
        <v>Croácia</v>
      </c>
      <c r="O49" s="3" t="str">
        <f t="shared" si="4"/>
        <v>Empate</v>
      </c>
      <c r="P49" s="3"/>
      <c r="Q49" s="3" t="b">
        <f t="shared" si="5"/>
        <v>0</v>
      </c>
      <c r="R49" s="3" t="b">
        <f t="shared" si="6"/>
        <v>0</v>
      </c>
      <c r="S49" s="3" t="b">
        <f t="shared" si="7"/>
        <v>0</v>
      </c>
      <c r="T49" s="3" t="b">
        <f t="shared" si="8"/>
        <v>0</v>
      </c>
      <c r="U49" s="3" t="b">
        <f t="shared" si="9"/>
        <v>1</v>
      </c>
      <c r="V49" s="3"/>
      <c r="W49" s="3" cm="1">
        <f t="array" ref="W49">IF(OR(J49="Brasil",N49="Brasil"),2*_xlfn.IFS(Q49=TRUE,6,R49=TRUE,4,AND(S49=TRUE,T49=FALSE),3,T49=TRUE,2,U49=TRUE,0),_xlfn.IFS(Q49=TRUE,6,R49=TRUE,4,AND(S49=TRUE,T49=FALSE),3,T49=TRUE,2,U49=TRUE,0))</f>
        <v>0</v>
      </c>
      <c r="X49" s="3"/>
      <c r="Y49" s="3"/>
    </row>
    <row r="50" spans="1:25" ht="14.25" customHeight="1" x14ac:dyDescent="0.3">
      <c r="A50" s="3">
        <f>'Tabela de Jogos'!A50</f>
        <v>48</v>
      </c>
      <c r="B50" s="3" t="str">
        <f>'Tabela de Jogos'!B50</f>
        <v>Colômbia</v>
      </c>
      <c r="C50" s="3">
        <f>'Tabela de Jogos'!C50</f>
        <v>1</v>
      </c>
      <c r="D50" s="3" t="str">
        <f>'Tabela de Jogos'!D50</f>
        <v>x</v>
      </c>
      <c r="E50" s="3">
        <f>'Tabela de Jogos'!E50</f>
        <v>0</v>
      </c>
      <c r="F50" s="3" t="str">
        <f>'Tabela de Jogos'!F50</f>
        <v>RD Congo</v>
      </c>
      <c r="G50" s="3" t="str">
        <f>'Tabela de Jogos'!G50</f>
        <v>Colômbia</v>
      </c>
      <c r="H50" s="3"/>
      <c r="I50" s="3">
        <f t="shared" ref="I50:J50" si="56">A50</f>
        <v>48</v>
      </c>
      <c r="J50" s="3" t="str">
        <f t="shared" si="56"/>
        <v>Colômbia</v>
      </c>
      <c r="K50" s="3">
        <v>2</v>
      </c>
      <c r="L50" s="3" t="str">
        <f t="shared" si="2"/>
        <v>x</v>
      </c>
      <c r="M50" s="3">
        <v>1</v>
      </c>
      <c r="N50" s="3" t="str">
        <f t="shared" si="3"/>
        <v>RD Congo</v>
      </c>
      <c r="O50" s="3" t="str">
        <f t="shared" si="4"/>
        <v>Colômbia</v>
      </c>
      <c r="P50" s="3"/>
      <c r="Q50" s="3" t="b">
        <f t="shared" si="5"/>
        <v>0</v>
      </c>
      <c r="R50" s="3" t="b">
        <f t="shared" si="6"/>
        <v>0</v>
      </c>
      <c r="S50" s="3" t="b">
        <f t="shared" si="7"/>
        <v>1</v>
      </c>
      <c r="T50" s="3" t="b">
        <f t="shared" si="8"/>
        <v>0</v>
      </c>
      <c r="U50" s="3" t="b">
        <f t="shared" si="9"/>
        <v>0</v>
      </c>
      <c r="V50" s="3"/>
      <c r="W50" s="3" cm="1">
        <f t="array" ref="W50">IF(OR(J50="Brasil",N50="Brasil"),2*_xlfn.IFS(Q50=TRUE,6,R50=TRUE,4,AND(S50=TRUE,T50=FALSE),3,T50=TRUE,2,U50=TRUE,0),_xlfn.IFS(Q50=TRUE,6,R50=TRUE,4,AND(S50=TRUE,T50=FALSE),3,T50=TRUE,2,U50=TRUE,0))</f>
        <v>3</v>
      </c>
      <c r="X50" s="3"/>
      <c r="Y50" s="3"/>
    </row>
    <row r="51" spans="1:25" ht="14.25" customHeight="1" x14ac:dyDescent="0.3">
      <c r="A51" s="3">
        <f>'Tabela de Jogos'!A51</f>
        <v>49</v>
      </c>
      <c r="B51" s="3" t="str">
        <f>'Tabela de Jogos'!B51</f>
        <v>Suíça</v>
      </c>
      <c r="C51" s="3">
        <f>'Tabela de Jogos'!C51</f>
        <v>2</v>
      </c>
      <c r="D51" s="3" t="str">
        <f>'Tabela de Jogos'!D51</f>
        <v>x</v>
      </c>
      <c r="E51" s="3">
        <f>'Tabela de Jogos'!E51</f>
        <v>1</v>
      </c>
      <c r="F51" s="3" t="str">
        <f>'Tabela de Jogos'!F51</f>
        <v>Canadá</v>
      </c>
      <c r="G51" s="3" t="str">
        <f>'Tabela de Jogos'!G51</f>
        <v>Suíça</v>
      </c>
      <c r="H51" s="3"/>
      <c r="I51" s="3">
        <f t="shared" ref="I51:J51" si="57">A51</f>
        <v>49</v>
      </c>
      <c r="J51" s="3" t="str">
        <f t="shared" si="57"/>
        <v>Suíça</v>
      </c>
      <c r="K51" s="4">
        <v>1</v>
      </c>
      <c r="L51" s="3" t="str">
        <f t="shared" si="2"/>
        <v>x</v>
      </c>
      <c r="M51" s="4">
        <v>2</v>
      </c>
      <c r="N51" s="3" t="str">
        <f t="shared" si="3"/>
        <v>Canadá</v>
      </c>
      <c r="O51" s="3" t="str">
        <f t="shared" si="4"/>
        <v>Canadá</v>
      </c>
      <c r="P51" s="3"/>
      <c r="Q51" s="3" t="b">
        <f t="shared" si="5"/>
        <v>0</v>
      </c>
      <c r="R51" s="3" t="b">
        <f t="shared" si="6"/>
        <v>0</v>
      </c>
      <c r="S51" s="3" t="b">
        <f t="shared" si="7"/>
        <v>0</v>
      </c>
      <c r="T51" s="3" t="b">
        <f t="shared" si="8"/>
        <v>0</v>
      </c>
      <c r="U51" s="3" t="b">
        <f t="shared" si="9"/>
        <v>1</v>
      </c>
      <c r="V51" s="3"/>
      <c r="W51" s="3" cm="1">
        <f t="array" ref="W51">IF(OR(J51="Brasil",N51="Brasil"),2*_xlfn.IFS(Q51=TRUE,6,R51=TRUE,4,AND(S51=TRUE,T51=FALSE),3,T51=TRUE,2,U51=TRUE,0),_xlfn.IFS(Q51=TRUE,6,R51=TRUE,4,AND(S51=TRUE,T51=FALSE),3,T51=TRUE,2,U51=TRUE,0))</f>
        <v>0</v>
      </c>
      <c r="X51" s="3"/>
      <c r="Y51" s="3"/>
    </row>
    <row r="52" spans="1:25" ht="14.25" customHeight="1" x14ac:dyDescent="0.3">
      <c r="A52" s="3">
        <f>'Tabela de Jogos'!A52</f>
        <v>50</v>
      </c>
      <c r="B52" s="3" t="str">
        <f>'Tabela de Jogos'!B52</f>
        <v>Bósnia</v>
      </c>
      <c r="C52" s="3">
        <f>'Tabela de Jogos'!C52</f>
        <v>3</v>
      </c>
      <c r="D52" s="3" t="str">
        <f>'Tabela de Jogos'!D52</f>
        <v>x</v>
      </c>
      <c r="E52" s="3">
        <f>'Tabela de Jogos'!E52</f>
        <v>1</v>
      </c>
      <c r="F52" s="3" t="str">
        <f>'Tabela de Jogos'!F52</f>
        <v>Catar</v>
      </c>
      <c r="G52" s="3" t="str">
        <f>'Tabela de Jogos'!G52</f>
        <v>Bósnia</v>
      </c>
      <c r="H52" s="3"/>
      <c r="I52" s="3">
        <f t="shared" ref="I52:J52" si="58">A52</f>
        <v>50</v>
      </c>
      <c r="J52" s="3" t="str">
        <f t="shared" si="58"/>
        <v>Bósnia</v>
      </c>
      <c r="K52" s="4">
        <v>2</v>
      </c>
      <c r="L52" s="3" t="str">
        <f t="shared" si="2"/>
        <v>x</v>
      </c>
      <c r="M52" s="4">
        <v>0</v>
      </c>
      <c r="N52" s="3" t="str">
        <f t="shared" si="3"/>
        <v>Catar</v>
      </c>
      <c r="O52" s="3" t="str">
        <f t="shared" si="4"/>
        <v>Bósnia</v>
      </c>
      <c r="P52" s="3"/>
      <c r="Q52" s="3" t="b">
        <f t="shared" si="5"/>
        <v>0</v>
      </c>
      <c r="R52" s="3" t="b">
        <f t="shared" si="6"/>
        <v>0</v>
      </c>
      <c r="S52" s="3" t="b">
        <f t="shared" si="7"/>
        <v>1</v>
      </c>
      <c r="T52" s="3" t="b">
        <f t="shared" si="8"/>
        <v>0</v>
      </c>
      <c r="U52" s="3" t="b">
        <f t="shared" si="9"/>
        <v>0</v>
      </c>
      <c r="V52" s="3"/>
      <c r="W52" s="3" cm="1">
        <f t="array" ref="W52">IF(OR(J52="Brasil",N52="Brasil"),2*_xlfn.IFS(Q52=TRUE,6,R52=TRUE,4,AND(S52=TRUE,T52=FALSE),3,T52=TRUE,2,U52=TRUE,0),_xlfn.IFS(Q52=TRUE,6,R52=TRUE,4,AND(S52=TRUE,T52=FALSE),3,T52=TRUE,2,U52=TRUE,0))</f>
        <v>3</v>
      </c>
      <c r="X52" s="3"/>
      <c r="Y52" s="3"/>
    </row>
    <row r="53" spans="1:25" ht="14.25" customHeight="1" x14ac:dyDescent="0.3">
      <c r="A53" s="3">
        <f>'Tabela de Jogos'!A53</f>
        <v>51</v>
      </c>
      <c r="B53" s="3" t="str">
        <f>'Tabela de Jogos'!B53</f>
        <v>Marrocos</v>
      </c>
      <c r="C53" s="3">
        <f>'Tabela de Jogos'!C53</f>
        <v>4</v>
      </c>
      <c r="D53" s="3" t="str">
        <f>'Tabela de Jogos'!D53</f>
        <v>x</v>
      </c>
      <c r="E53" s="3">
        <f>'Tabela de Jogos'!E53</f>
        <v>2</v>
      </c>
      <c r="F53" s="3" t="str">
        <f>'Tabela de Jogos'!F53</f>
        <v>Haiti</v>
      </c>
      <c r="G53" s="3" t="str">
        <f>'Tabela de Jogos'!G53</f>
        <v>Marrocos</v>
      </c>
      <c r="H53" s="3"/>
      <c r="I53" s="3">
        <f t="shared" ref="I53:J53" si="59">A53</f>
        <v>51</v>
      </c>
      <c r="J53" s="3" t="str">
        <f t="shared" si="59"/>
        <v>Marrocos</v>
      </c>
      <c r="K53" s="4">
        <v>4</v>
      </c>
      <c r="L53" s="3" t="str">
        <f t="shared" si="2"/>
        <v>x</v>
      </c>
      <c r="M53" s="4">
        <v>0</v>
      </c>
      <c r="N53" s="3" t="str">
        <f t="shared" si="3"/>
        <v>Haiti</v>
      </c>
      <c r="O53" s="3" t="str">
        <f t="shared" si="4"/>
        <v>Marrocos</v>
      </c>
      <c r="P53" s="3"/>
      <c r="Q53" s="3" t="b">
        <f t="shared" si="5"/>
        <v>0</v>
      </c>
      <c r="R53" s="3" t="b">
        <f t="shared" si="6"/>
        <v>1</v>
      </c>
      <c r="S53" s="3" t="b">
        <f t="shared" si="7"/>
        <v>0</v>
      </c>
      <c r="T53" s="3" t="b">
        <f t="shared" si="8"/>
        <v>0</v>
      </c>
      <c r="U53" s="3" t="b">
        <f t="shared" si="9"/>
        <v>0</v>
      </c>
      <c r="V53" s="3"/>
      <c r="W53" s="3" cm="1">
        <f t="array" ref="W53">IF(OR(J53="Brasil",N53="Brasil"),2*_xlfn.IFS(Q53=TRUE,6,R53=TRUE,4,AND(S53=TRUE,T53=FALSE),3,T53=TRUE,2,U53=TRUE,0),_xlfn.IFS(Q53=TRUE,6,R53=TRUE,4,AND(S53=TRUE,T53=FALSE),3,T53=TRUE,2,U53=TRUE,0))</f>
        <v>4</v>
      </c>
      <c r="X53" s="3"/>
      <c r="Y53" s="3"/>
    </row>
    <row r="54" spans="1:25" ht="14.25" customHeight="1" x14ac:dyDescent="0.3">
      <c r="A54" s="3">
        <f>'Tabela de Jogos'!A54</f>
        <v>52</v>
      </c>
      <c r="B54" s="3" t="str">
        <f>'Tabela de Jogos'!B54</f>
        <v>Escócia</v>
      </c>
      <c r="C54" s="3">
        <f>'Tabela de Jogos'!C54</f>
        <v>0</v>
      </c>
      <c r="D54" s="3" t="str">
        <f>'Tabela de Jogos'!D54</f>
        <v>x</v>
      </c>
      <c r="E54" s="3">
        <f>'Tabela de Jogos'!E54</f>
        <v>3</v>
      </c>
      <c r="F54" s="3" t="str">
        <f>'Tabela de Jogos'!F54</f>
        <v>Brasil</v>
      </c>
      <c r="G54" s="3" t="str">
        <f>'Tabela de Jogos'!G54</f>
        <v>Brasil</v>
      </c>
      <c r="H54" s="3"/>
      <c r="I54" s="3">
        <f t="shared" ref="I54:J54" si="60">A54</f>
        <v>52</v>
      </c>
      <c r="J54" s="3" t="str">
        <f t="shared" si="60"/>
        <v>Escócia</v>
      </c>
      <c r="K54" s="4">
        <v>0</v>
      </c>
      <c r="L54" s="3" t="str">
        <f t="shared" si="2"/>
        <v>x</v>
      </c>
      <c r="M54" s="4">
        <v>3</v>
      </c>
      <c r="N54" s="3" t="str">
        <f t="shared" si="3"/>
        <v>Brasil</v>
      </c>
      <c r="O54" s="3" t="str">
        <f t="shared" si="4"/>
        <v>Brasil</v>
      </c>
      <c r="P54" s="3"/>
      <c r="Q54" s="3" t="b">
        <f t="shared" si="5"/>
        <v>1</v>
      </c>
      <c r="R54" s="3" t="b">
        <f t="shared" si="6"/>
        <v>0</v>
      </c>
      <c r="S54" s="3" t="b">
        <f t="shared" si="7"/>
        <v>0</v>
      </c>
      <c r="T54" s="3" t="b">
        <f t="shared" si="8"/>
        <v>0</v>
      </c>
      <c r="U54" s="3" t="b">
        <f t="shared" si="9"/>
        <v>0</v>
      </c>
      <c r="V54" s="3"/>
      <c r="W54" s="3" cm="1">
        <f t="array" ref="W54">IF(OR(J54="Brasil",N54="Brasil"),2*_xlfn.IFS(Q54=TRUE,6,R54=TRUE,4,AND(S54=TRUE,T54=FALSE),3,T54=TRUE,2,U54=TRUE,0),_xlfn.IFS(Q54=TRUE,6,R54=TRUE,4,AND(S54=TRUE,T54=FALSE),3,T54=TRUE,2,U54=TRUE,0))</f>
        <v>12</v>
      </c>
      <c r="X54" s="3"/>
      <c r="Y54" s="3"/>
    </row>
    <row r="55" spans="1:25" ht="14.25" customHeight="1" x14ac:dyDescent="0.3">
      <c r="A55" s="3">
        <f>'Tabela de Jogos'!A55</f>
        <v>53</v>
      </c>
      <c r="B55" s="3" t="str">
        <f>'Tabela de Jogos'!B55</f>
        <v>África do Sul</v>
      </c>
      <c r="C55" s="3">
        <f>'Tabela de Jogos'!C55</f>
        <v>1</v>
      </c>
      <c r="D55" s="3" t="str">
        <f>'Tabela de Jogos'!D55</f>
        <v>x</v>
      </c>
      <c r="E55" s="3">
        <f>'Tabela de Jogos'!E55</f>
        <v>0</v>
      </c>
      <c r="F55" s="3" t="str">
        <f>'Tabela de Jogos'!F55</f>
        <v>Coreia do Sul</v>
      </c>
      <c r="G55" s="3" t="str">
        <f>'Tabela de Jogos'!G55</f>
        <v>África do Sul</v>
      </c>
      <c r="H55" s="3"/>
      <c r="I55" s="3">
        <f t="shared" ref="I55:J55" si="61">A55</f>
        <v>53</v>
      </c>
      <c r="J55" s="3" t="str">
        <f t="shared" si="61"/>
        <v>África do Sul</v>
      </c>
      <c r="K55" s="4">
        <v>0</v>
      </c>
      <c r="L55" s="3" t="str">
        <f t="shared" si="2"/>
        <v>x</v>
      </c>
      <c r="M55" s="4">
        <v>2</v>
      </c>
      <c r="N55" s="3" t="str">
        <f t="shared" si="3"/>
        <v>Coreia do Sul</v>
      </c>
      <c r="O55" s="3" t="str">
        <f t="shared" si="4"/>
        <v>Coreia do Sul</v>
      </c>
      <c r="P55" s="3"/>
      <c r="Q55" s="3" t="b">
        <f t="shared" si="5"/>
        <v>0</v>
      </c>
      <c r="R55" s="3" t="b">
        <f t="shared" si="6"/>
        <v>0</v>
      </c>
      <c r="S55" s="3" t="b">
        <f t="shared" si="7"/>
        <v>0</v>
      </c>
      <c r="T55" s="3" t="b">
        <f t="shared" si="8"/>
        <v>0</v>
      </c>
      <c r="U55" s="3" t="b">
        <f t="shared" si="9"/>
        <v>1</v>
      </c>
      <c r="V55" s="3"/>
      <c r="W55" s="3" cm="1">
        <f t="array" ref="W55">IF(OR(J55="Brasil",N55="Brasil"),2*_xlfn.IFS(Q55=TRUE,6,R55=TRUE,4,AND(S55=TRUE,T55=FALSE),3,T55=TRUE,2,U55=TRUE,0),_xlfn.IFS(Q55=TRUE,6,R55=TRUE,4,AND(S55=TRUE,T55=FALSE),3,T55=TRUE,2,U55=TRUE,0))</f>
        <v>0</v>
      </c>
      <c r="X55" s="3"/>
      <c r="Y55" s="3"/>
    </row>
    <row r="56" spans="1:25" ht="14.25" customHeight="1" x14ac:dyDescent="0.3">
      <c r="A56" s="3">
        <f>'Tabela de Jogos'!A56</f>
        <v>54</v>
      </c>
      <c r="B56" s="3" t="str">
        <f>'Tabela de Jogos'!B56</f>
        <v>Tchéquia</v>
      </c>
      <c r="C56" s="3">
        <f>'Tabela de Jogos'!C56</f>
        <v>0</v>
      </c>
      <c r="D56" s="3" t="str">
        <f>'Tabela de Jogos'!D56</f>
        <v>x</v>
      </c>
      <c r="E56" s="3">
        <f>'Tabela de Jogos'!E56</f>
        <v>3</v>
      </c>
      <c r="F56" s="3" t="str">
        <f>'Tabela de Jogos'!F56</f>
        <v>México</v>
      </c>
      <c r="G56" s="3" t="str">
        <f>'Tabela de Jogos'!G56</f>
        <v>México</v>
      </c>
      <c r="H56" s="3"/>
      <c r="I56" s="3">
        <f t="shared" ref="I56:J56" si="62">A56</f>
        <v>54</v>
      </c>
      <c r="J56" s="3" t="str">
        <f t="shared" si="62"/>
        <v>Tchéquia</v>
      </c>
      <c r="K56" s="4">
        <v>0</v>
      </c>
      <c r="L56" s="3" t="str">
        <f t="shared" si="2"/>
        <v>x</v>
      </c>
      <c r="M56" s="4">
        <v>1</v>
      </c>
      <c r="N56" s="3" t="str">
        <f t="shared" si="3"/>
        <v>México</v>
      </c>
      <c r="O56" s="3" t="str">
        <f t="shared" si="4"/>
        <v>México</v>
      </c>
      <c r="P56" s="3"/>
      <c r="Q56" s="3" t="b">
        <f t="shared" si="5"/>
        <v>0</v>
      </c>
      <c r="R56" s="3" t="b">
        <f t="shared" si="6"/>
        <v>0</v>
      </c>
      <c r="S56" s="3" t="b">
        <f t="shared" si="7"/>
        <v>0</v>
      </c>
      <c r="T56" s="3" t="b">
        <f t="shared" si="8"/>
        <v>1</v>
      </c>
      <c r="U56" s="3" t="b">
        <f t="shared" si="9"/>
        <v>0</v>
      </c>
      <c r="V56" s="3"/>
      <c r="W56" s="3" cm="1">
        <f t="array" ref="W56">IF(OR(J56="Brasil",N56="Brasil"),2*_xlfn.IFS(Q56=TRUE,6,R56=TRUE,4,AND(S56=TRUE,T56=FALSE),3,T56=TRUE,2,U56=TRUE,0),_xlfn.IFS(Q56=TRUE,6,R56=TRUE,4,AND(S56=TRUE,T56=FALSE),3,T56=TRUE,2,U56=TRUE,0))</f>
        <v>2</v>
      </c>
      <c r="X56" s="3"/>
      <c r="Y56" s="3"/>
    </row>
    <row r="57" spans="1:25" ht="14.25" customHeight="1" x14ac:dyDescent="0.3">
      <c r="A57" s="3">
        <f>'Tabela de Jogos'!A57</f>
        <v>55</v>
      </c>
      <c r="B57" s="3" t="str">
        <f>'Tabela de Jogos'!B57</f>
        <v>Curaçao</v>
      </c>
      <c r="C57" s="3">
        <f>'Tabela de Jogos'!C57</f>
        <v>0</v>
      </c>
      <c r="D57" s="3" t="str">
        <f>'Tabela de Jogos'!D57</f>
        <v>x</v>
      </c>
      <c r="E57" s="3">
        <f>'Tabela de Jogos'!E57</f>
        <v>2</v>
      </c>
      <c r="F57" s="3" t="str">
        <f>'Tabela de Jogos'!F57</f>
        <v>Costa do Marfim</v>
      </c>
      <c r="G57" s="3" t="str">
        <f>'Tabela de Jogos'!G57</f>
        <v>Costa do Marfim</v>
      </c>
      <c r="H57" s="3"/>
      <c r="I57" s="3">
        <f t="shared" ref="I57:J57" si="63">A57</f>
        <v>55</v>
      </c>
      <c r="J57" s="3" t="str">
        <f t="shared" si="63"/>
        <v>Curaçao</v>
      </c>
      <c r="K57" s="3">
        <v>0</v>
      </c>
      <c r="L57" s="3" t="str">
        <f t="shared" si="2"/>
        <v>x</v>
      </c>
      <c r="M57" s="3">
        <v>1</v>
      </c>
      <c r="N57" s="3" t="str">
        <f t="shared" si="3"/>
        <v>Costa do Marfim</v>
      </c>
      <c r="O57" s="3" t="str">
        <f t="shared" si="4"/>
        <v>Costa do Marfim</v>
      </c>
      <c r="P57" s="3"/>
      <c r="Q57" s="3" t="b">
        <f t="shared" si="5"/>
        <v>0</v>
      </c>
      <c r="R57" s="3" t="b">
        <f t="shared" si="6"/>
        <v>0</v>
      </c>
      <c r="S57" s="3" t="b">
        <f t="shared" si="7"/>
        <v>0</v>
      </c>
      <c r="T57" s="3" t="b">
        <f t="shared" si="8"/>
        <v>1</v>
      </c>
      <c r="U57" s="3" t="b">
        <f t="shared" si="9"/>
        <v>0</v>
      </c>
      <c r="V57" s="3"/>
      <c r="W57" s="3" cm="1">
        <f t="array" ref="W57">IF(OR(J57="Brasil",N57="Brasil"),2*_xlfn.IFS(Q57=TRUE,6,R57=TRUE,4,AND(S57=TRUE,T57=FALSE),3,T57=TRUE,2,U57=TRUE,0),_xlfn.IFS(Q57=TRUE,6,R57=TRUE,4,AND(S57=TRUE,T57=FALSE),3,T57=TRUE,2,U57=TRUE,0))</f>
        <v>2</v>
      </c>
      <c r="X57" s="3"/>
      <c r="Y57" s="3"/>
    </row>
    <row r="58" spans="1:25" ht="14.25" customHeight="1" x14ac:dyDescent="0.3">
      <c r="A58" s="3">
        <f>'Tabela de Jogos'!A58</f>
        <v>56</v>
      </c>
      <c r="B58" s="3" t="str">
        <f>'Tabela de Jogos'!B58</f>
        <v>Equador</v>
      </c>
      <c r="C58" s="3">
        <f>'Tabela de Jogos'!C58</f>
        <v>2</v>
      </c>
      <c r="D58" s="3" t="str">
        <f>'Tabela de Jogos'!D58</f>
        <v>x</v>
      </c>
      <c r="E58" s="3">
        <f>'Tabela de Jogos'!E58</f>
        <v>1</v>
      </c>
      <c r="F58" s="3" t="str">
        <f>'Tabela de Jogos'!F58</f>
        <v>Alemanha</v>
      </c>
      <c r="G58" s="3" t="str">
        <f>'Tabela de Jogos'!G58</f>
        <v>Equador</v>
      </c>
      <c r="H58" s="3"/>
      <c r="I58" s="3">
        <f t="shared" ref="I58:J58" si="64">A58</f>
        <v>56</v>
      </c>
      <c r="J58" s="3" t="str">
        <f t="shared" si="64"/>
        <v>Equador</v>
      </c>
      <c r="K58" s="3">
        <v>0</v>
      </c>
      <c r="L58" s="3" t="str">
        <f t="shared" si="2"/>
        <v>x</v>
      </c>
      <c r="M58" s="3">
        <v>3</v>
      </c>
      <c r="N58" s="3" t="str">
        <f t="shared" si="3"/>
        <v>Alemanha</v>
      </c>
      <c r="O58" s="3" t="str">
        <f t="shared" si="4"/>
        <v>Alemanha</v>
      </c>
      <c r="P58" s="3"/>
      <c r="Q58" s="3" t="b">
        <f t="shared" si="5"/>
        <v>0</v>
      </c>
      <c r="R58" s="3" t="b">
        <f t="shared" si="6"/>
        <v>0</v>
      </c>
      <c r="S58" s="3" t="b">
        <f t="shared" si="7"/>
        <v>0</v>
      </c>
      <c r="T58" s="3" t="b">
        <f t="shared" si="8"/>
        <v>0</v>
      </c>
      <c r="U58" s="3" t="b">
        <f t="shared" si="9"/>
        <v>1</v>
      </c>
      <c r="V58" s="3"/>
      <c r="W58" s="3" cm="1">
        <f t="array" ref="W58">IF(OR(J58="Brasil",N58="Brasil"),2*_xlfn.IFS(Q58=TRUE,6,R58=TRUE,4,AND(S58=TRUE,T58=FALSE),3,T58=TRUE,2,U58=TRUE,0),_xlfn.IFS(Q58=TRUE,6,R58=TRUE,4,AND(S58=TRUE,T58=FALSE),3,T58=TRUE,2,U58=TRUE,0))</f>
        <v>0</v>
      </c>
      <c r="X58" s="3"/>
      <c r="Y58" s="3"/>
    </row>
    <row r="59" spans="1:25" ht="14.25" customHeight="1" x14ac:dyDescent="0.3">
      <c r="A59" s="3">
        <f>'Tabela de Jogos'!A59</f>
        <v>57</v>
      </c>
      <c r="B59" s="3" t="str">
        <f>'Tabela de Jogos'!B59</f>
        <v>Tunísia</v>
      </c>
      <c r="C59" s="3">
        <f>'Tabela de Jogos'!C59</f>
        <v>1</v>
      </c>
      <c r="D59" s="3" t="str">
        <f>'Tabela de Jogos'!D59</f>
        <v>x</v>
      </c>
      <c r="E59" s="3">
        <f>'Tabela de Jogos'!E59</f>
        <v>3</v>
      </c>
      <c r="F59" s="3" t="str">
        <f>'Tabela de Jogos'!F59</f>
        <v>Holanda</v>
      </c>
      <c r="G59" s="3" t="str">
        <f>'Tabela de Jogos'!G59</f>
        <v>Holanda</v>
      </c>
      <c r="H59" s="3"/>
      <c r="I59" s="3">
        <f t="shared" ref="I59:J59" si="65">A59</f>
        <v>57</v>
      </c>
      <c r="J59" s="3" t="str">
        <f t="shared" si="65"/>
        <v>Tunísia</v>
      </c>
      <c r="K59" s="3">
        <v>1</v>
      </c>
      <c r="L59" s="3" t="str">
        <f t="shared" si="2"/>
        <v>x</v>
      </c>
      <c r="M59" s="3">
        <v>4</v>
      </c>
      <c r="N59" s="3" t="str">
        <f t="shared" si="3"/>
        <v>Holanda</v>
      </c>
      <c r="O59" s="3" t="str">
        <f t="shared" si="4"/>
        <v>Holanda</v>
      </c>
      <c r="P59" s="3"/>
      <c r="Q59" s="3" t="b">
        <f t="shared" si="5"/>
        <v>0</v>
      </c>
      <c r="R59" s="3" t="b">
        <f t="shared" si="6"/>
        <v>0</v>
      </c>
      <c r="S59" s="3" t="b">
        <f t="shared" si="7"/>
        <v>0</v>
      </c>
      <c r="T59" s="3" t="b">
        <f t="shared" si="8"/>
        <v>1</v>
      </c>
      <c r="U59" s="3" t="b">
        <f t="shared" si="9"/>
        <v>0</v>
      </c>
      <c r="V59" s="3"/>
      <c r="W59" s="3" cm="1">
        <f t="array" ref="W59">IF(OR(J59="Brasil",N59="Brasil"),2*_xlfn.IFS(Q59=TRUE,6,R59=TRUE,4,AND(S59=TRUE,T59=FALSE),3,T59=TRUE,2,U59=TRUE,0),_xlfn.IFS(Q59=TRUE,6,R59=TRUE,4,AND(S59=TRUE,T59=FALSE),3,T59=TRUE,2,U59=TRUE,0))</f>
        <v>2</v>
      </c>
      <c r="X59" s="3"/>
      <c r="Y59" s="3"/>
    </row>
    <row r="60" spans="1:25" ht="14.25" customHeight="1" x14ac:dyDescent="0.3">
      <c r="A60" s="3">
        <f>'Tabela de Jogos'!A60</f>
        <v>58</v>
      </c>
      <c r="B60" s="3" t="str">
        <f>'Tabela de Jogos'!B60</f>
        <v>Japão</v>
      </c>
      <c r="C60" s="3">
        <f>'Tabela de Jogos'!C60</f>
        <v>1</v>
      </c>
      <c r="D60" s="3" t="str">
        <f>'Tabela de Jogos'!D60</f>
        <v>x</v>
      </c>
      <c r="E60" s="3">
        <f>'Tabela de Jogos'!E60</f>
        <v>1</v>
      </c>
      <c r="F60" s="3" t="str">
        <f>'Tabela de Jogos'!F60</f>
        <v>Suécia</v>
      </c>
      <c r="G60" s="3" t="str">
        <f>'Tabela de Jogos'!G60</f>
        <v>Empate</v>
      </c>
      <c r="H60" s="3"/>
      <c r="I60" s="3">
        <f t="shared" ref="I60:J60" si="66">A60</f>
        <v>58</v>
      </c>
      <c r="J60" s="3" t="str">
        <f t="shared" si="66"/>
        <v>Japão</v>
      </c>
      <c r="K60" s="3">
        <v>4</v>
      </c>
      <c r="L60" s="3" t="str">
        <f t="shared" si="2"/>
        <v>x</v>
      </c>
      <c r="M60" s="3">
        <v>2</v>
      </c>
      <c r="N60" s="3" t="str">
        <f t="shared" si="3"/>
        <v>Suécia</v>
      </c>
      <c r="O60" s="3" t="str">
        <f t="shared" si="4"/>
        <v>Japão</v>
      </c>
      <c r="P60" s="3"/>
      <c r="Q60" s="3" t="b">
        <f t="shared" si="5"/>
        <v>0</v>
      </c>
      <c r="R60" s="3" t="b">
        <f t="shared" si="6"/>
        <v>0</v>
      </c>
      <c r="S60" s="3" t="b">
        <f t="shared" si="7"/>
        <v>0</v>
      </c>
      <c r="T60" s="3" t="b">
        <f t="shared" si="8"/>
        <v>0</v>
      </c>
      <c r="U60" s="3" t="b">
        <f t="shared" si="9"/>
        <v>1</v>
      </c>
      <c r="V60" s="3"/>
      <c r="W60" s="3" cm="1">
        <f t="array" ref="W60">IF(OR(J60="Brasil",N60="Brasil"),2*_xlfn.IFS(Q60=TRUE,6,R60=TRUE,4,AND(S60=TRUE,T60=FALSE),3,T60=TRUE,2,U60=TRUE,0),_xlfn.IFS(Q60=TRUE,6,R60=TRUE,4,AND(S60=TRUE,T60=FALSE),3,T60=TRUE,2,U60=TRUE,0))</f>
        <v>0</v>
      </c>
      <c r="X60" s="3"/>
      <c r="Y60" s="3"/>
    </row>
    <row r="61" spans="1:25" ht="14.25" customHeight="1" x14ac:dyDescent="0.3">
      <c r="A61" s="3">
        <f>'Tabela de Jogos'!A61</f>
        <v>59</v>
      </c>
      <c r="B61" s="3" t="str">
        <f>'Tabela de Jogos'!B61</f>
        <v>Turquia</v>
      </c>
      <c r="C61" s="3">
        <f>'Tabela de Jogos'!C61</f>
        <v>0</v>
      </c>
      <c r="D61" s="3" t="str">
        <f>'Tabela de Jogos'!D61</f>
        <v>x</v>
      </c>
      <c r="E61" s="3">
        <f>'Tabela de Jogos'!E61</f>
        <v>0</v>
      </c>
      <c r="F61" s="3" t="str">
        <f>'Tabela de Jogos'!F61</f>
        <v>EUA</v>
      </c>
      <c r="G61" s="3" t="str">
        <f>'Tabela de Jogos'!G61</f>
        <v>-</v>
      </c>
      <c r="H61" s="3"/>
      <c r="I61" s="3">
        <f t="shared" ref="I61:J61" si="67">A61</f>
        <v>59</v>
      </c>
      <c r="J61" s="3" t="str">
        <f t="shared" si="67"/>
        <v>Turquia</v>
      </c>
      <c r="K61" s="3">
        <v>0</v>
      </c>
      <c r="L61" s="3" t="str">
        <f t="shared" si="2"/>
        <v>x</v>
      </c>
      <c r="M61" s="3">
        <v>3</v>
      </c>
      <c r="N61" s="3" t="str">
        <f t="shared" si="3"/>
        <v>EUA</v>
      </c>
      <c r="O61" s="3" t="str">
        <f t="shared" si="4"/>
        <v>EUA</v>
      </c>
      <c r="P61" s="3"/>
      <c r="Q61" s="3" t="b">
        <f t="shared" si="5"/>
        <v>0</v>
      </c>
      <c r="R61" s="3" t="b">
        <f t="shared" si="6"/>
        <v>0</v>
      </c>
      <c r="S61" s="3" t="b">
        <f t="shared" si="7"/>
        <v>0</v>
      </c>
      <c r="T61" s="3" t="b">
        <f t="shared" si="8"/>
        <v>0</v>
      </c>
      <c r="U61" s="3" t="b">
        <f t="shared" si="9"/>
        <v>1</v>
      </c>
      <c r="V61" s="3"/>
      <c r="W61" s="3" cm="1">
        <f t="array" ref="W61">IF(OR(J61="Brasil",N61="Brasil"),2*_xlfn.IFS(Q61=TRUE,6,R61=TRUE,4,AND(S61=TRUE,T61=FALSE),3,T61=TRUE,2,U61=TRUE,0),_xlfn.IFS(Q61=TRUE,6,R61=TRUE,4,AND(S61=TRUE,T61=FALSE),3,T61=TRUE,2,U61=TRUE,0))</f>
        <v>0</v>
      </c>
      <c r="X61" s="3"/>
      <c r="Y61" s="3"/>
    </row>
    <row r="62" spans="1:25" ht="14.25" customHeight="1" x14ac:dyDescent="0.3">
      <c r="A62" s="3">
        <f>'Tabela de Jogos'!A62</f>
        <v>60</v>
      </c>
      <c r="B62" s="3" t="str">
        <f>'Tabela de Jogos'!B62</f>
        <v>Paraguai</v>
      </c>
      <c r="C62" s="3">
        <f>'Tabela de Jogos'!C62</f>
        <v>0</v>
      </c>
      <c r="D62" s="3" t="str">
        <f>'Tabela de Jogos'!D62</f>
        <v>x</v>
      </c>
      <c r="E62" s="3">
        <f>'Tabela de Jogos'!E62</f>
        <v>0</v>
      </c>
      <c r="F62" s="3" t="str">
        <f>'Tabela de Jogos'!F62</f>
        <v>Austrália</v>
      </c>
      <c r="G62" s="3" t="str">
        <f>'Tabela de Jogos'!G62</f>
        <v>-</v>
      </c>
      <c r="H62" s="3"/>
      <c r="I62" s="3">
        <f t="shared" ref="I62:J62" si="68">A62</f>
        <v>60</v>
      </c>
      <c r="J62" s="3" t="str">
        <f t="shared" si="68"/>
        <v>Paraguai</v>
      </c>
      <c r="K62" s="3">
        <v>2</v>
      </c>
      <c r="L62" s="3" t="str">
        <f t="shared" si="2"/>
        <v>x</v>
      </c>
      <c r="M62" s="3">
        <v>2</v>
      </c>
      <c r="N62" s="3" t="str">
        <f t="shared" si="3"/>
        <v>Austrália</v>
      </c>
      <c r="O62" s="3" t="str">
        <f t="shared" si="4"/>
        <v>Empate</v>
      </c>
      <c r="P62" s="3"/>
      <c r="Q62" s="3" t="b">
        <f t="shared" si="5"/>
        <v>0</v>
      </c>
      <c r="R62" s="3" t="b">
        <f t="shared" si="6"/>
        <v>0</v>
      </c>
      <c r="S62" s="3" t="b">
        <f t="shared" si="7"/>
        <v>0</v>
      </c>
      <c r="T62" s="3" t="b">
        <f t="shared" si="8"/>
        <v>0</v>
      </c>
      <c r="U62" s="3" t="b">
        <f t="shared" si="9"/>
        <v>1</v>
      </c>
      <c r="V62" s="3"/>
      <c r="W62" s="3" cm="1">
        <f t="array" ref="W62">IF(OR(J62="Brasil",N62="Brasil"),2*_xlfn.IFS(Q62=TRUE,6,R62=TRUE,4,AND(S62=TRUE,T62=FALSE),3,T62=TRUE,2,U62=TRUE,0),_xlfn.IFS(Q62=TRUE,6,R62=TRUE,4,AND(S62=TRUE,T62=FALSE),3,T62=TRUE,2,U62=TRUE,0))</f>
        <v>0</v>
      </c>
      <c r="X62" s="3"/>
      <c r="Y62" s="3"/>
    </row>
    <row r="63" spans="1:25" ht="14.25" customHeight="1" x14ac:dyDescent="0.3">
      <c r="A63" s="3">
        <f>'Tabela de Jogos'!A63</f>
        <v>61</v>
      </c>
      <c r="B63" s="3" t="str">
        <f>'Tabela de Jogos'!B63</f>
        <v>Noruega</v>
      </c>
      <c r="C63" s="3">
        <f>'Tabela de Jogos'!C63</f>
        <v>0</v>
      </c>
      <c r="D63" s="3" t="str">
        <f>'Tabela de Jogos'!D63</f>
        <v>x</v>
      </c>
      <c r="E63" s="3">
        <f>'Tabela de Jogos'!E63</f>
        <v>0</v>
      </c>
      <c r="F63" s="3" t="str">
        <f>'Tabela de Jogos'!F63</f>
        <v>França</v>
      </c>
      <c r="G63" s="3" t="str">
        <f>'Tabela de Jogos'!G63</f>
        <v>-</v>
      </c>
      <c r="H63" s="3"/>
      <c r="I63" s="3">
        <f t="shared" ref="I63:J63" si="69">A63</f>
        <v>61</v>
      </c>
      <c r="J63" s="3" t="str">
        <f t="shared" si="69"/>
        <v>Noruega</v>
      </c>
      <c r="K63" s="3"/>
      <c r="L63" s="3" t="str">
        <f t="shared" si="2"/>
        <v>x</v>
      </c>
      <c r="M63" s="3"/>
      <c r="N63" s="3" t="str">
        <f t="shared" si="3"/>
        <v>França</v>
      </c>
      <c r="O63" s="3" t="str">
        <f t="shared" si="4"/>
        <v>-</v>
      </c>
      <c r="P63" s="3"/>
      <c r="Q63" s="3" t="b">
        <f t="shared" si="5"/>
        <v>0</v>
      </c>
      <c r="R63" s="3" t="b">
        <f t="shared" si="6"/>
        <v>0</v>
      </c>
      <c r="S63" s="3" t="b">
        <f t="shared" si="7"/>
        <v>0</v>
      </c>
      <c r="T63" s="3" t="b">
        <f t="shared" si="8"/>
        <v>0</v>
      </c>
      <c r="U63" s="3" t="b">
        <f t="shared" si="9"/>
        <v>1</v>
      </c>
      <c r="V63" s="3"/>
      <c r="W63" s="3" cm="1">
        <f t="array" ref="W63">IF(OR(J63="Brasil",N63="Brasil"),2*_xlfn.IFS(Q63=TRUE,6,R63=TRUE,4,AND(S63=TRUE,T63=FALSE),3,T63=TRUE,2,U63=TRUE,0),_xlfn.IFS(Q63=TRUE,6,R63=TRUE,4,AND(S63=TRUE,T63=FALSE),3,T63=TRUE,2,U63=TRUE,0))</f>
        <v>0</v>
      </c>
      <c r="X63" s="3"/>
      <c r="Y63" s="3"/>
    </row>
    <row r="64" spans="1:25" ht="14.25" customHeight="1" x14ac:dyDescent="0.3">
      <c r="A64" s="3">
        <f>'Tabela de Jogos'!A64</f>
        <v>62</v>
      </c>
      <c r="B64" s="3" t="str">
        <f>'Tabela de Jogos'!B64</f>
        <v>Senegal</v>
      </c>
      <c r="C64" s="3">
        <f>'Tabela de Jogos'!C64</f>
        <v>0</v>
      </c>
      <c r="D64" s="3" t="str">
        <f>'Tabela de Jogos'!D64</f>
        <v>x</v>
      </c>
      <c r="E64" s="3">
        <f>'Tabela de Jogos'!E64</f>
        <v>0</v>
      </c>
      <c r="F64" s="3" t="str">
        <f>'Tabela de Jogos'!F64</f>
        <v>Iraque</v>
      </c>
      <c r="G64" s="3" t="str">
        <f>'Tabela de Jogos'!G64</f>
        <v>-</v>
      </c>
      <c r="H64" s="3"/>
      <c r="I64" s="3">
        <f t="shared" ref="I64:J64" si="70">A64</f>
        <v>62</v>
      </c>
      <c r="J64" s="3" t="str">
        <f t="shared" si="70"/>
        <v>Senegal</v>
      </c>
      <c r="K64" s="3"/>
      <c r="L64" s="3" t="str">
        <f t="shared" si="2"/>
        <v>x</v>
      </c>
      <c r="M64" s="3"/>
      <c r="N64" s="3" t="str">
        <f t="shared" si="3"/>
        <v>Iraque</v>
      </c>
      <c r="O64" s="3" t="str">
        <f t="shared" si="4"/>
        <v>-</v>
      </c>
      <c r="P64" s="3"/>
      <c r="Q64" s="3" t="b">
        <f t="shared" si="5"/>
        <v>0</v>
      </c>
      <c r="R64" s="3" t="b">
        <f t="shared" si="6"/>
        <v>0</v>
      </c>
      <c r="S64" s="3" t="b">
        <f t="shared" si="7"/>
        <v>0</v>
      </c>
      <c r="T64" s="3" t="b">
        <f t="shared" si="8"/>
        <v>0</v>
      </c>
      <c r="U64" s="3" t="b">
        <f t="shared" si="9"/>
        <v>1</v>
      </c>
      <c r="V64" s="3"/>
      <c r="W64" s="3" cm="1">
        <f t="array" ref="W64">IF(OR(J64="Brasil",N64="Brasil"),2*_xlfn.IFS(Q64=TRUE,6,R64=TRUE,4,AND(S64=TRUE,T64=FALSE),3,T64=TRUE,2,U64=TRUE,0),_xlfn.IFS(Q64=TRUE,6,R64=TRUE,4,AND(S64=TRUE,T64=FALSE),3,T64=TRUE,2,U64=TRUE,0))</f>
        <v>0</v>
      </c>
      <c r="X64" s="3"/>
      <c r="Y64" s="3"/>
    </row>
    <row r="65" spans="1:25" ht="14.25" customHeight="1" x14ac:dyDescent="0.3">
      <c r="A65" s="3">
        <f>'Tabela de Jogos'!A65</f>
        <v>63</v>
      </c>
      <c r="B65" s="3" t="str">
        <f>'Tabela de Jogos'!B65</f>
        <v>Cabo Verde</v>
      </c>
      <c r="C65" s="3">
        <f>'Tabela de Jogos'!C65</f>
        <v>0</v>
      </c>
      <c r="D65" s="3" t="str">
        <f>'Tabela de Jogos'!D65</f>
        <v>x</v>
      </c>
      <c r="E65" s="3">
        <f>'Tabela de Jogos'!E65</f>
        <v>0</v>
      </c>
      <c r="F65" s="3" t="str">
        <f>'Tabela de Jogos'!F65</f>
        <v>Arábia Saudita</v>
      </c>
      <c r="G65" s="3" t="str">
        <f>'Tabela de Jogos'!G65</f>
        <v>-</v>
      </c>
      <c r="H65" s="3"/>
      <c r="I65" s="3">
        <f t="shared" ref="I65:J65" si="71">A65</f>
        <v>63</v>
      </c>
      <c r="J65" s="3" t="str">
        <f t="shared" si="71"/>
        <v>Cabo Verde</v>
      </c>
      <c r="K65" s="3"/>
      <c r="L65" s="3" t="str">
        <f t="shared" si="2"/>
        <v>x</v>
      </c>
      <c r="M65" s="3"/>
      <c r="N65" s="3" t="str">
        <f t="shared" si="3"/>
        <v>Arábia Saudita</v>
      </c>
      <c r="O65" s="3" t="str">
        <f t="shared" si="4"/>
        <v>-</v>
      </c>
      <c r="P65" s="3"/>
      <c r="Q65" s="3" t="b">
        <f t="shared" si="5"/>
        <v>0</v>
      </c>
      <c r="R65" s="3" t="b">
        <f t="shared" si="6"/>
        <v>0</v>
      </c>
      <c r="S65" s="3" t="b">
        <f t="shared" si="7"/>
        <v>0</v>
      </c>
      <c r="T65" s="3" t="b">
        <f t="shared" si="8"/>
        <v>0</v>
      </c>
      <c r="U65" s="3" t="b">
        <f t="shared" si="9"/>
        <v>1</v>
      </c>
      <c r="V65" s="3"/>
      <c r="W65" s="3" cm="1">
        <f t="array" ref="W65">IF(OR(J65="Brasil",N65="Brasil"),2*_xlfn.IFS(Q65=TRUE,6,R65=TRUE,4,AND(S65=TRUE,T65=FALSE),3,T65=TRUE,2,U65=TRUE,0),_xlfn.IFS(Q65=TRUE,6,R65=TRUE,4,AND(S65=TRUE,T65=FALSE),3,T65=TRUE,2,U65=TRUE,0))</f>
        <v>0</v>
      </c>
      <c r="X65" s="3"/>
      <c r="Y65" s="3"/>
    </row>
    <row r="66" spans="1:25" ht="14.25" customHeight="1" x14ac:dyDescent="0.3">
      <c r="A66" s="3">
        <f>'Tabela de Jogos'!A66</f>
        <v>64</v>
      </c>
      <c r="B66" s="3" t="str">
        <f>'Tabela de Jogos'!B66</f>
        <v>Uruguai</v>
      </c>
      <c r="C66" s="3">
        <f>'Tabela de Jogos'!C66</f>
        <v>0</v>
      </c>
      <c r="D66" s="3" t="str">
        <f>'Tabela de Jogos'!D66</f>
        <v>x</v>
      </c>
      <c r="E66" s="3">
        <f>'Tabela de Jogos'!E66</f>
        <v>0</v>
      </c>
      <c r="F66" s="3" t="str">
        <f>'Tabela de Jogos'!F66</f>
        <v>Espanha</v>
      </c>
      <c r="G66" s="3" t="str">
        <f>'Tabela de Jogos'!G66</f>
        <v>-</v>
      </c>
      <c r="H66" s="3"/>
      <c r="I66" s="3">
        <f t="shared" ref="I66:J66" si="72">A66</f>
        <v>64</v>
      </c>
      <c r="J66" s="3" t="str">
        <f t="shared" si="72"/>
        <v>Uruguai</v>
      </c>
      <c r="K66" s="3"/>
      <c r="L66" s="3" t="str">
        <f t="shared" si="2"/>
        <v>x</v>
      </c>
      <c r="M66" s="3"/>
      <c r="N66" s="3" t="str">
        <f t="shared" si="3"/>
        <v>Espanha</v>
      </c>
      <c r="O66" s="3" t="str">
        <f t="shared" si="4"/>
        <v>-</v>
      </c>
      <c r="P66" s="3"/>
      <c r="Q66" s="3" t="b">
        <f t="shared" si="5"/>
        <v>0</v>
      </c>
      <c r="R66" s="3" t="b">
        <f t="shared" si="6"/>
        <v>0</v>
      </c>
      <c r="S66" s="3" t="b">
        <f t="shared" si="7"/>
        <v>0</v>
      </c>
      <c r="T66" s="3" t="b">
        <f t="shared" si="8"/>
        <v>0</v>
      </c>
      <c r="U66" s="3" t="b">
        <f t="shared" si="9"/>
        <v>1</v>
      </c>
      <c r="V66" s="3"/>
      <c r="W66" s="3" cm="1">
        <f t="array" ref="W66">IF(OR(J66="Brasil",N66="Brasil"),2*_xlfn.IFS(Q66=TRUE,6,R66=TRUE,4,AND(S66=TRUE,T66=FALSE),3,T66=TRUE,2,U66=TRUE,0),_xlfn.IFS(Q66=TRUE,6,R66=TRUE,4,AND(S66=TRUE,T66=FALSE),3,T66=TRUE,2,U66=TRUE,0))</f>
        <v>0</v>
      </c>
      <c r="X66" s="3"/>
      <c r="Y66" s="3"/>
    </row>
    <row r="67" spans="1:25" ht="14.25" customHeight="1" x14ac:dyDescent="0.3">
      <c r="A67" s="3">
        <f>'Tabela de Jogos'!A67</f>
        <v>65</v>
      </c>
      <c r="B67" s="3" t="str">
        <f>'Tabela de Jogos'!B67</f>
        <v>Nova Zelândia</v>
      </c>
      <c r="C67" s="3">
        <f>'Tabela de Jogos'!C67</f>
        <v>0</v>
      </c>
      <c r="D67" s="3" t="str">
        <f>'Tabela de Jogos'!D67</f>
        <v>x</v>
      </c>
      <c r="E67" s="3">
        <f>'Tabela de Jogos'!E67</f>
        <v>0</v>
      </c>
      <c r="F67" s="3" t="str">
        <f>'Tabela de Jogos'!F67</f>
        <v>Bélgica</v>
      </c>
      <c r="G67" s="3" t="str">
        <f>'Tabela de Jogos'!G67</f>
        <v>-</v>
      </c>
      <c r="H67" s="3"/>
      <c r="I67" s="3">
        <f t="shared" ref="I67:J67" si="73">A67</f>
        <v>65</v>
      </c>
      <c r="J67" s="3" t="str">
        <f t="shared" si="73"/>
        <v>Nova Zelândia</v>
      </c>
      <c r="K67" s="3"/>
      <c r="L67" s="3" t="str">
        <f t="shared" si="2"/>
        <v>x</v>
      </c>
      <c r="M67" s="3"/>
      <c r="N67" s="3" t="str">
        <f t="shared" si="3"/>
        <v>Bélgica</v>
      </c>
      <c r="O67" s="3" t="str">
        <f t="shared" si="4"/>
        <v>-</v>
      </c>
      <c r="P67" s="3"/>
      <c r="Q67" s="3" t="b">
        <f t="shared" si="5"/>
        <v>0</v>
      </c>
      <c r="R67" s="3" t="b">
        <f t="shared" si="6"/>
        <v>0</v>
      </c>
      <c r="S67" s="3" t="b">
        <f t="shared" si="7"/>
        <v>0</v>
      </c>
      <c r="T67" s="3" t="b">
        <f t="shared" si="8"/>
        <v>0</v>
      </c>
      <c r="U67" s="3" t="b">
        <f t="shared" si="9"/>
        <v>1</v>
      </c>
      <c r="V67" s="3"/>
      <c r="W67" s="3" cm="1">
        <f t="array" ref="W67">IF(OR(J67="Brasil",N67="Brasil"),2*_xlfn.IFS(Q67=TRUE,6,R67=TRUE,4,AND(S67=TRUE,T67=FALSE),3,T67=TRUE,2,U67=TRUE,0),_xlfn.IFS(Q67=TRUE,6,R67=TRUE,4,AND(S67=TRUE,T67=FALSE),3,T67=TRUE,2,U67=TRUE,0))</f>
        <v>0</v>
      </c>
      <c r="X67" s="3"/>
      <c r="Y67" s="3"/>
    </row>
    <row r="68" spans="1:25" ht="14.25" customHeight="1" x14ac:dyDescent="0.3">
      <c r="A68" s="3">
        <f>'Tabela de Jogos'!A68</f>
        <v>66</v>
      </c>
      <c r="B68" s="3" t="str">
        <f>'Tabela de Jogos'!B68</f>
        <v>Egito</v>
      </c>
      <c r="C68" s="3">
        <f>'Tabela de Jogos'!C68</f>
        <v>0</v>
      </c>
      <c r="D68" s="3" t="str">
        <f>'Tabela de Jogos'!D68</f>
        <v>x</v>
      </c>
      <c r="E68" s="3">
        <f>'Tabela de Jogos'!E68</f>
        <v>0</v>
      </c>
      <c r="F68" s="3" t="str">
        <f>'Tabela de Jogos'!F68</f>
        <v>Irã</v>
      </c>
      <c r="G68" s="3" t="str">
        <f>'Tabela de Jogos'!G68</f>
        <v>-</v>
      </c>
      <c r="H68" s="3"/>
      <c r="I68" s="3">
        <f t="shared" ref="I68:J68" si="74">A68</f>
        <v>66</v>
      </c>
      <c r="J68" s="3" t="str">
        <f t="shared" si="74"/>
        <v>Egito</v>
      </c>
      <c r="K68" s="3"/>
      <c r="L68" s="3" t="str">
        <f t="shared" si="2"/>
        <v>x</v>
      </c>
      <c r="M68" s="3"/>
      <c r="N68" s="3" t="str">
        <f t="shared" si="3"/>
        <v>Irã</v>
      </c>
      <c r="O68" s="3" t="str">
        <f t="shared" si="4"/>
        <v>-</v>
      </c>
      <c r="P68" s="3"/>
      <c r="Q68" s="3" t="b">
        <f t="shared" si="5"/>
        <v>0</v>
      </c>
      <c r="R68" s="3" t="b">
        <f t="shared" si="6"/>
        <v>0</v>
      </c>
      <c r="S68" s="3" t="b">
        <f t="shared" si="7"/>
        <v>0</v>
      </c>
      <c r="T68" s="3" t="b">
        <f t="shared" si="8"/>
        <v>0</v>
      </c>
      <c r="U68" s="3" t="b">
        <f t="shared" si="9"/>
        <v>1</v>
      </c>
      <c r="V68" s="3"/>
      <c r="W68" s="3" cm="1">
        <f t="array" ref="W68">IF(OR(J68="Brasil",N68="Brasil"),2*_xlfn.IFS(Q68=TRUE,6,R68=TRUE,4,AND(S68=TRUE,T68=FALSE),3,T68=TRUE,2,U68=TRUE,0),_xlfn.IFS(Q68=TRUE,6,R68=TRUE,4,AND(S68=TRUE,T68=FALSE),3,T68=TRUE,2,U68=TRUE,0))</f>
        <v>0</v>
      </c>
      <c r="X68" s="3"/>
      <c r="Y68" s="3"/>
    </row>
    <row r="69" spans="1:25" ht="14.25" customHeight="1" x14ac:dyDescent="0.3">
      <c r="A69" s="3">
        <f>'Tabela de Jogos'!A69</f>
        <v>67</v>
      </c>
      <c r="B69" s="3" t="str">
        <f>'Tabela de Jogos'!B69</f>
        <v>Panamá</v>
      </c>
      <c r="C69" s="3">
        <f>'Tabela de Jogos'!C69</f>
        <v>0</v>
      </c>
      <c r="D69" s="3" t="str">
        <f>'Tabela de Jogos'!D69</f>
        <v>x</v>
      </c>
      <c r="E69" s="3">
        <f>'Tabela de Jogos'!E69</f>
        <v>0</v>
      </c>
      <c r="F69" s="3" t="str">
        <f>'Tabela de Jogos'!F69</f>
        <v>Inglaterra</v>
      </c>
      <c r="G69" s="3" t="str">
        <f>'Tabela de Jogos'!G69</f>
        <v>-</v>
      </c>
      <c r="H69" s="3"/>
      <c r="I69" s="3">
        <f t="shared" ref="I69:J69" si="75">A69</f>
        <v>67</v>
      </c>
      <c r="J69" s="3" t="str">
        <f t="shared" si="75"/>
        <v>Panamá</v>
      </c>
      <c r="K69" s="3"/>
      <c r="L69" s="3" t="str">
        <f t="shared" si="2"/>
        <v>x</v>
      </c>
      <c r="M69" s="3"/>
      <c r="N69" s="3" t="str">
        <f t="shared" si="3"/>
        <v>Inglaterra</v>
      </c>
      <c r="O69" s="3" t="str">
        <f t="shared" si="4"/>
        <v>-</v>
      </c>
      <c r="P69" s="3"/>
      <c r="Q69" s="3" t="b">
        <f t="shared" si="5"/>
        <v>0</v>
      </c>
      <c r="R69" s="3" t="b">
        <f t="shared" si="6"/>
        <v>0</v>
      </c>
      <c r="S69" s="3" t="b">
        <f t="shared" si="7"/>
        <v>0</v>
      </c>
      <c r="T69" s="3" t="b">
        <f t="shared" si="8"/>
        <v>0</v>
      </c>
      <c r="U69" s="3" t="b">
        <f t="shared" si="9"/>
        <v>1</v>
      </c>
      <c r="V69" s="3"/>
      <c r="W69" s="3" cm="1">
        <f t="array" ref="W69">IF(OR(J69="Brasil",N69="Brasil"),2*_xlfn.IFS(Q69=TRUE,6,R69=TRUE,4,AND(S69=TRUE,T69=FALSE),3,T69=TRUE,2,U69=TRUE,0),_xlfn.IFS(Q69=TRUE,6,R69=TRUE,4,AND(S69=TRUE,T69=FALSE),3,T69=TRUE,2,U69=TRUE,0))</f>
        <v>0</v>
      </c>
      <c r="X69" s="3"/>
      <c r="Y69" s="3"/>
    </row>
    <row r="70" spans="1:25" ht="14.25" customHeight="1" x14ac:dyDescent="0.3">
      <c r="A70" s="3">
        <f>'Tabela de Jogos'!A70</f>
        <v>68</v>
      </c>
      <c r="B70" s="3" t="str">
        <f>'Tabela de Jogos'!B70</f>
        <v>Croácia</v>
      </c>
      <c r="C70" s="3">
        <f>'Tabela de Jogos'!C70</f>
        <v>0</v>
      </c>
      <c r="D70" s="3" t="str">
        <f>'Tabela de Jogos'!D70</f>
        <v>x</v>
      </c>
      <c r="E70" s="3">
        <f>'Tabela de Jogos'!E70</f>
        <v>0</v>
      </c>
      <c r="F70" s="3" t="str">
        <f>'Tabela de Jogos'!F70</f>
        <v>Gana</v>
      </c>
      <c r="G70" s="3" t="str">
        <f>'Tabela de Jogos'!G70</f>
        <v>-</v>
      </c>
      <c r="H70" s="3"/>
      <c r="I70" s="3">
        <f t="shared" ref="I70:J70" si="76">A70</f>
        <v>68</v>
      </c>
      <c r="J70" s="3" t="str">
        <f t="shared" si="76"/>
        <v>Croácia</v>
      </c>
      <c r="K70" s="3"/>
      <c r="L70" s="3" t="str">
        <f t="shared" si="2"/>
        <v>x</v>
      </c>
      <c r="M70" s="3"/>
      <c r="N70" s="3" t="str">
        <f t="shared" si="3"/>
        <v>Gana</v>
      </c>
      <c r="O70" s="3" t="str">
        <f t="shared" si="4"/>
        <v>-</v>
      </c>
      <c r="P70" s="3"/>
      <c r="Q70" s="3" t="b">
        <f t="shared" si="5"/>
        <v>0</v>
      </c>
      <c r="R70" s="3" t="b">
        <f t="shared" si="6"/>
        <v>0</v>
      </c>
      <c r="S70" s="3" t="b">
        <f t="shared" si="7"/>
        <v>0</v>
      </c>
      <c r="T70" s="3" t="b">
        <f t="shared" si="8"/>
        <v>0</v>
      </c>
      <c r="U70" s="3" t="b">
        <f t="shared" si="9"/>
        <v>1</v>
      </c>
      <c r="V70" s="3"/>
      <c r="W70" s="3" cm="1">
        <f t="array" ref="W70">IF(OR(J70="Brasil",N70="Brasil"),2*_xlfn.IFS(Q70=TRUE,6,R70=TRUE,4,AND(S70=TRUE,T70=FALSE),3,T70=TRUE,2,U70=TRUE,0),_xlfn.IFS(Q70=TRUE,6,R70=TRUE,4,AND(S70=TRUE,T70=FALSE),3,T70=TRUE,2,U70=TRUE,0))</f>
        <v>0</v>
      </c>
      <c r="X70" s="3"/>
      <c r="Y70" s="3"/>
    </row>
    <row r="71" spans="1:25" ht="14.25" customHeight="1" x14ac:dyDescent="0.3">
      <c r="A71" s="3">
        <f>'Tabela de Jogos'!A71</f>
        <v>69</v>
      </c>
      <c r="B71" s="3" t="str">
        <f>'Tabela de Jogos'!B71</f>
        <v>Colômbia</v>
      </c>
      <c r="C71" s="3">
        <f>'Tabela de Jogos'!C71</f>
        <v>0</v>
      </c>
      <c r="D71" s="3" t="str">
        <f>'Tabela de Jogos'!D71</f>
        <v>x</v>
      </c>
      <c r="E71" s="3">
        <f>'Tabela de Jogos'!E71</f>
        <v>0</v>
      </c>
      <c r="F71" s="3" t="str">
        <f>'Tabela de Jogos'!F71</f>
        <v>Portugal</v>
      </c>
      <c r="G71" s="3" t="str">
        <f>'Tabela de Jogos'!G71</f>
        <v>-</v>
      </c>
      <c r="H71" s="3"/>
      <c r="I71" s="3">
        <f t="shared" ref="I71:J71" si="77">A71</f>
        <v>69</v>
      </c>
      <c r="J71" s="3" t="str">
        <f t="shared" si="77"/>
        <v>Colômbia</v>
      </c>
      <c r="K71" s="3"/>
      <c r="L71" s="3" t="str">
        <f t="shared" si="2"/>
        <v>x</v>
      </c>
      <c r="M71" s="3"/>
      <c r="N71" s="3" t="str">
        <f t="shared" si="3"/>
        <v>Portugal</v>
      </c>
      <c r="O71" s="3" t="str">
        <f t="shared" si="4"/>
        <v>-</v>
      </c>
      <c r="P71" s="3"/>
      <c r="Q71" s="3" t="b">
        <f t="shared" si="5"/>
        <v>0</v>
      </c>
      <c r="R71" s="3" t="b">
        <f t="shared" si="6"/>
        <v>0</v>
      </c>
      <c r="S71" s="3" t="b">
        <f t="shared" si="7"/>
        <v>0</v>
      </c>
      <c r="T71" s="3" t="b">
        <f t="shared" si="8"/>
        <v>0</v>
      </c>
      <c r="U71" s="3" t="b">
        <f t="shared" si="9"/>
        <v>1</v>
      </c>
      <c r="V71" s="3"/>
      <c r="W71" s="3" cm="1">
        <f t="array" ref="W71">IF(OR(J71="Brasil",N71="Brasil"),2*_xlfn.IFS(Q71=TRUE,6,R71=TRUE,4,AND(S71=TRUE,T71=FALSE),3,T71=TRUE,2,U71=TRUE,0),_xlfn.IFS(Q71=TRUE,6,R71=TRUE,4,AND(S71=TRUE,T71=FALSE),3,T71=TRUE,2,U71=TRUE,0))</f>
        <v>0</v>
      </c>
      <c r="X71" s="3"/>
      <c r="Y71" s="3"/>
    </row>
    <row r="72" spans="1:25" ht="14.25" customHeight="1" x14ac:dyDescent="0.3">
      <c r="A72" s="3">
        <f>'Tabela de Jogos'!A72</f>
        <v>70</v>
      </c>
      <c r="B72" s="3" t="str">
        <f>'Tabela de Jogos'!B72</f>
        <v>RD Congo</v>
      </c>
      <c r="C72" s="3">
        <f>'Tabela de Jogos'!C72</f>
        <v>0</v>
      </c>
      <c r="D72" s="3" t="str">
        <f>'Tabela de Jogos'!D72</f>
        <v>x</v>
      </c>
      <c r="E72" s="3">
        <f>'Tabela de Jogos'!E72</f>
        <v>0</v>
      </c>
      <c r="F72" s="3" t="str">
        <f>'Tabela de Jogos'!F72</f>
        <v>Uzbequistão</v>
      </c>
      <c r="G72" s="3" t="str">
        <f>'Tabela de Jogos'!G72</f>
        <v>-</v>
      </c>
      <c r="H72" s="3"/>
      <c r="I72" s="3">
        <f t="shared" ref="I72:J72" si="78">A72</f>
        <v>70</v>
      </c>
      <c r="J72" s="3" t="str">
        <f t="shared" si="78"/>
        <v>RD Congo</v>
      </c>
      <c r="K72" s="3"/>
      <c r="L72" s="3" t="str">
        <f t="shared" si="2"/>
        <v>x</v>
      </c>
      <c r="M72" s="3"/>
      <c r="N72" s="3" t="str">
        <f t="shared" si="3"/>
        <v>Uzbequistão</v>
      </c>
      <c r="O72" s="3" t="str">
        <f t="shared" si="4"/>
        <v>-</v>
      </c>
      <c r="P72" s="3"/>
      <c r="Q72" s="3" t="b">
        <f t="shared" si="5"/>
        <v>0</v>
      </c>
      <c r="R72" s="3" t="b">
        <f t="shared" si="6"/>
        <v>0</v>
      </c>
      <c r="S72" s="3" t="b">
        <f t="shared" si="7"/>
        <v>0</v>
      </c>
      <c r="T72" s="3" t="b">
        <f t="shared" si="8"/>
        <v>0</v>
      </c>
      <c r="U72" s="3" t="b">
        <f t="shared" si="9"/>
        <v>1</v>
      </c>
      <c r="V72" s="3"/>
      <c r="W72" s="3" cm="1">
        <f t="array" ref="W72">IF(OR(J72="Brasil",N72="Brasil"),2*_xlfn.IFS(Q72=TRUE,6,R72=TRUE,4,AND(S72=TRUE,T72=FALSE),3,T72=TRUE,2,U72=TRUE,0),_xlfn.IFS(Q72=TRUE,6,R72=TRUE,4,AND(S72=TRUE,T72=FALSE),3,T72=TRUE,2,U72=TRUE,0))</f>
        <v>0</v>
      </c>
      <c r="X72" s="3"/>
      <c r="Y72" s="3"/>
    </row>
    <row r="73" spans="1:25" ht="14.25" customHeight="1" x14ac:dyDescent="0.3">
      <c r="A73" s="3">
        <f>'Tabela de Jogos'!A73</f>
        <v>71</v>
      </c>
      <c r="B73" s="3" t="str">
        <f>'Tabela de Jogos'!B73</f>
        <v>Argélia</v>
      </c>
      <c r="C73" s="3">
        <f>'Tabela de Jogos'!C73</f>
        <v>0</v>
      </c>
      <c r="D73" s="3" t="str">
        <f>'Tabela de Jogos'!D73</f>
        <v>x</v>
      </c>
      <c r="E73" s="3">
        <f>'Tabela de Jogos'!E73</f>
        <v>0</v>
      </c>
      <c r="F73" s="3" t="str">
        <f>'Tabela de Jogos'!F73</f>
        <v>Áustria</v>
      </c>
      <c r="G73" s="3" t="str">
        <f>'Tabela de Jogos'!G73</f>
        <v>-</v>
      </c>
      <c r="H73" s="3"/>
      <c r="I73" s="3">
        <f t="shared" ref="I73:J73" si="79">A73</f>
        <v>71</v>
      </c>
      <c r="J73" s="3" t="str">
        <f t="shared" si="79"/>
        <v>Argélia</v>
      </c>
      <c r="K73" s="3"/>
      <c r="L73" s="3" t="str">
        <f t="shared" si="2"/>
        <v>x</v>
      </c>
      <c r="M73" s="3"/>
      <c r="N73" s="3" t="str">
        <f t="shared" si="3"/>
        <v>Áustria</v>
      </c>
      <c r="O73" s="3" t="str">
        <f t="shared" si="4"/>
        <v>-</v>
      </c>
      <c r="P73" s="3"/>
      <c r="Q73" s="3" t="b">
        <f t="shared" si="5"/>
        <v>0</v>
      </c>
      <c r="R73" s="3" t="b">
        <f t="shared" si="6"/>
        <v>0</v>
      </c>
      <c r="S73" s="3" t="b">
        <f t="shared" si="7"/>
        <v>0</v>
      </c>
      <c r="T73" s="3" t="b">
        <f t="shared" si="8"/>
        <v>0</v>
      </c>
      <c r="U73" s="3" t="b">
        <f t="shared" si="9"/>
        <v>1</v>
      </c>
      <c r="V73" s="3"/>
      <c r="W73" s="3" cm="1">
        <f t="array" ref="W73">IF(OR(J73="Brasil",N73="Brasil"),2*_xlfn.IFS(Q73=TRUE,6,R73=TRUE,4,AND(S73=TRUE,T73=FALSE),3,T73=TRUE,2,U73=TRUE,0),_xlfn.IFS(Q73=TRUE,6,R73=TRUE,4,AND(S73=TRUE,T73=FALSE),3,T73=TRUE,2,U73=TRUE,0))</f>
        <v>0</v>
      </c>
      <c r="X73" s="3"/>
      <c r="Y73" s="3"/>
    </row>
    <row r="74" spans="1:25" ht="14.25" customHeight="1" x14ac:dyDescent="0.3">
      <c r="A74" s="3">
        <f>'Tabela de Jogos'!A74</f>
        <v>72</v>
      </c>
      <c r="B74" s="3" t="str">
        <f>'Tabela de Jogos'!B74</f>
        <v>Jordânia</v>
      </c>
      <c r="C74" s="3">
        <f>'Tabela de Jogos'!C74</f>
        <v>0</v>
      </c>
      <c r="D74" s="3" t="str">
        <f>'Tabela de Jogos'!D74</f>
        <v>x</v>
      </c>
      <c r="E74" s="3">
        <f>'Tabela de Jogos'!E74</f>
        <v>0</v>
      </c>
      <c r="F74" s="3" t="str">
        <f>'Tabela de Jogos'!F74</f>
        <v>Argentina</v>
      </c>
      <c r="G74" s="3" t="str">
        <f>'Tabela de Jogos'!G74</f>
        <v>-</v>
      </c>
      <c r="H74" s="3"/>
      <c r="I74" s="3">
        <f t="shared" ref="I74:J74" si="80">A74</f>
        <v>72</v>
      </c>
      <c r="J74" s="3" t="str">
        <f t="shared" si="80"/>
        <v>Jordânia</v>
      </c>
      <c r="K74" s="3"/>
      <c r="L74" s="3" t="str">
        <f t="shared" si="2"/>
        <v>x</v>
      </c>
      <c r="M74" s="3"/>
      <c r="N74" s="3" t="str">
        <f t="shared" si="3"/>
        <v>Argentina</v>
      </c>
      <c r="O74" s="3" t="str">
        <f t="shared" si="4"/>
        <v>-</v>
      </c>
      <c r="P74" s="3"/>
      <c r="Q74" s="3" t="b">
        <f t="shared" si="5"/>
        <v>0</v>
      </c>
      <c r="R74" s="3" t="b">
        <f t="shared" si="6"/>
        <v>0</v>
      </c>
      <c r="S74" s="3" t="b">
        <f t="shared" si="7"/>
        <v>0</v>
      </c>
      <c r="T74" s="3" t="b">
        <f t="shared" si="8"/>
        <v>0</v>
      </c>
      <c r="U74" s="3" t="b">
        <f t="shared" si="9"/>
        <v>1</v>
      </c>
      <c r="V74" s="3"/>
      <c r="W74" s="3" cm="1">
        <f t="array" ref="W74">IF(OR(J74="Brasil",N74="Brasil"),2*_xlfn.IFS(Q74=TRUE,6,R74=TRUE,4,AND(S74=TRUE,T74=FALSE),3,T74=TRUE,2,U74=TRUE,0),_xlfn.IFS(Q74=TRUE,6,R74=TRUE,4,AND(S74=TRUE,T74=FALSE),3,T74=TRUE,2,U74=TRUE,0))</f>
        <v>0</v>
      </c>
      <c r="X74" s="3"/>
      <c r="Y74" s="3"/>
    </row>
    <row r="75" spans="1:25" ht="14.25" customHeight="1" x14ac:dyDescent="0.3">
      <c r="A75" s="3">
        <f>'Tabela de Jogos'!A75</f>
        <v>73</v>
      </c>
      <c r="B75" s="3">
        <f>'Tabela de Jogos'!B75</f>
        <v>0</v>
      </c>
      <c r="C75" s="3">
        <f>'Tabela de Jogos'!C75</f>
        <v>0</v>
      </c>
      <c r="D75" s="3" t="str">
        <f>'Tabela de Jogos'!D75</f>
        <v>x</v>
      </c>
      <c r="E75" s="3">
        <f>'Tabela de Jogos'!E75</f>
        <v>0</v>
      </c>
      <c r="F75" s="3">
        <f>'Tabela de Jogos'!F75</f>
        <v>0</v>
      </c>
      <c r="G75" s="3" t="str">
        <f>'Tabela de Jogos'!G75</f>
        <v>-</v>
      </c>
      <c r="H75" s="3"/>
      <c r="I75" s="3">
        <f t="shared" ref="I75:J75" si="81">A75</f>
        <v>73</v>
      </c>
      <c r="J75" s="3">
        <f t="shared" si="81"/>
        <v>0</v>
      </c>
      <c r="K75" s="3"/>
      <c r="L75" s="3" t="str">
        <f t="shared" si="2"/>
        <v>x</v>
      </c>
      <c r="M75" s="3"/>
      <c r="N75" s="3">
        <f t="shared" si="3"/>
        <v>0</v>
      </c>
      <c r="O75" s="3" t="str">
        <f t="shared" si="4"/>
        <v>-</v>
      </c>
      <c r="P75" s="3"/>
      <c r="Q75" s="3" t="b">
        <f t="shared" si="5"/>
        <v>0</v>
      </c>
      <c r="R75" s="3" t="b">
        <f t="shared" si="6"/>
        <v>0</v>
      </c>
      <c r="S75" s="3" t="b">
        <f t="shared" si="7"/>
        <v>0</v>
      </c>
      <c r="T75" s="3" t="b">
        <f t="shared" si="8"/>
        <v>0</v>
      </c>
      <c r="U75" s="3" t="b">
        <f t="shared" si="9"/>
        <v>1</v>
      </c>
      <c r="V75" s="3"/>
      <c r="W75" s="3" cm="1">
        <f t="array" ref="W75">IF(OR(J75="Brasil",N75="Brasil"),2*_xlfn.IFS(Q75=TRUE,6,R75=TRUE,4,AND(S75=TRUE,T75=FALSE),3,T75=TRUE,2,U75=TRUE,0),_xlfn.IFS(Q75=TRUE,6,R75=TRUE,4,AND(S75=TRUE,T75=FALSE),3,T75=TRUE,2,U75=TRUE,0))</f>
        <v>0</v>
      </c>
      <c r="X75" s="3"/>
      <c r="Y75" s="3"/>
    </row>
    <row r="76" spans="1:25" ht="14.25" customHeight="1" x14ac:dyDescent="0.3">
      <c r="A76" s="3">
        <f>'Tabela de Jogos'!A76</f>
        <v>74</v>
      </c>
      <c r="B76" s="3">
        <f>'Tabela de Jogos'!B76</f>
        <v>0</v>
      </c>
      <c r="C76" s="3">
        <f>'Tabela de Jogos'!C76</f>
        <v>0</v>
      </c>
      <c r="D76" s="3" t="str">
        <f>'Tabela de Jogos'!D76</f>
        <v>x</v>
      </c>
      <c r="E76" s="3">
        <f>'Tabela de Jogos'!E76</f>
        <v>0</v>
      </c>
      <c r="F76" s="3">
        <f>'Tabela de Jogos'!F76</f>
        <v>0</v>
      </c>
      <c r="G76" s="3" t="str">
        <f>'Tabela de Jogos'!G76</f>
        <v>-</v>
      </c>
      <c r="H76" s="3"/>
      <c r="I76" s="3">
        <f t="shared" ref="I76:J76" si="82">A76</f>
        <v>74</v>
      </c>
      <c r="J76" s="3">
        <f t="shared" si="82"/>
        <v>0</v>
      </c>
      <c r="K76" s="3"/>
      <c r="L76" s="3" t="str">
        <f t="shared" si="2"/>
        <v>x</v>
      </c>
      <c r="M76" s="3"/>
      <c r="N76" s="3">
        <f t="shared" si="3"/>
        <v>0</v>
      </c>
      <c r="O76" s="3" t="str">
        <f t="shared" si="4"/>
        <v>-</v>
      </c>
      <c r="P76" s="3"/>
      <c r="Q76" s="3" t="b">
        <f t="shared" si="5"/>
        <v>0</v>
      </c>
      <c r="R76" s="3" t="b">
        <f t="shared" si="6"/>
        <v>0</v>
      </c>
      <c r="S76" s="3" t="b">
        <f t="shared" si="7"/>
        <v>0</v>
      </c>
      <c r="T76" s="3" t="b">
        <f t="shared" si="8"/>
        <v>0</v>
      </c>
      <c r="U76" s="3" t="b">
        <f t="shared" si="9"/>
        <v>1</v>
      </c>
      <c r="V76" s="3"/>
      <c r="W76" s="3" cm="1">
        <f t="array" ref="W76">IF(OR(J76="Brasil",N76="Brasil"),2*_xlfn.IFS(Q76=TRUE,6,R76=TRUE,4,AND(S76=TRUE,T76=FALSE),3,T76=TRUE,2,U76=TRUE,0),_xlfn.IFS(Q76=TRUE,6,R76=TRUE,4,AND(S76=TRUE,T76=FALSE),3,T76=TRUE,2,U76=TRUE,0))</f>
        <v>0</v>
      </c>
      <c r="X76" s="3"/>
      <c r="Y76" s="3"/>
    </row>
    <row r="77" spans="1:25" ht="14.25" customHeight="1" x14ac:dyDescent="0.3">
      <c r="A77" s="3">
        <f>'Tabela de Jogos'!A77</f>
        <v>75</v>
      </c>
      <c r="B77" s="3">
        <f>'Tabela de Jogos'!B77</f>
        <v>0</v>
      </c>
      <c r="C77" s="3">
        <f>'Tabela de Jogos'!C77</f>
        <v>0</v>
      </c>
      <c r="D77" s="3" t="str">
        <f>'Tabela de Jogos'!D77</f>
        <v>x</v>
      </c>
      <c r="E77" s="3">
        <f>'Tabela de Jogos'!E77</f>
        <v>0</v>
      </c>
      <c r="F77" s="3">
        <f>'Tabela de Jogos'!F77</f>
        <v>0</v>
      </c>
      <c r="G77" s="3" t="str">
        <f>'Tabela de Jogos'!G77</f>
        <v>-</v>
      </c>
      <c r="H77" s="3"/>
      <c r="I77" s="3">
        <f t="shared" ref="I77:J77" si="83">A77</f>
        <v>75</v>
      </c>
      <c r="J77" s="3">
        <f t="shared" si="83"/>
        <v>0</v>
      </c>
      <c r="K77" s="3"/>
      <c r="L77" s="3" t="str">
        <f t="shared" si="2"/>
        <v>x</v>
      </c>
      <c r="M77" s="3"/>
      <c r="N77" s="3">
        <f t="shared" si="3"/>
        <v>0</v>
      </c>
      <c r="O77" s="3" t="str">
        <f t="shared" si="4"/>
        <v>-</v>
      </c>
      <c r="P77" s="3"/>
      <c r="Q77" s="3" t="b">
        <f t="shared" si="5"/>
        <v>0</v>
      </c>
      <c r="R77" s="3" t="b">
        <f t="shared" si="6"/>
        <v>0</v>
      </c>
      <c r="S77" s="3" t="b">
        <f t="shared" si="7"/>
        <v>0</v>
      </c>
      <c r="T77" s="3" t="b">
        <f t="shared" si="8"/>
        <v>0</v>
      </c>
      <c r="U77" s="3" t="b">
        <f t="shared" si="9"/>
        <v>1</v>
      </c>
      <c r="V77" s="3"/>
      <c r="W77" s="3" cm="1">
        <f t="array" ref="W77">IF(OR(J77="Brasil",N77="Brasil"),2*_xlfn.IFS(Q77=TRUE,6,R77=TRUE,4,AND(S77=TRUE,T77=FALSE),3,T77=TRUE,2,U77=TRUE,0),_xlfn.IFS(Q77=TRUE,6,R77=TRUE,4,AND(S77=TRUE,T77=FALSE),3,T77=TRUE,2,U77=TRUE,0))</f>
        <v>0</v>
      </c>
      <c r="X77" s="3"/>
      <c r="Y77" s="3"/>
    </row>
    <row r="78" spans="1:25" ht="14.25" customHeight="1" x14ac:dyDescent="0.3">
      <c r="A78" s="3">
        <f>'Tabela de Jogos'!A78</f>
        <v>76</v>
      </c>
      <c r="B78" s="3">
        <f>'Tabela de Jogos'!B78</f>
        <v>0</v>
      </c>
      <c r="C78" s="3">
        <f>'Tabela de Jogos'!C78</f>
        <v>0</v>
      </c>
      <c r="D78" s="3" t="str">
        <f>'Tabela de Jogos'!D78</f>
        <v>x</v>
      </c>
      <c r="E78" s="3">
        <f>'Tabela de Jogos'!E78</f>
        <v>0</v>
      </c>
      <c r="F78" s="3">
        <f>'Tabela de Jogos'!F78</f>
        <v>0</v>
      </c>
      <c r="G78" s="3" t="str">
        <f>'Tabela de Jogos'!G78</f>
        <v>-</v>
      </c>
      <c r="H78" s="3"/>
      <c r="I78" s="3">
        <f t="shared" ref="I78:J78" si="84">A78</f>
        <v>76</v>
      </c>
      <c r="J78" s="3">
        <f t="shared" si="84"/>
        <v>0</v>
      </c>
      <c r="K78" s="3"/>
      <c r="L78" s="3" t="str">
        <f t="shared" si="2"/>
        <v>x</v>
      </c>
      <c r="M78" s="3"/>
      <c r="N78" s="3">
        <f t="shared" si="3"/>
        <v>0</v>
      </c>
      <c r="O78" s="3" t="str">
        <f t="shared" si="4"/>
        <v>-</v>
      </c>
      <c r="P78" s="3"/>
      <c r="Q78" s="3" t="b">
        <f t="shared" si="5"/>
        <v>0</v>
      </c>
      <c r="R78" s="3" t="b">
        <f t="shared" si="6"/>
        <v>0</v>
      </c>
      <c r="S78" s="3" t="b">
        <f t="shared" si="7"/>
        <v>0</v>
      </c>
      <c r="T78" s="3" t="b">
        <f t="shared" si="8"/>
        <v>0</v>
      </c>
      <c r="U78" s="3" t="b">
        <f t="shared" si="9"/>
        <v>1</v>
      </c>
      <c r="V78" s="3"/>
      <c r="W78" s="3" cm="1">
        <f t="array" ref="W78">IF(OR(J78="Brasil",N78="Brasil"),2*_xlfn.IFS(Q78=TRUE,6,R78=TRUE,4,AND(S78=TRUE,T78=FALSE),3,T78=TRUE,2,U78=TRUE,0),_xlfn.IFS(Q78=TRUE,6,R78=TRUE,4,AND(S78=TRUE,T78=FALSE),3,T78=TRUE,2,U78=TRUE,0))</f>
        <v>0</v>
      </c>
      <c r="X78" s="3"/>
      <c r="Y78" s="3"/>
    </row>
    <row r="79" spans="1:25" ht="14.25" customHeight="1" x14ac:dyDescent="0.3">
      <c r="A79" s="3">
        <f>'Tabela de Jogos'!A79</f>
        <v>77</v>
      </c>
      <c r="B79" s="3">
        <f>'Tabela de Jogos'!B79</f>
        <v>0</v>
      </c>
      <c r="C79" s="3">
        <f>'Tabela de Jogos'!C79</f>
        <v>0</v>
      </c>
      <c r="D79" s="3" t="str">
        <f>'Tabela de Jogos'!D79</f>
        <v>x</v>
      </c>
      <c r="E79" s="3">
        <f>'Tabela de Jogos'!E79</f>
        <v>0</v>
      </c>
      <c r="F79" s="3">
        <f>'Tabela de Jogos'!F79</f>
        <v>0</v>
      </c>
      <c r="G79" s="3" t="str">
        <f>'Tabela de Jogos'!G79</f>
        <v>-</v>
      </c>
      <c r="H79" s="3"/>
      <c r="I79" s="3">
        <f t="shared" ref="I79:J79" si="85">A79</f>
        <v>77</v>
      </c>
      <c r="J79" s="3">
        <f t="shared" si="85"/>
        <v>0</v>
      </c>
      <c r="K79" s="3"/>
      <c r="L79" s="3" t="str">
        <f t="shared" si="2"/>
        <v>x</v>
      </c>
      <c r="M79" s="3"/>
      <c r="N79" s="3">
        <f t="shared" si="3"/>
        <v>0</v>
      </c>
      <c r="O79" s="3" t="str">
        <f t="shared" si="4"/>
        <v>-</v>
      </c>
      <c r="P79" s="3"/>
      <c r="Q79" s="3" t="b">
        <f t="shared" si="5"/>
        <v>0</v>
      </c>
      <c r="R79" s="3" t="b">
        <f t="shared" si="6"/>
        <v>0</v>
      </c>
      <c r="S79" s="3" t="b">
        <f t="shared" si="7"/>
        <v>0</v>
      </c>
      <c r="T79" s="3" t="b">
        <f t="shared" si="8"/>
        <v>0</v>
      </c>
      <c r="U79" s="3" t="b">
        <f t="shared" si="9"/>
        <v>1</v>
      </c>
      <c r="V79" s="3"/>
      <c r="W79" s="3" cm="1">
        <f t="array" ref="W79">IF(OR(J79="Brasil",N79="Brasil"),2*_xlfn.IFS(Q79=TRUE,6,R79=TRUE,4,AND(S79=TRUE,T79=FALSE),3,T79=TRUE,2,U79=TRUE,0),_xlfn.IFS(Q79=TRUE,6,R79=TRUE,4,AND(S79=TRUE,T79=FALSE),3,T79=TRUE,2,U79=TRUE,0))</f>
        <v>0</v>
      </c>
      <c r="X79" s="3"/>
      <c r="Y79" s="3"/>
    </row>
    <row r="80" spans="1:25" ht="14.25" customHeight="1" x14ac:dyDescent="0.3">
      <c r="A80" s="3">
        <f>'Tabela de Jogos'!A80</f>
        <v>78</v>
      </c>
      <c r="B80" s="3">
        <f>'Tabela de Jogos'!B80</f>
        <v>0</v>
      </c>
      <c r="C80" s="3">
        <f>'Tabela de Jogos'!C80</f>
        <v>0</v>
      </c>
      <c r="D80" s="3" t="str">
        <f>'Tabela de Jogos'!D80</f>
        <v>x</v>
      </c>
      <c r="E80" s="3">
        <f>'Tabela de Jogos'!E80</f>
        <v>0</v>
      </c>
      <c r="F80" s="3">
        <f>'Tabela de Jogos'!F80</f>
        <v>0</v>
      </c>
      <c r="G80" s="3" t="str">
        <f>'Tabela de Jogos'!G80</f>
        <v>-</v>
      </c>
      <c r="H80" s="3"/>
      <c r="I80" s="3">
        <f t="shared" ref="I80:J80" si="86">A80</f>
        <v>78</v>
      </c>
      <c r="J80" s="3">
        <f t="shared" si="86"/>
        <v>0</v>
      </c>
      <c r="K80" s="3"/>
      <c r="L80" s="3" t="str">
        <f t="shared" si="2"/>
        <v>x</v>
      </c>
      <c r="M80" s="3"/>
      <c r="N80" s="3">
        <f t="shared" si="3"/>
        <v>0</v>
      </c>
      <c r="O80" s="3" t="str">
        <f t="shared" si="4"/>
        <v>-</v>
      </c>
      <c r="P80" s="3"/>
      <c r="Q80" s="3" t="b">
        <f t="shared" si="5"/>
        <v>0</v>
      </c>
      <c r="R80" s="3" t="b">
        <f t="shared" si="6"/>
        <v>0</v>
      </c>
      <c r="S80" s="3" t="b">
        <f t="shared" si="7"/>
        <v>0</v>
      </c>
      <c r="T80" s="3" t="b">
        <f t="shared" si="8"/>
        <v>0</v>
      </c>
      <c r="U80" s="3" t="b">
        <f t="shared" si="9"/>
        <v>1</v>
      </c>
      <c r="V80" s="3"/>
      <c r="W80" s="3" cm="1">
        <f t="array" ref="W80">IF(OR(J80="Brasil",N80="Brasil"),2*_xlfn.IFS(Q80=TRUE,6,R80=TRUE,4,AND(S80=TRUE,T80=FALSE),3,T80=TRUE,2,U80=TRUE,0),_xlfn.IFS(Q80=TRUE,6,R80=TRUE,4,AND(S80=TRUE,T80=FALSE),3,T80=TRUE,2,U80=TRUE,0))</f>
        <v>0</v>
      </c>
      <c r="X80" s="3"/>
      <c r="Y80" s="3"/>
    </row>
    <row r="81" spans="1:25" ht="14.25" customHeight="1" x14ac:dyDescent="0.3">
      <c r="A81" s="3">
        <f>'Tabela de Jogos'!A81</f>
        <v>79</v>
      </c>
      <c r="B81" s="3">
        <f>'Tabela de Jogos'!B81</f>
        <v>0</v>
      </c>
      <c r="C81" s="3">
        <f>'Tabela de Jogos'!C81</f>
        <v>0</v>
      </c>
      <c r="D81" s="3" t="str">
        <f>'Tabela de Jogos'!D81</f>
        <v>x</v>
      </c>
      <c r="E81" s="3">
        <f>'Tabela de Jogos'!E81</f>
        <v>0</v>
      </c>
      <c r="F81" s="3">
        <f>'Tabela de Jogos'!F81</f>
        <v>0</v>
      </c>
      <c r="G81" s="3" t="str">
        <f>'Tabela de Jogos'!G81</f>
        <v>-</v>
      </c>
      <c r="H81" s="3"/>
      <c r="I81" s="3">
        <f t="shared" ref="I81:J81" si="87">A81</f>
        <v>79</v>
      </c>
      <c r="J81" s="3">
        <f t="shared" si="87"/>
        <v>0</v>
      </c>
      <c r="K81" s="3"/>
      <c r="L81" s="3" t="str">
        <f t="shared" si="2"/>
        <v>x</v>
      </c>
      <c r="M81" s="3"/>
      <c r="N81" s="3">
        <f t="shared" si="3"/>
        <v>0</v>
      </c>
      <c r="O81" s="3" t="str">
        <f t="shared" si="4"/>
        <v>-</v>
      </c>
      <c r="P81" s="3"/>
      <c r="Q81" s="3" t="b">
        <f t="shared" si="5"/>
        <v>0</v>
      </c>
      <c r="R81" s="3" t="b">
        <f t="shared" si="6"/>
        <v>0</v>
      </c>
      <c r="S81" s="3" t="b">
        <f t="shared" si="7"/>
        <v>0</v>
      </c>
      <c r="T81" s="3" t="b">
        <f t="shared" si="8"/>
        <v>0</v>
      </c>
      <c r="U81" s="3" t="b">
        <f t="shared" si="9"/>
        <v>1</v>
      </c>
      <c r="V81" s="3"/>
      <c r="W81" s="3" cm="1">
        <f t="array" ref="W81">IF(OR(J81="Brasil",N81="Brasil"),2*_xlfn.IFS(Q81=TRUE,6,R81=TRUE,4,AND(S81=TRUE,T81=FALSE),3,T81=TRUE,2,U81=TRUE,0),_xlfn.IFS(Q81=TRUE,6,R81=TRUE,4,AND(S81=TRUE,T81=FALSE),3,T81=TRUE,2,U81=TRUE,0))</f>
        <v>0</v>
      </c>
      <c r="X81" s="3"/>
      <c r="Y81" s="3"/>
    </row>
    <row r="82" spans="1:25" ht="14.25" customHeight="1" x14ac:dyDescent="0.3">
      <c r="A82" s="3">
        <f>'Tabela de Jogos'!A82</f>
        <v>80</v>
      </c>
      <c r="B82" s="3">
        <f>'Tabela de Jogos'!B82</f>
        <v>0</v>
      </c>
      <c r="C82" s="3">
        <f>'Tabela de Jogos'!C82</f>
        <v>0</v>
      </c>
      <c r="D82" s="3" t="str">
        <f>'Tabela de Jogos'!D82</f>
        <v>x</v>
      </c>
      <c r="E82" s="3">
        <f>'Tabela de Jogos'!E82</f>
        <v>0</v>
      </c>
      <c r="F82" s="3">
        <f>'Tabela de Jogos'!F82</f>
        <v>0</v>
      </c>
      <c r="G82" s="3" t="str">
        <f>'Tabela de Jogos'!G82</f>
        <v>-</v>
      </c>
      <c r="H82" s="3"/>
      <c r="I82" s="3">
        <f t="shared" ref="I82:J82" si="88">A82</f>
        <v>80</v>
      </c>
      <c r="J82" s="3">
        <f t="shared" si="88"/>
        <v>0</v>
      </c>
      <c r="K82" s="3"/>
      <c r="L82" s="3" t="str">
        <f t="shared" si="2"/>
        <v>x</v>
      </c>
      <c r="M82" s="3"/>
      <c r="N82" s="3">
        <f t="shared" si="3"/>
        <v>0</v>
      </c>
      <c r="O82" s="3" t="str">
        <f t="shared" si="4"/>
        <v>-</v>
      </c>
      <c r="P82" s="3"/>
      <c r="Q82" s="3" t="b">
        <f t="shared" si="5"/>
        <v>0</v>
      </c>
      <c r="R82" s="3" t="b">
        <f t="shared" si="6"/>
        <v>0</v>
      </c>
      <c r="S82" s="3" t="b">
        <f t="shared" si="7"/>
        <v>0</v>
      </c>
      <c r="T82" s="3" t="b">
        <f t="shared" si="8"/>
        <v>0</v>
      </c>
      <c r="U82" s="3" t="b">
        <f t="shared" si="9"/>
        <v>1</v>
      </c>
      <c r="V82" s="3"/>
      <c r="W82" s="3" cm="1">
        <f t="array" ref="W82">IF(OR(J82="Brasil",N82="Brasil"),2*_xlfn.IFS(Q82=TRUE,6,R82=TRUE,4,AND(S82=TRUE,T82=FALSE),3,T82=TRUE,2,U82=TRUE,0),_xlfn.IFS(Q82=TRUE,6,R82=TRUE,4,AND(S82=TRUE,T82=FALSE),3,T82=TRUE,2,U82=TRUE,0))</f>
        <v>0</v>
      </c>
      <c r="X82" s="3"/>
      <c r="Y82" s="3"/>
    </row>
    <row r="83" spans="1:25" ht="14.25" customHeight="1" x14ac:dyDescent="0.3">
      <c r="A83" s="3">
        <f>'Tabela de Jogos'!A83</f>
        <v>81</v>
      </c>
      <c r="B83" s="3">
        <f>'Tabela de Jogos'!B83</f>
        <v>0</v>
      </c>
      <c r="C83" s="3">
        <f>'Tabela de Jogos'!C83</f>
        <v>0</v>
      </c>
      <c r="D83" s="3" t="str">
        <f>'Tabela de Jogos'!D83</f>
        <v>x</v>
      </c>
      <c r="E83" s="3">
        <f>'Tabela de Jogos'!E83</f>
        <v>0</v>
      </c>
      <c r="F83" s="3">
        <f>'Tabela de Jogos'!F83</f>
        <v>0</v>
      </c>
      <c r="G83" s="3" t="str">
        <f>'Tabela de Jogos'!G83</f>
        <v>-</v>
      </c>
      <c r="H83" s="3"/>
      <c r="I83" s="3">
        <f t="shared" ref="I83:J83" si="89">A83</f>
        <v>81</v>
      </c>
      <c r="J83" s="3">
        <f t="shared" si="89"/>
        <v>0</v>
      </c>
      <c r="K83" s="3"/>
      <c r="L83" s="3" t="str">
        <f t="shared" si="2"/>
        <v>x</v>
      </c>
      <c r="M83" s="3"/>
      <c r="N83" s="3">
        <f t="shared" si="3"/>
        <v>0</v>
      </c>
      <c r="O83" s="3" t="str">
        <f t="shared" si="4"/>
        <v>-</v>
      </c>
      <c r="P83" s="3"/>
      <c r="Q83" s="3" t="b">
        <f t="shared" si="5"/>
        <v>0</v>
      </c>
      <c r="R83" s="3" t="b">
        <f t="shared" si="6"/>
        <v>0</v>
      </c>
      <c r="S83" s="3" t="b">
        <f t="shared" si="7"/>
        <v>0</v>
      </c>
      <c r="T83" s="3" t="b">
        <f t="shared" si="8"/>
        <v>0</v>
      </c>
      <c r="U83" s="3" t="b">
        <f t="shared" si="9"/>
        <v>1</v>
      </c>
      <c r="V83" s="3"/>
      <c r="W83" s="3" cm="1">
        <f t="array" ref="W83">IF(OR(J83="Brasil",N83="Brasil"),2*_xlfn.IFS(Q83=TRUE,6,R83=TRUE,4,AND(S83=TRUE,T83=FALSE),3,T83=TRUE,2,U83=TRUE,0),_xlfn.IFS(Q83=TRUE,6,R83=TRUE,4,AND(S83=TRUE,T83=FALSE),3,T83=TRUE,2,U83=TRUE,0))</f>
        <v>0</v>
      </c>
      <c r="X83" s="3"/>
      <c r="Y83" s="3"/>
    </row>
    <row r="84" spans="1:25" ht="14.25" customHeight="1" x14ac:dyDescent="0.3">
      <c r="A84" s="3">
        <f>'Tabela de Jogos'!A84</f>
        <v>82</v>
      </c>
      <c r="B84" s="3">
        <f>'Tabela de Jogos'!B84</f>
        <v>0</v>
      </c>
      <c r="C84" s="3">
        <f>'Tabela de Jogos'!C84</f>
        <v>0</v>
      </c>
      <c r="D84" s="3" t="str">
        <f>'Tabela de Jogos'!D84</f>
        <v>x</v>
      </c>
      <c r="E84" s="3">
        <f>'Tabela de Jogos'!E84</f>
        <v>0</v>
      </c>
      <c r="F84" s="3">
        <f>'Tabela de Jogos'!F84</f>
        <v>0</v>
      </c>
      <c r="G84" s="3" t="str">
        <f>'Tabela de Jogos'!G84</f>
        <v>-</v>
      </c>
      <c r="H84" s="3"/>
      <c r="I84" s="3">
        <f t="shared" ref="I84:J84" si="90">A84</f>
        <v>82</v>
      </c>
      <c r="J84" s="3">
        <f t="shared" si="90"/>
        <v>0</v>
      </c>
      <c r="K84" s="3"/>
      <c r="L84" s="3" t="str">
        <f t="shared" si="2"/>
        <v>x</v>
      </c>
      <c r="M84" s="3"/>
      <c r="N84" s="3">
        <f t="shared" si="3"/>
        <v>0</v>
      </c>
      <c r="O84" s="3" t="str">
        <f t="shared" si="4"/>
        <v>-</v>
      </c>
      <c r="P84" s="3"/>
      <c r="Q84" s="3" t="b">
        <f t="shared" si="5"/>
        <v>0</v>
      </c>
      <c r="R84" s="3" t="b">
        <f t="shared" si="6"/>
        <v>0</v>
      </c>
      <c r="S84" s="3" t="b">
        <f t="shared" si="7"/>
        <v>0</v>
      </c>
      <c r="T84" s="3" t="b">
        <f t="shared" si="8"/>
        <v>0</v>
      </c>
      <c r="U84" s="3" t="b">
        <f t="shared" si="9"/>
        <v>1</v>
      </c>
      <c r="V84" s="3"/>
      <c r="W84" s="3" cm="1">
        <f t="array" ref="W84">IF(OR(J84="Brasil",N84="Brasil"),2*_xlfn.IFS(Q84=TRUE,6,R84=TRUE,4,AND(S84=TRUE,T84=FALSE),3,T84=TRUE,2,U84=TRUE,0),_xlfn.IFS(Q84=TRUE,6,R84=TRUE,4,AND(S84=TRUE,T84=FALSE),3,T84=TRUE,2,U84=TRUE,0))</f>
        <v>0</v>
      </c>
      <c r="X84" s="3"/>
      <c r="Y84" s="3"/>
    </row>
    <row r="85" spans="1:25" ht="14.25" customHeight="1" x14ac:dyDescent="0.3">
      <c r="A85" s="3">
        <f>'Tabela de Jogos'!A85</f>
        <v>83</v>
      </c>
      <c r="B85" s="3">
        <f>'Tabela de Jogos'!B85</f>
        <v>0</v>
      </c>
      <c r="C85" s="3">
        <f>'Tabela de Jogos'!C85</f>
        <v>0</v>
      </c>
      <c r="D85" s="3" t="str">
        <f>'Tabela de Jogos'!D85</f>
        <v>x</v>
      </c>
      <c r="E85" s="3">
        <f>'Tabela de Jogos'!E85</f>
        <v>0</v>
      </c>
      <c r="F85" s="3">
        <f>'Tabela de Jogos'!F85</f>
        <v>0</v>
      </c>
      <c r="G85" s="3" t="str">
        <f>'Tabela de Jogos'!G85</f>
        <v>-</v>
      </c>
      <c r="H85" s="3"/>
      <c r="I85" s="3">
        <f t="shared" ref="I85:J85" si="91">A85</f>
        <v>83</v>
      </c>
      <c r="J85" s="3">
        <f t="shared" si="91"/>
        <v>0</v>
      </c>
      <c r="K85" s="3"/>
      <c r="L85" s="3" t="str">
        <f t="shared" si="2"/>
        <v>x</v>
      </c>
      <c r="M85" s="3"/>
      <c r="N85" s="3">
        <f t="shared" si="3"/>
        <v>0</v>
      </c>
      <c r="O85" s="3" t="str">
        <f t="shared" si="4"/>
        <v>-</v>
      </c>
      <c r="P85" s="3"/>
      <c r="Q85" s="3" t="b">
        <f t="shared" si="5"/>
        <v>0</v>
      </c>
      <c r="R85" s="3" t="b">
        <f t="shared" si="6"/>
        <v>0</v>
      </c>
      <c r="S85" s="3" t="b">
        <f t="shared" si="7"/>
        <v>0</v>
      </c>
      <c r="T85" s="3" t="b">
        <f t="shared" si="8"/>
        <v>0</v>
      </c>
      <c r="U85" s="3" t="b">
        <f t="shared" si="9"/>
        <v>1</v>
      </c>
      <c r="V85" s="3"/>
      <c r="W85" s="3" cm="1">
        <f t="array" ref="W85">IF(OR(J85="Brasil",N85="Brasil"),2*_xlfn.IFS(Q85=TRUE,6,R85=TRUE,4,AND(S85=TRUE,T85=FALSE),3,T85=TRUE,2,U85=TRUE,0),_xlfn.IFS(Q85=TRUE,6,R85=TRUE,4,AND(S85=TRUE,T85=FALSE),3,T85=TRUE,2,U85=TRUE,0))</f>
        <v>0</v>
      </c>
      <c r="X85" s="3"/>
      <c r="Y85" s="3"/>
    </row>
    <row r="86" spans="1:25" ht="14.25" customHeight="1" x14ac:dyDescent="0.3">
      <c r="A86" s="3">
        <f>'Tabela de Jogos'!A86</f>
        <v>84</v>
      </c>
      <c r="B86" s="3">
        <f>'Tabela de Jogos'!B86</f>
        <v>0</v>
      </c>
      <c r="C86" s="3">
        <f>'Tabela de Jogos'!C86</f>
        <v>0</v>
      </c>
      <c r="D86" s="3" t="str">
        <f>'Tabela de Jogos'!D86</f>
        <v>x</v>
      </c>
      <c r="E86" s="3">
        <f>'Tabela de Jogos'!E86</f>
        <v>0</v>
      </c>
      <c r="F86" s="3">
        <f>'Tabela de Jogos'!F86</f>
        <v>0</v>
      </c>
      <c r="G86" s="3" t="str">
        <f>'Tabela de Jogos'!G86</f>
        <v>-</v>
      </c>
      <c r="H86" s="3"/>
      <c r="I86" s="3">
        <f t="shared" ref="I86:J86" si="92">A86</f>
        <v>84</v>
      </c>
      <c r="J86" s="3">
        <f t="shared" si="92"/>
        <v>0</v>
      </c>
      <c r="K86" s="3"/>
      <c r="L86" s="3" t="str">
        <f t="shared" si="2"/>
        <v>x</v>
      </c>
      <c r="M86" s="3"/>
      <c r="N86" s="3">
        <f t="shared" si="3"/>
        <v>0</v>
      </c>
      <c r="O86" s="3" t="str">
        <f t="shared" si="4"/>
        <v>-</v>
      </c>
      <c r="P86" s="3"/>
      <c r="Q86" s="3" t="b">
        <f t="shared" si="5"/>
        <v>0</v>
      </c>
      <c r="R86" s="3" t="b">
        <f t="shared" si="6"/>
        <v>0</v>
      </c>
      <c r="S86" s="3" t="b">
        <f t="shared" si="7"/>
        <v>0</v>
      </c>
      <c r="T86" s="3" t="b">
        <f t="shared" si="8"/>
        <v>0</v>
      </c>
      <c r="U86" s="3" t="b">
        <f t="shared" si="9"/>
        <v>1</v>
      </c>
      <c r="V86" s="3"/>
      <c r="W86" s="3" cm="1">
        <f t="array" ref="W86">IF(OR(J86="Brasil",N86="Brasil"),2*_xlfn.IFS(Q86=TRUE,6,R86=TRUE,4,AND(S86=TRUE,T86=FALSE),3,T86=TRUE,2,U86=TRUE,0),_xlfn.IFS(Q86=TRUE,6,R86=TRUE,4,AND(S86=TRUE,T86=FALSE),3,T86=TRUE,2,U86=TRUE,0))</f>
        <v>0</v>
      </c>
      <c r="X86" s="3"/>
      <c r="Y86" s="3"/>
    </row>
    <row r="87" spans="1:25" ht="14.25" customHeight="1" x14ac:dyDescent="0.3">
      <c r="A87" s="3">
        <f>'Tabela de Jogos'!A87</f>
        <v>85</v>
      </c>
      <c r="B87" s="3">
        <f>'Tabela de Jogos'!B87</f>
        <v>0</v>
      </c>
      <c r="C87" s="3">
        <f>'Tabela de Jogos'!C87</f>
        <v>0</v>
      </c>
      <c r="D87" s="3" t="str">
        <f>'Tabela de Jogos'!D87</f>
        <v>x</v>
      </c>
      <c r="E87" s="3">
        <f>'Tabela de Jogos'!E87</f>
        <v>0</v>
      </c>
      <c r="F87" s="3">
        <f>'Tabela de Jogos'!F87</f>
        <v>0</v>
      </c>
      <c r="G87" s="3" t="str">
        <f>'Tabela de Jogos'!G87</f>
        <v>-</v>
      </c>
      <c r="H87" s="3"/>
      <c r="I87" s="3">
        <f t="shared" ref="I87:J87" si="93">A87</f>
        <v>85</v>
      </c>
      <c r="J87" s="3">
        <f t="shared" si="93"/>
        <v>0</v>
      </c>
      <c r="K87" s="3"/>
      <c r="L87" s="3" t="str">
        <f t="shared" si="2"/>
        <v>x</v>
      </c>
      <c r="M87" s="3"/>
      <c r="N87" s="3">
        <f t="shared" si="3"/>
        <v>0</v>
      </c>
      <c r="O87" s="3" t="str">
        <f t="shared" si="4"/>
        <v>-</v>
      </c>
      <c r="P87" s="3"/>
      <c r="Q87" s="3" t="b">
        <f t="shared" si="5"/>
        <v>0</v>
      </c>
      <c r="R87" s="3" t="b">
        <f t="shared" si="6"/>
        <v>0</v>
      </c>
      <c r="S87" s="3" t="b">
        <f t="shared" si="7"/>
        <v>0</v>
      </c>
      <c r="T87" s="3" t="b">
        <f t="shared" si="8"/>
        <v>0</v>
      </c>
      <c r="U87" s="3" t="b">
        <f t="shared" si="9"/>
        <v>1</v>
      </c>
      <c r="V87" s="3"/>
      <c r="W87" s="3" cm="1">
        <f t="array" ref="W87">IF(OR(J87="Brasil",N87="Brasil"),2*_xlfn.IFS(Q87=TRUE,6,R87=TRUE,4,AND(S87=TRUE,T87=FALSE),3,T87=TRUE,2,U87=TRUE,0),_xlfn.IFS(Q87=TRUE,6,R87=TRUE,4,AND(S87=TRUE,T87=FALSE),3,T87=TRUE,2,U87=TRUE,0))</f>
        <v>0</v>
      </c>
      <c r="X87" s="3"/>
      <c r="Y87" s="3"/>
    </row>
    <row r="88" spans="1:25" ht="14.25" customHeight="1" x14ac:dyDescent="0.3">
      <c r="A88" s="3">
        <f>'Tabela de Jogos'!A88</f>
        <v>86</v>
      </c>
      <c r="B88" s="3">
        <f>'Tabela de Jogos'!B88</f>
        <v>0</v>
      </c>
      <c r="C88" s="3">
        <f>'Tabela de Jogos'!C88</f>
        <v>0</v>
      </c>
      <c r="D88" s="3" t="str">
        <f>'Tabela de Jogos'!D88</f>
        <v>x</v>
      </c>
      <c r="E88" s="3">
        <f>'Tabela de Jogos'!E88</f>
        <v>0</v>
      </c>
      <c r="F88" s="3">
        <f>'Tabela de Jogos'!F88</f>
        <v>0</v>
      </c>
      <c r="G88" s="3" t="str">
        <f>'Tabela de Jogos'!G88</f>
        <v>-</v>
      </c>
      <c r="H88" s="3"/>
      <c r="I88" s="3">
        <f t="shared" ref="I88:J88" si="94">A88</f>
        <v>86</v>
      </c>
      <c r="J88" s="3">
        <f t="shared" si="94"/>
        <v>0</v>
      </c>
      <c r="K88" s="3"/>
      <c r="L88" s="3" t="str">
        <f t="shared" si="2"/>
        <v>x</v>
      </c>
      <c r="M88" s="3"/>
      <c r="N88" s="3">
        <f t="shared" si="3"/>
        <v>0</v>
      </c>
      <c r="O88" s="3" t="str">
        <f t="shared" si="4"/>
        <v>-</v>
      </c>
      <c r="P88" s="3"/>
      <c r="Q88" s="3" t="b">
        <f t="shared" si="5"/>
        <v>0</v>
      </c>
      <c r="R88" s="3" t="b">
        <f t="shared" si="6"/>
        <v>0</v>
      </c>
      <c r="S88" s="3" t="b">
        <f t="shared" si="7"/>
        <v>0</v>
      </c>
      <c r="T88" s="3" t="b">
        <f t="shared" si="8"/>
        <v>0</v>
      </c>
      <c r="U88" s="3" t="b">
        <f t="shared" si="9"/>
        <v>1</v>
      </c>
      <c r="V88" s="3"/>
      <c r="W88" s="3" cm="1">
        <f t="array" ref="W88">IF(OR(J88="Brasil",N88="Brasil"),2*_xlfn.IFS(Q88=TRUE,6,R88=TRUE,4,AND(S88=TRUE,T88=FALSE),3,T88=TRUE,2,U88=TRUE,0),_xlfn.IFS(Q88=TRUE,6,R88=TRUE,4,AND(S88=TRUE,T88=FALSE),3,T88=TRUE,2,U88=TRUE,0))</f>
        <v>0</v>
      </c>
      <c r="X88" s="3"/>
      <c r="Y88" s="3"/>
    </row>
    <row r="89" spans="1:25" ht="14.25" customHeight="1" x14ac:dyDescent="0.3">
      <c r="A89" s="3">
        <f>'Tabela de Jogos'!A89</f>
        <v>87</v>
      </c>
      <c r="B89" s="3">
        <f>'Tabela de Jogos'!B89</f>
        <v>0</v>
      </c>
      <c r="C89" s="3">
        <f>'Tabela de Jogos'!C89</f>
        <v>0</v>
      </c>
      <c r="D89" s="3" t="str">
        <f>'Tabela de Jogos'!D89</f>
        <v>x</v>
      </c>
      <c r="E89" s="3">
        <f>'Tabela de Jogos'!E89</f>
        <v>0</v>
      </c>
      <c r="F89" s="3">
        <f>'Tabela de Jogos'!F89</f>
        <v>0</v>
      </c>
      <c r="G89" s="3" t="str">
        <f>'Tabela de Jogos'!G89</f>
        <v>-</v>
      </c>
      <c r="H89" s="3"/>
      <c r="I89" s="3">
        <f t="shared" ref="I89:J89" si="95">A89</f>
        <v>87</v>
      </c>
      <c r="J89" s="3">
        <f t="shared" si="95"/>
        <v>0</v>
      </c>
      <c r="K89" s="3"/>
      <c r="L89" s="3" t="str">
        <f t="shared" si="2"/>
        <v>x</v>
      </c>
      <c r="M89" s="3"/>
      <c r="N89" s="3">
        <f t="shared" si="3"/>
        <v>0</v>
      </c>
      <c r="O89" s="3" t="str">
        <f t="shared" si="4"/>
        <v>-</v>
      </c>
      <c r="P89" s="3"/>
      <c r="Q89" s="3" t="b">
        <f t="shared" si="5"/>
        <v>0</v>
      </c>
      <c r="R89" s="3" t="b">
        <f t="shared" si="6"/>
        <v>0</v>
      </c>
      <c r="S89" s="3" t="b">
        <f t="shared" si="7"/>
        <v>0</v>
      </c>
      <c r="T89" s="3" t="b">
        <f t="shared" si="8"/>
        <v>0</v>
      </c>
      <c r="U89" s="3" t="b">
        <f t="shared" si="9"/>
        <v>1</v>
      </c>
      <c r="V89" s="3"/>
      <c r="W89" s="3" cm="1">
        <f t="array" ref="W89">IF(OR(J89="Brasil",N89="Brasil"),2*_xlfn.IFS(Q89=TRUE,6,R89=TRUE,4,AND(S89=TRUE,T89=FALSE),3,T89=TRUE,2,U89=TRUE,0),_xlfn.IFS(Q89=TRUE,6,R89=TRUE,4,AND(S89=TRUE,T89=FALSE),3,T89=TRUE,2,U89=TRUE,0))</f>
        <v>0</v>
      </c>
      <c r="X89" s="3"/>
      <c r="Y89" s="3"/>
    </row>
    <row r="90" spans="1:25" ht="14.25" customHeight="1" x14ac:dyDescent="0.3">
      <c r="A90" s="3">
        <f>'Tabela de Jogos'!A90</f>
        <v>88</v>
      </c>
      <c r="B90" s="3">
        <f>'Tabela de Jogos'!B90</f>
        <v>0</v>
      </c>
      <c r="C90" s="3">
        <f>'Tabela de Jogos'!C90</f>
        <v>0</v>
      </c>
      <c r="D90" s="3" t="str">
        <f>'Tabela de Jogos'!D90</f>
        <v>x</v>
      </c>
      <c r="E90" s="3">
        <f>'Tabela de Jogos'!E90</f>
        <v>0</v>
      </c>
      <c r="F90" s="3">
        <f>'Tabela de Jogos'!F90</f>
        <v>0</v>
      </c>
      <c r="G90" s="3" t="str">
        <f>'Tabela de Jogos'!G90</f>
        <v>-</v>
      </c>
      <c r="H90" s="3"/>
      <c r="I90" s="3">
        <f t="shared" ref="I90:J90" si="96">A90</f>
        <v>88</v>
      </c>
      <c r="J90" s="3">
        <f t="shared" si="96"/>
        <v>0</v>
      </c>
      <c r="K90" s="3"/>
      <c r="L90" s="3" t="str">
        <f t="shared" si="2"/>
        <v>x</v>
      </c>
      <c r="M90" s="3"/>
      <c r="N90" s="3">
        <f t="shared" si="3"/>
        <v>0</v>
      </c>
      <c r="O90" s="3" t="str">
        <f t="shared" si="4"/>
        <v>-</v>
      </c>
      <c r="P90" s="3"/>
      <c r="Q90" s="3" t="b">
        <f t="shared" si="5"/>
        <v>0</v>
      </c>
      <c r="R90" s="3" t="b">
        <f t="shared" si="6"/>
        <v>0</v>
      </c>
      <c r="S90" s="3" t="b">
        <f t="shared" si="7"/>
        <v>0</v>
      </c>
      <c r="T90" s="3" t="b">
        <f t="shared" si="8"/>
        <v>0</v>
      </c>
      <c r="U90" s="3" t="b">
        <f t="shared" si="9"/>
        <v>1</v>
      </c>
      <c r="V90" s="3"/>
      <c r="W90" s="3" cm="1">
        <f t="array" ref="W90">IF(OR(J90="Brasil",N90="Brasil"),2*_xlfn.IFS(Q90=TRUE,6,R90=TRUE,4,AND(S90=TRUE,T90=FALSE),3,T90=TRUE,2,U90=TRUE,0),_xlfn.IFS(Q90=TRUE,6,R90=TRUE,4,AND(S90=TRUE,T90=FALSE),3,T90=TRUE,2,U90=TRUE,0))</f>
        <v>0</v>
      </c>
      <c r="X90" s="3"/>
      <c r="Y90" s="3"/>
    </row>
    <row r="91" spans="1:25" ht="14.25" customHeight="1" x14ac:dyDescent="0.3">
      <c r="A91" s="3">
        <f>'Tabela de Jogos'!A91</f>
        <v>89</v>
      </c>
      <c r="B91" s="3">
        <f>'Tabela de Jogos'!B91</f>
        <v>0</v>
      </c>
      <c r="C91" s="3">
        <f>'Tabela de Jogos'!C91</f>
        <v>0</v>
      </c>
      <c r="D91" s="3" t="str">
        <f>'Tabela de Jogos'!D91</f>
        <v>x</v>
      </c>
      <c r="E91" s="3">
        <f>'Tabela de Jogos'!E91</f>
        <v>0</v>
      </c>
      <c r="F91" s="3">
        <f>'Tabela de Jogos'!F91</f>
        <v>0</v>
      </c>
      <c r="G91" s="3" t="str">
        <f>'Tabela de Jogos'!G91</f>
        <v>-</v>
      </c>
      <c r="H91" s="3"/>
      <c r="I91" s="3">
        <f t="shared" ref="I91:J91" si="97">A91</f>
        <v>89</v>
      </c>
      <c r="J91" s="3">
        <f t="shared" si="97"/>
        <v>0</v>
      </c>
      <c r="K91" s="3"/>
      <c r="L91" s="3" t="str">
        <f t="shared" si="2"/>
        <v>x</v>
      </c>
      <c r="M91" s="3"/>
      <c r="N91" s="3">
        <f t="shared" si="3"/>
        <v>0</v>
      </c>
      <c r="O91" s="3" t="str">
        <f t="shared" si="4"/>
        <v>-</v>
      </c>
      <c r="P91" s="3"/>
      <c r="Q91" s="3" t="b">
        <f t="shared" si="5"/>
        <v>0</v>
      </c>
      <c r="R91" s="3" t="b">
        <f t="shared" si="6"/>
        <v>0</v>
      </c>
      <c r="S91" s="3" t="b">
        <f t="shared" si="7"/>
        <v>0</v>
      </c>
      <c r="T91" s="3" t="b">
        <f t="shared" si="8"/>
        <v>0</v>
      </c>
      <c r="U91" s="3" t="b">
        <f t="shared" si="9"/>
        <v>1</v>
      </c>
      <c r="V91" s="3"/>
      <c r="W91" s="3" cm="1">
        <f t="array" ref="W91">IF(OR(J91="Brasil",N91="Brasil"),2*_xlfn.IFS(Q91=TRUE,6,R91=TRUE,4,AND(S91=TRUE,T91=FALSE),3,T91=TRUE,2,U91=TRUE,0),_xlfn.IFS(Q91=TRUE,6,R91=TRUE,4,AND(S91=TRUE,T91=FALSE),3,T91=TRUE,2,U91=TRUE,0))</f>
        <v>0</v>
      </c>
      <c r="X91" s="3"/>
      <c r="Y91" s="3"/>
    </row>
    <row r="92" spans="1:25" ht="14.25" customHeight="1" x14ac:dyDescent="0.3">
      <c r="A92" s="3">
        <f>'Tabela de Jogos'!A92</f>
        <v>90</v>
      </c>
      <c r="B92" s="3">
        <f>'Tabela de Jogos'!B92</f>
        <v>0</v>
      </c>
      <c r="C92" s="3">
        <f>'Tabela de Jogos'!C92</f>
        <v>0</v>
      </c>
      <c r="D92" s="3" t="str">
        <f>'Tabela de Jogos'!D92</f>
        <v>x</v>
      </c>
      <c r="E92" s="3">
        <f>'Tabela de Jogos'!E92</f>
        <v>0</v>
      </c>
      <c r="F92" s="3">
        <f>'Tabela de Jogos'!F92</f>
        <v>0</v>
      </c>
      <c r="G92" s="3" t="str">
        <f>'Tabela de Jogos'!G92</f>
        <v>-</v>
      </c>
      <c r="H92" s="3"/>
      <c r="I92" s="3">
        <f t="shared" ref="I92:J92" si="98">A92</f>
        <v>90</v>
      </c>
      <c r="J92" s="3">
        <f t="shared" si="98"/>
        <v>0</v>
      </c>
      <c r="K92" s="3"/>
      <c r="L92" s="3" t="str">
        <f t="shared" si="2"/>
        <v>x</v>
      </c>
      <c r="M92" s="3"/>
      <c r="N92" s="3">
        <f t="shared" si="3"/>
        <v>0</v>
      </c>
      <c r="O92" s="3" t="str">
        <f t="shared" si="4"/>
        <v>-</v>
      </c>
      <c r="P92" s="3"/>
      <c r="Q92" s="3" t="b">
        <f t="shared" si="5"/>
        <v>0</v>
      </c>
      <c r="R92" s="3" t="b">
        <f t="shared" si="6"/>
        <v>0</v>
      </c>
      <c r="S92" s="3" t="b">
        <f t="shared" si="7"/>
        <v>0</v>
      </c>
      <c r="T92" s="3" t="b">
        <f t="shared" si="8"/>
        <v>0</v>
      </c>
      <c r="U92" s="3" t="b">
        <f t="shared" si="9"/>
        <v>1</v>
      </c>
      <c r="V92" s="3"/>
      <c r="W92" s="3" cm="1">
        <f t="array" ref="W92">IF(OR(J92="Brasil",N92="Brasil"),2*_xlfn.IFS(Q92=TRUE,6,R92=TRUE,4,AND(S92=TRUE,T92=FALSE),3,T92=TRUE,2,U92=TRUE,0),_xlfn.IFS(Q92=TRUE,6,R92=TRUE,4,AND(S92=TRUE,T92=FALSE),3,T92=TRUE,2,U92=TRUE,0))</f>
        <v>0</v>
      </c>
      <c r="X92" s="3"/>
      <c r="Y92" s="3"/>
    </row>
    <row r="93" spans="1:25" ht="14.25" customHeight="1" x14ac:dyDescent="0.3">
      <c r="A93" s="3">
        <f>'Tabela de Jogos'!A93</f>
        <v>91</v>
      </c>
      <c r="B93" s="3">
        <f>'Tabela de Jogos'!B93</f>
        <v>0</v>
      </c>
      <c r="C93" s="3">
        <f>'Tabela de Jogos'!C93</f>
        <v>0</v>
      </c>
      <c r="D93" s="3" t="str">
        <f>'Tabela de Jogos'!D93</f>
        <v>x</v>
      </c>
      <c r="E93" s="3">
        <f>'Tabela de Jogos'!E93</f>
        <v>0</v>
      </c>
      <c r="F93" s="3">
        <f>'Tabela de Jogos'!F93</f>
        <v>0</v>
      </c>
      <c r="G93" s="3" t="str">
        <f>'Tabela de Jogos'!G93</f>
        <v>-</v>
      </c>
      <c r="H93" s="3"/>
      <c r="I93" s="3">
        <f t="shared" ref="I93:J93" si="99">A93</f>
        <v>91</v>
      </c>
      <c r="J93" s="3">
        <f t="shared" si="99"/>
        <v>0</v>
      </c>
      <c r="K93" s="3"/>
      <c r="L93" s="3" t="str">
        <f t="shared" si="2"/>
        <v>x</v>
      </c>
      <c r="M93" s="3"/>
      <c r="N93" s="3">
        <f t="shared" si="3"/>
        <v>0</v>
      </c>
      <c r="O93" s="3" t="str">
        <f t="shared" si="4"/>
        <v>-</v>
      </c>
      <c r="P93" s="3"/>
      <c r="Q93" s="3" t="b">
        <f t="shared" si="5"/>
        <v>0</v>
      </c>
      <c r="R93" s="3" t="b">
        <f t="shared" si="6"/>
        <v>0</v>
      </c>
      <c r="S93" s="3" t="b">
        <f t="shared" si="7"/>
        <v>0</v>
      </c>
      <c r="T93" s="3" t="b">
        <f t="shared" si="8"/>
        <v>0</v>
      </c>
      <c r="U93" s="3" t="b">
        <f t="shared" si="9"/>
        <v>1</v>
      </c>
      <c r="V93" s="3"/>
      <c r="W93" s="3" cm="1">
        <f t="array" ref="W93">IF(OR(J93="Brasil",N93="Brasil"),2*_xlfn.IFS(Q93=TRUE,6,R93=TRUE,4,AND(S93=TRUE,T93=FALSE),3,T93=TRUE,2,U93=TRUE,0),_xlfn.IFS(Q93=TRUE,6,R93=TRUE,4,AND(S93=TRUE,T93=FALSE),3,T93=TRUE,2,U93=TRUE,0))</f>
        <v>0</v>
      </c>
      <c r="X93" s="3"/>
      <c r="Y93" s="3"/>
    </row>
    <row r="94" spans="1:25" ht="14.25" customHeight="1" x14ac:dyDescent="0.3">
      <c r="A94" s="3">
        <f>'Tabela de Jogos'!A94</f>
        <v>92</v>
      </c>
      <c r="B94" s="3">
        <f>'Tabela de Jogos'!B94</f>
        <v>0</v>
      </c>
      <c r="C94" s="3">
        <f>'Tabela de Jogos'!C94</f>
        <v>0</v>
      </c>
      <c r="D94" s="3" t="str">
        <f>'Tabela de Jogos'!D94</f>
        <v>x</v>
      </c>
      <c r="E94" s="3">
        <f>'Tabela de Jogos'!E94</f>
        <v>0</v>
      </c>
      <c r="F94" s="3">
        <f>'Tabela de Jogos'!F94</f>
        <v>0</v>
      </c>
      <c r="G94" s="3" t="str">
        <f>'Tabela de Jogos'!G94</f>
        <v>-</v>
      </c>
      <c r="H94" s="3"/>
      <c r="I94" s="3">
        <f t="shared" ref="I94:J94" si="100">A94</f>
        <v>92</v>
      </c>
      <c r="J94" s="3">
        <f t="shared" si="100"/>
        <v>0</v>
      </c>
      <c r="K94" s="3"/>
      <c r="L94" s="3" t="str">
        <f t="shared" si="2"/>
        <v>x</v>
      </c>
      <c r="M94" s="3"/>
      <c r="N94" s="3">
        <f t="shared" si="3"/>
        <v>0</v>
      </c>
      <c r="O94" s="3" t="str">
        <f t="shared" si="4"/>
        <v>-</v>
      </c>
      <c r="P94" s="3"/>
      <c r="Q94" s="3" t="b">
        <f t="shared" si="5"/>
        <v>0</v>
      </c>
      <c r="R94" s="3" t="b">
        <f t="shared" si="6"/>
        <v>0</v>
      </c>
      <c r="S94" s="3" t="b">
        <f t="shared" si="7"/>
        <v>0</v>
      </c>
      <c r="T94" s="3" t="b">
        <f t="shared" si="8"/>
        <v>0</v>
      </c>
      <c r="U94" s="3" t="b">
        <f t="shared" si="9"/>
        <v>1</v>
      </c>
      <c r="V94" s="3"/>
      <c r="W94" s="3" cm="1">
        <f t="array" ref="W94">IF(OR(J94="Brasil",N94="Brasil"),2*_xlfn.IFS(Q94=TRUE,6,R94=TRUE,4,AND(S94=TRUE,T94=FALSE),3,T94=TRUE,2,U94=TRUE,0),_xlfn.IFS(Q94=TRUE,6,R94=TRUE,4,AND(S94=TRUE,T94=FALSE),3,T94=TRUE,2,U94=TRUE,0))</f>
        <v>0</v>
      </c>
      <c r="X94" s="3"/>
      <c r="Y94" s="3"/>
    </row>
    <row r="95" spans="1:25" ht="14.25" customHeight="1" x14ac:dyDescent="0.3">
      <c r="A95" s="3">
        <f>'Tabela de Jogos'!A95</f>
        <v>93</v>
      </c>
      <c r="B95" s="3">
        <f>'Tabela de Jogos'!B95</f>
        <v>0</v>
      </c>
      <c r="C95" s="3">
        <f>'Tabela de Jogos'!C95</f>
        <v>0</v>
      </c>
      <c r="D95" s="3" t="str">
        <f>'Tabela de Jogos'!D95</f>
        <v>x</v>
      </c>
      <c r="E95" s="3">
        <f>'Tabela de Jogos'!E95</f>
        <v>0</v>
      </c>
      <c r="F95" s="3">
        <f>'Tabela de Jogos'!F95</f>
        <v>0</v>
      </c>
      <c r="G95" s="3" t="str">
        <f>'Tabela de Jogos'!G95</f>
        <v>-</v>
      </c>
      <c r="H95" s="3"/>
      <c r="I95" s="3">
        <f t="shared" ref="I95:J95" si="101">A95</f>
        <v>93</v>
      </c>
      <c r="J95" s="3">
        <f t="shared" si="101"/>
        <v>0</v>
      </c>
      <c r="K95" s="3"/>
      <c r="L95" s="3" t="str">
        <f t="shared" si="2"/>
        <v>x</v>
      </c>
      <c r="M95" s="3"/>
      <c r="N95" s="3">
        <f t="shared" si="3"/>
        <v>0</v>
      </c>
      <c r="O95" s="3" t="str">
        <f t="shared" si="4"/>
        <v>-</v>
      </c>
      <c r="P95" s="3"/>
      <c r="Q95" s="3" t="b">
        <f t="shared" si="5"/>
        <v>0</v>
      </c>
      <c r="R95" s="3" t="b">
        <f t="shared" si="6"/>
        <v>0</v>
      </c>
      <c r="S95" s="3" t="b">
        <f t="shared" si="7"/>
        <v>0</v>
      </c>
      <c r="T95" s="3" t="b">
        <f t="shared" si="8"/>
        <v>0</v>
      </c>
      <c r="U95" s="3" t="b">
        <f t="shared" si="9"/>
        <v>1</v>
      </c>
      <c r="V95" s="3"/>
      <c r="W95" s="3" cm="1">
        <f t="array" ref="W95">IF(OR(J95="Brasil",N95="Brasil"),2*_xlfn.IFS(Q95=TRUE,6,R95=TRUE,4,AND(S95=TRUE,T95=FALSE),3,T95=TRUE,2,U95=TRUE,0),_xlfn.IFS(Q95=TRUE,6,R95=TRUE,4,AND(S95=TRUE,T95=FALSE),3,T95=TRUE,2,U95=TRUE,0))</f>
        <v>0</v>
      </c>
      <c r="X95" s="3"/>
      <c r="Y95" s="3"/>
    </row>
    <row r="96" spans="1:25" ht="14.25" customHeight="1" x14ac:dyDescent="0.3">
      <c r="A96" s="3">
        <f>'Tabela de Jogos'!A96</f>
        <v>94</v>
      </c>
      <c r="B96" s="3">
        <f>'Tabela de Jogos'!B96</f>
        <v>0</v>
      </c>
      <c r="C96" s="3">
        <f>'Tabela de Jogos'!C96</f>
        <v>0</v>
      </c>
      <c r="D96" s="3" t="str">
        <f>'Tabela de Jogos'!D96</f>
        <v>x</v>
      </c>
      <c r="E96" s="3">
        <f>'Tabela de Jogos'!E96</f>
        <v>0</v>
      </c>
      <c r="F96" s="3">
        <f>'Tabela de Jogos'!F96</f>
        <v>0</v>
      </c>
      <c r="G96" s="3" t="str">
        <f>'Tabela de Jogos'!G96</f>
        <v>-</v>
      </c>
      <c r="H96" s="3"/>
      <c r="I96" s="3">
        <f t="shared" ref="I96:J96" si="102">A96</f>
        <v>94</v>
      </c>
      <c r="J96" s="3">
        <f t="shared" si="102"/>
        <v>0</v>
      </c>
      <c r="K96" s="3"/>
      <c r="L96" s="3" t="str">
        <f t="shared" si="2"/>
        <v>x</v>
      </c>
      <c r="M96" s="3"/>
      <c r="N96" s="3">
        <f t="shared" si="3"/>
        <v>0</v>
      </c>
      <c r="O96" s="3" t="str">
        <f t="shared" si="4"/>
        <v>-</v>
      </c>
      <c r="P96" s="3"/>
      <c r="Q96" s="3" t="b">
        <f t="shared" si="5"/>
        <v>0</v>
      </c>
      <c r="R96" s="3" t="b">
        <f t="shared" si="6"/>
        <v>0</v>
      </c>
      <c r="S96" s="3" t="b">
        <f t="shared" si="7"/>
        <v>0</v>
      </c>
      <c r="T96" s="3" t="b">
        <f t="shared" si="8"/>
        <v>0</v>
      </c>
      <c r="U96" s="3" t="b">
        <f t="shared" si="9"/>
        <v>1</v>
      </c>
      <c r="V96" s="3"/>
      <c r="W96" s="3" cm="1">
        <f t="array" ref="W96">IF(OR(J96="Brasil",N96="Brasil"),2*_xlfn.IFS(Q96=TRUE,6,R96=TRUE,4,AND(S96=TRUE,T96=FALSE),3,T96=TRUE,2,U96=TRUE,0),_xlfn.IFS(Q96=TRUE,6,R96=TRUE,4,AND(S96=TRUE,T96=FALSE),3,T96=TRUE,2,U96=TRUE,0))</f>
        <v>0</v>
      </c>
      <c r="X96" s="3"/>
      <c r="Y96" s="3"/>
    </row>
    <row r="97" spans="1:25" ht="14.25" customHeight="1" x14ac:dyDescent="0.3">
      <c r="A97" s="3">
        <f>'Tabela de Jogos'!A97</f>
        <v>95</v>
      </c>
      <c r="B97" s="3">
        <f>'Tabela de Jogos'!B97</f>
        <v>0</v>
      </c>
      <c r="C97" s="3">
        <f>'Tabela de Jogos'!C97</f>
        <v>0</v>
      </c>
      <c r="D97" s="3" t="str">
        <f>'Tabela de Jogos'!D97</f>
        <v>x</v>
      </c>
      <c r="E97" s="3">
        <f>'Tabela de Jogos'!E97</f>
        <v>0</v>
      </c>
      <c r="F97" s="3">
        <f>'Tabela de Jogos'!F97</f>
        <v>0</v>
      </c>
      <c r="G97" s="3" t="str">
        <f>'Tabela de Jogos'!G97</f>
        <v>-</v>
      </c>
      <c r="H97" s="3"/>
      <c r="I97" s="3">
        <f t="shared" ref="I97:J97" si="103">A97</f>
        <v>95</v>
      </c>
      <c r="J97" s="3">
        <f t="shared" si="103"/>
        <v>0</v>
      </c>
      <c r="K97" s="3"/>
      <c r="L97" s="3" t="str">
        <f t="shared" si="2"/>
        <v>x</v>
      </c>
      <c r="M97" s="3"/>
      <c r="N97" s="3">
        <f t="shared" si="3"/>
        <v>0</v>
      </c>
      <c r="O97" s="3" t="str">
        <f t="shared" si="4"/>
        <v>-</v>
      </c>
      <c r="P97" s="3"/>
      <c r="Q97" s="3" t="b">
        <f t="shared" si="5"/>
        <v>0</v>
      </c>
      <c r="R97" s="3" t="b">
        <f t="shared" si="6"/>
        <v>0</v>
      </c>
      <c r="S97" s="3" t="b">
        <f t="shared" si="7"/>
        <v>0</v>
      </c>
      <c r="T97" s="3" t="b">
        <f t="shared" si="8"/>
        <v>0</v>
      </c>
      <c r="U97" s="3" t="b">
        <f t="shared" si="9"/>
        <v>1</v>
      </c>
      <c r="V97" s="3"/>
      <c r="W97" s="3" cm="1">
        <f t="array" ref="W97">IF(OR(J97="Brasil",N97="Brasil"),2*_xlfn.IFS(Q97=TRUE,6,R97=TRUE,4,AND(S97=TRUE,T97=FALSE),3,T97=TRUE,2,U97=TRUE,0),_xlfn.IFS(Q97=TRUE,6,R97=TRUE,4,AND(S97=TRUE,T97=FALSE),3,T97=TRUE,2,U97=TRUE,0))</f>
        <v>0</v>
      </c>
      <c r="X97" s="3"/>
      <c r="Y97" s="3"/>
    </row>
    <row r="98" spans="1:25" ht="14.25" customHeight="1" x14ac:dyDescent="0.3">
      <c r="A98" s="3">
        <f>'Tabela de Jogos'!A98</f>
        <v>96</v>
      </c>
      <c r="B98" s="3">
        <f>'Tabela de Jogos'!B98</f>
        <v>0</v>
      </c>
      <c r="C98" s="3">
        <f>'Tabela de Jogos'!C98</f>
        <v>0</v>
      </c>
      <c r="D98" s="3" t="str">
        <f>'Tabela de Jogos'!D98</f>
        <v>x</v>
      </c>
      <c r="E98" s="3">
        <f>'Tabela de Jogos'!E98</f>
        <v>0</v>
      </c>
      <c r="F98" s="3">
        <f>'Tabela de Jogos'!F98</f>
        <v>0</v>
      </c>
      <c r="G98" s="3" t="str">
        <f>'Tabela de Jogos'!G98</f>
        <v>-</v>
      </c>
      <c r="H98" s="3"/>
      <c r="I98" s="3">
        <f t="shared" ref="I98:J98" si="104">A98</f>
        <v>96</v>
      </c>
      <c r="J98" s="3">
        <f t="shared" si="104"/>
        <v>0</v>
      </c>
      <c r="K98" s="3"/>
      <c r="L98" s="3" t="str">
        <f t="shared" si="2"/>
        <v>x</v>
      </c>
      <c r="M98" s="3"/>
      <c r="N98" s="3">
        <f t="shared" si="3"/>
        <v>0</v>
      </c>
      <c r="O98" s="3" t="str">
        <f t="shared" si="4"/>
        <v>-</v>
      </c>
      <c r="P98" s="3"/>
      <c r="Q98" s="3" t="b">
        <f t="shared" si="5"/>
        <v>0</v>
      </c>
      <c r="R98" s="3" t="b">
        <f t="shared" si="6"/>
        <v>0</v>
      </c>
      <c r="S98" s="3" t="b">
        <f t="shared" si="7"/>
        <v>0</v>
      </c>
      <c r="T98" s="3" t="b">
        <f t="shared" si="8"/>
        <v>0</v>
      </c>
      <c r="U98" s="3" t="b">
        <f t="shared" si="9"/>
        <v>1</v>
      </c>
      <c r="V98" s="3"/>
      <c r="W98" s="3" cm="1">
        <f t="array" ref="W98">IF(OR(J98="Brasil",N98="Brasil"),2*_xlfn.IFS(Q98=TRUE,6,R98=TRUE,4,AND(S98=TRUE,T98=FALSE),3,T98=TRUE,2,U98=TRUE,0),_xlfn.IFS(Q98=TRUE,6,R98=TRUE,4,AND(S98=TRUE,T98=FALSE),3,T98=TRUE,2,U98=TRUE,0))</f>
        <v>0</v>
      </c>
      <c r="X98" s="3"/>
      <c r="Y98" s="3"/>
    </row>
    <row r="99" spans="1:25" ht="14.25" customHeight="1" x14ac:dyDescent="0.3">
      <c r="A99" s="3">
        <f>'Tabela de Jogos'!A99</f>
        <v>97</v>
      </c>
      <c r="B99" s="3">
        <f>'Tabela de Jogos'!B99</f>
        <v>0</v>
      </c>
      <c r="C99" s="3">
        <f>'Tabela de Jogos'!C99</f>
        <v>0</v>
      </c>
      <c r="D99" s="3" t="str">
        <f>'Tabela de Jogos'!D99</f>
        <v>x</v>
      </c>
      <c r="E99" s="3">
        <f>'Tabela de Jogos'!E99</f>
        <v>0</v>
      </c>
      <c r="F99" s="3">
        <f>'Tabela de Jogos'!F99</f>
        <v>0</v>
      </c>
      <c r="G99" s="3" t="str">
        <f>'Tabela de Jogos'!G99</f>
        <v>-</v>
      </c>
      <c r="H99" s="3"/>
      <c r="I99" s="3">
        <f t="shared" ref="I99:J99" si="105">A99</f>
        <v>97</v>
      </c>
      <c r="J99" s="3">
        <f t="shared" si="105"/>
        <v>0</v>
      </c>
      <c r="K99" s="3"/>
      <c r="L99" s="3" t="str">
        <f t="shared" si="2"/>
        <v>x</v>
      </c>
      <c r="M99" s="3"/>
      <c r="N99" s="3">
        <f t="shared" si="3"/>
        <v>0</v>
      </c>
      <c r="O99" s="3" t="str">
        <f t="shared" si="4"/>
        <v>-</v>
      </c>
      <c r="P99" s="3"/>
      <c r="Q99" s="3" t="b">
        <f t="shared" si="5"/>
        <v>0</v>
      </c>
      <c r="R99" s="3" t="b">
        <f t="shared" si="6"/>
        <v>0</v>
      </c>
      <c r="S99" s="3" t="b">
        <f t="shared" si="7"/>
        <v>0</v>
      </c>
      <c r="T99" s="3" t="b">
        <f t="shared" si="8"/>
        <v>0</v>
      </c>
      <c r="U99" s="3" t="b">
        <f t="shared" si="9"/>
        <v>1</v>
      </c>
      <c r="V99" s="3"/>
      <c r="W99" s="3" cm="1">
        <f t="array" ref="W99">IF(OR(J99="Brasil",N99="Brasil"),2*_xlfn.IFS(Q99=TRUE,6,R99=TRUE,4,AND(S99=TRUE,T99=FALSE),3,T99=TRUE,2,U99=TRUE,0),_xlfn.IFS(Q99=TRUE,6,R99=TRUE,4,AND(S99=TRUE,T99=FALSE),3,T99=TRUE,2,U99=TRUE,0))</f>
        <v>0</v>
      </c>
      <c r="X99" s="3"/>
      <c r="Y99" s="3"/>
    </row>
    <row r="100" spans="1:25" ht="14.25" customHeight="1" x14ac:dyDescent="0.3">
      <c r="A100" s="3">
        <f>'Tabela de Jogos'!A100</f>
        <v>98</v>
      </c>
      <c r="B100" s="3">
        <f>'Tabela de Jogos'!B100</f>
        <v>0</v>
      </c>
      <c r="C100" s="3">
        <f>'Tabela de Jogos'!C100</f>
        <v>0</v>
      </c>
      <c r="D100" s="3" t="str">
        <f>'Tabela de Jogos'!D100</f>
        <v>x</v>
      </c>
      <c r="E100" s="3">
        <f>'Tabela de Jogos'!E100</f>
        <v>0</v>
      </c>
      <c r="F100" s="3">
        <f>'Tabela de Jogos'!F100</f>
        <v>0</v>
      </c>
      <c r="G100" s="3" t="str">
        <f>'Tabela de Jogos'!G100</f>
        <v>-</v>
      </c>
      <c r="H100" s="3"/>
      <c r="I100" s="3">
        <f t="shared" ref="I100:J100" si="106">A100</f>
        <v>98</v>
      </c>
      <c r="J100" s="3">
        <f t="shared" si="106"/>
        <v>0</v>
      </c>
      <c r="K100" s="3"/>
      <c r="L100" s="3" t="str">
        <f t="shared" si="2"/>
        <v>x</v>
      </c>
      <c r="M100" s="3"/>
      <c r="N100" s="3">
        <f t="shared" si="3"/>
        <v>0</v>
      </c>
      <c r="O100" s="3" t="str">
        <f t="shared" si="4"/>
        <v>-</v>
      </c>
      <c r="P100" s="3"/>
      <c r="Q100" s="3" t="b">
        <f t="shared" si="5"/>
        <v>0</v>
      </c>
      <c r="R100" s="3" t="b">
        <f t="shared" si="6"/>
        <v>0</v>
      </c>
      <c r="S100" s="3" t="b">
        <f t="shared" si="7"/>
        <v>0</v>
      </c>
      <c r="T100" s="3" t="b">
        <f t="shared" si="8"/>
        <v>0</v>
      </c>
      <c r="U100" s="3" t="b">
        <f t="shared" si="9"/>
        <v>1</v>
      </c>
      <c r="V100" s="3"/>
      <c r="W100" s="3" cm="1">
        <f t="array" ref="W100">IF(OR(J100="Brasil",N100="Brasil"),2*_xlfn.IFS(Q100=TRUE,6,R100=TRUE,4,AND(S100=TRUE,T100=FALSE),3,T100=TRUE,2,U100=TRUE,0),_xlfn.IFS(Q100=TRUE,6,R100=TRUE,4,AND(S100=TRUE,T100=FALSE),3,T100=TRUE,2,U100=TRUE,0))</f>
        <v>0</v>
      </c>
      <c r="X100" s="3"/>
      <c r="Y100" s="3"/>
    </row>
    <row r="101" spans="1:25" ht="14.25" customHeight="1" x14ac:dyDescent="0.3">
      <c r="A101" s="3">
        <f>'Tabela de Jogos'!A101</f>
        <v>99</v>
      </c>
      <c r="B101" s="3">
        <f>'Tabela de Jogos'!B101</f>
        <v>0</v>
      </c>
      <c r="C101" s="3">
        <f>'Tabela de Jogos'!C101</f>
        <v>0</v>
      </c>
      <c r="D101" s="3" t="str">
        <f>'Tabela de Jogos'!D101</f>
        <v>x</v>
      </c>
      <c r="E101" s="3">
        <f>'Tabela de Jogos'!E101</f>
        <v>0</v>
      </c>
      <c r="F101" s="3">
        <f>'Tabela de Jogos'!F101</f>
        <v>0</v>
      </c>
      <c r="G101" s="3" t="str">
        <f>'Tabela de Jogos'!G101</f>
        <v>-</v>
      </c>
      <c r="H101" s="3"/>
      <c r="I101" s="3">
        <f t="shared" ref="I101:J101" si="107">A101</f>
        <v>99</v>
      </c>
      <c r="J101" s="3">
        <f t="shared" si="107"/>
        <v>0</v>
      </c>
      <c r="K101" s="3"/>
      <c r="L101" s="3" t="str">
        <f t="shared" si="2"/>
        <v>x</v>
      </c>
      <c r="M101" s="3"/>
      <c r="N101" s="3">
        <f t="shared" si="3"/>
        <v>0</v>
      </c>
      <c r="O101" s="3" t="str">
        <f t="shared" si="4"/>
        <v>-</v>
      </c>
      <c r="P101" s="3"/>
      <c r="Q101" s="3" t="b">
        <f t="shared" si="5"/>
        <v>0</v>
      </c>
      <c r="R101" s="3" t="b">
        <f t="shared" si="6"/>
        <v>0</v>
      </c>
      <c r="S101" s="3" t="b">
        <f t="shared" si="7"/>
        <v>0</v>
      </c>
      <c r="T101" s="3" t="b">
        <f t="shared" si="8"/>
        <v>0</v>
      </c>
      <c r="U101" s="3" t="b">
        <f t="shared" si="9"/>
        <v>1</v>
      </c>
      <c r="V101" s="3"/>
      <c r="W101" s="3" cm="1">
        <f t="array" ref="W101">IF(OR(J101="Brasil",N101="Brasil"),2*_xlfn.IFS(Q101=TRUE,6,R101=TRUE,4,AND(S101=TRUE,T101=FALSE),3,T101=TRUE,2,U101=TRUE,0),_xlfn.IFS(Q101=TRUE,6,R101=TRUE,4,AND(S101=TRUE,T101=FALSE),3,T101=TRUE,2,U101=TRUE,0))</f>
        <v>0</v>
      </c>
      <c r="X101" s="3"/>
      <c r="Y101" s="3"/>
    </row>
    <row r="102" spans="1:25" ht="14.25" customHeight="1" x14ac:dyDescent="0.3">
      <c r="A102" s="3">
        <f>'Tabela de Jogos'!A102</f>
        <v>100</v>
      </c>
      <c r="B102" s="3">
        <f>'Tabela de Jogos'!B102</f>
        <v>0</v>
      </c>
      <c r="C102" s="3">
        <f>'Tabela de Jogos'!C102</f>
        <v>0</v>
      </c>
      <c r="D102" s="3" t="str">
        <f>'Tabela de Jogos'!D102</f>
        <v>x</v>
      </c>
      <c r="E102" s="3">
        <f>'Tabela de Jogos'!E102</f>
        <v>0</v>
      </c>
      <c r="F102" s="3">
        <f>'Tabela de Jogos'!F102</f>
        <v>0</v>
      </c>
      <c r="G102" s="3" t="str">
        <f>'Tabela de Jogos'!G102</f>
        <v>-</v>
      </c>
      <c r="H102" s="3"/>
      <c r="I102" s="3">
        <f t="shared" ref="I102:J102" si="108">A102</f>
        <v>100</v>
      </c>
      <c r="J102" s="3">
        <f t="shared" si="108"/>
        <v>0</v>
      </c>
      <c r="K102" s="3"/>
      <c r="L102" s="3" t="str">
        <f t="shared" si="2"/>
        <v>x</v>
      </c>
      <c r="M102" s="3"/>
      <c r="N102" s="3">
        <f t="shared" si="3"/>
        <v>0</v>
      </c>
      <c r="O102" s="3" t="str">
        <f t="shared" si="4"/>
        <v>-</v>
      </c>
      <c r="P102" s="3"/>
      <c r="Q102" s="3" t="b">
        <f t="shared" si="5"/>
        <v>0</v>
      </c>
      <c r="R102" s="3" t="b">
        <f t="shared" si="6"/>
        <v>0</v>
      </c>
      <c r="S102" s="3" t="b">
        <f t="shared" si="7"/>
        <v>0</v>
      </c>
      <c r="T102" s="3" t="b">
        <f t="shared" si="8"/>
        <v>0</v>
      </c>
      <c r="U102" s="3" t="b">
        <f t="shared" si="9"/>
        <v>1</v>
      </c>
      <c r="V102" s="3"/>
      <c r="W102" s="3" cm="1">
        <f t="array" ref="W102">IF(OR(J102="Brasil",N102="Brasil"),2*_xlfn.IFS(Q102=TRUE,6,R102=TRUE,4,AND(S102=TRUE,T102=FALSE),3,T102=TRUE,2,U102=TRUE,0),_xlfn.IFS(Q102=TRUE,6,R102=TRUE,4,AND(S102=TRUE,T102=FALSE),3,T102=TRUE,2,U102=TRUE,0))</f>
        <v>0</v>
      </c>
      <c r="X102" s="3"/>
      <c r="Y102" s="3"/>
    </row>
    <row r="103" spans="1:25" ht="14.25" customHeight="1" x14ac:dyDescent="0.3">
      <c r="A103" s="3">
        <f>'Tabela de Jogos'!A103</f>
        <v>101</v>
      </c>
      <c r="B103" s="3">
        <f>'Tabela de Jogos'!B103</f>
        <v>0</v>
      </c>
      <c r="C103" s="3">
        <f>'Tabela de Jogos'!C103</f>
        <v>0</v>
      </c>
      <c r="D103" s="3" t="str">
        <f>'Tabela de Jogos'!D103</f>
        <v>x</v>
      </c>
      <c r="E103" s="3">
        <f>'Tabela de Jogos'!E103</f>
        <v>0</v>
      </c>
      <c r="F103" s="3">
        <f>'Tabela de Jogos'!F103</f>
        <v>0</v>
      </c>
      <c r="G103" s="3" t="str">
        <f>'Tabela de Jogos'!G103</f>
        <v>-</v>
      </c>
      <c r="H103" s="3"/>
      <c r="I103" s="3">
        <f t="shared" ref="I103:J103" si="109">A103</f>
        <v>101</v>
      </c>
      <c r="J103" s="3">
        <f t="shared" si="109"/>
        <v>0</v>
      </c>
      <c r="K103" s="3"/>
      <c r="L103" s="3" t="str">
        <f t="shared" si="2"/>
        <v>x</v>
      </c>
      <c r="M103" s="3"/>
      <c r="N103" s="3">
        <f t="shared" si="3"/>
        <v>0</v>
      </c>
      <c r="O103" s="3" t="str">
        <f t="shared" si="4"/>
        <v>-</v>
      </c>
      <c r="P103" s="3"/>
      <c r="Q103" s="3" t="b">
        <f t="shared" si="5"/>
        <v>0</v>
      </c>
      <c r="R103" s="3" t="b">
        <f t="shared" si="6"/>
        <v>0</v>
      </c>
      <c r="S103" s="3" t="b">
        <f t="shared" si="7"/>
        <v>0</v>
      </c>
      <c r="T103" s="3" t="b">
        <f t="shared" si="8"/>
        <v>0</v>
      </c>
      <c r="U103" s="3" t="b">
        <f t="shared" si="9"/>
        <v>1</v>
      </c>
      <c r="V103" s="3"/>
      <c r="W103" s="3" cm="1">
        <f t="array" ref="W103">IF(OR(J103="Brasil",N103="Brasil"),2*_xlfn.IFS(Q103=TRUE,6,R103=TRUE,4,AND(S103=TRUE,T103=FALSE),3,T103=TRUE,2,U103=TRUE,0),_xlfn.IFS(Q103=TRUE,6,R103=TRUE,4,AND(S103=TRUE,T103=FALSE),3,T103=TRUE,2,U103=TRUE,0))</f>
        <v>0</v>
      </c>
      <c r="X103" s="3"/>
      <c r="Y103" s="3"/>
    </row>
    <row r="104" spans="1:25" ht="14.25" customHeight="1" x14ac:dyDescent="0.3">
      <c r="A104" s="3">
        <f>'Tabela de Jogos'!A104</f>
        <v>102</v>
      </c>
      <c r="B104" s="3">
        <f>'Tabela de Jogos'!B104</f>
        <v>0</v>
      </c>
      <c r="C104" s="3">
        <f>'Tabela de Jogos'!C104</f>
        <v>0</v>
      </c>
      <c r="D104" s="3" t="str">
        <f>'Tabela de Jogos'!D104</f>
        <v>x</v>
      </c>
      <c r="E104" s="3">
        <f>'Tabela de Jogos'!E104</f>
        <v>0</v>
      </c>
      <c r="F104" s="3">
        <f>'Tabela de Jogos'!F104</f>
        <v>0</v>
      </c>
      <c r="G104" s="3" t="str">
        <f>'Tabela de Jogos'!G104</f>
        <v>-</v>
      </c>
      <c r="H104" s="3"/>
      <c r="I104" s="3">
        <f t="shared" ref="I104:J104" si="110">A104</f>
        <v>102</v>
      </c>
      <c r="J104" s="3">
        <f t="shared" si="110"/>
        <v>0</v>
      </c>
      <c r="K104" s="3"/>
      <c r="L104" s="3" t="str">
        <f t="shared" si="2"/>
        <v>x</v>
      </c>
      <c r="M104" s="3"/>
      <c r="N104" s="3">
        <f t="shared" si="3"/>
        <v>0</v>
      </c>
      <c r="O104" s="3" t="str">
        <f t="shared" si="4"/>
        <v>-</v>
      </c>
      <c r="P104" s="3"/>
      <c r="Q104" s="3" t="b">
        <f t="shared" si="5"/>
        <v>0</v>
      </c>
      <c r="R104" s="3" t="b">
        <f t="shared" si="6"/>
        <v>0</v>
      </c>
      <c r="S104" s="3" t="b">
        <f t="shared" si="7"/>
        <v>0</v>
      </c>
      <c r="T104" s="3" t="b">
        <f t="shared" si="8"/>
        <v>0</v>
      </c>
      <c r="U104" s="3" t="b">
        <f t="shared" si="9"/>
        <v>1</v>
      </c>
      <c r="V104" s="3"/>
      <c r="W104" s="3" cm="1">
        <f t="array" ref="W104">IF(OR(J104="Brasil",N104="Brasil"),2*_xlfn.IFS(Q104=TRUE,6,R104=TRUE,4,AND(S104=TRUE,T104=FALSE),3,T104=TRUE,2,U104=TRUE,0),_xlfn.IFS(Q104=TRUE,6,R104=TRUE,4,AND(S104=TRUE,T104=FALSE),3,T104=TRUE,2,U104=TRUE,0))</f>
        <v>0</v>
      </c>
      <c r="X104" s="3"/>
      <c r="Y104" s="3"/>
    </row>
    <row r="105" spans="1:25" ht="14.25" customHeight="1" x14ac:dyDescent="0.3">
      <c r="A105" s="3">
        <f>'Tabela de Jogos'!A105</f>
        <v>103</v>
      </c>
      <c r="B105" s="3">
        <f>'Tabela de Jogos'!B105</f>
        <v>0</v>
      </c>
      <c r="C105" s="3">
        <f>'Tabela de Jogos'!C105</f>
        <v>0</v>
      </c>
      <c r="D105" s="3" t="str">
        <f>'Tabela de Jogos'!D105</f>
        <v>x</v>
      </c>
      <c r="E105" s="3">
        <f>'Tabela de Jogos'!E105</f>
        <v>0</v>
      </c>
      <c r="F105" s="3">
        <f>'Tabela de Jogos'!F105</f>
        <v>0</v>
      </c>
      <c r="G105" s="3" t="str">
        <f>'Tabela de Jogos'!G105</f>
        <v>-</v>
      </c>
      <c r="H105" s="3"/>
      <c r="I105" s="3">
        <f t="shared" ref="I105:J105" si="111">A105</f>
        <v>103</v>
      </c>
      <c r="J105" s="3">
        <f t="shared" si="111"/>
        <v>0</v>
      </c>
      <c r="K105" s="3"/>
      <c r="L105" s="3" t="str">
        <f t="shared" si="2"/>
        <v>x</v>
      </c>
      <c r="M105" s="3"/>
      <c r="N105" s="3">
        <f t="shared" si="3"/>
        <v>0</v>
      </c>
      <c r="O105" s="3" t="str">
        <f t="shared" si="4"/>
        <v>-</v>
      </c>
      <c r="P105" s="3"/>
      <c r="Q105" s="3" t="b">
        <f t="shared" si="5"/>
        <v>0</v>
      </c>
      <c r="R105" s="3" t="b">
        <f t="shared" si="6"/>
        <v>0</v>
      </c>
      <c r="S105" s="3" t="b">
        <f t="shared" si="7"/>
        <v>0</v>
      </c>
      <c r="T105" s="3" t="b">
        <f t="shared" si="8"/>
        <v>0</v>
      </c>
      <c r="U105" s="3" t="b">
        <f t="shared" si="9"/>
        <v>1</v>
      </c>
      <c r="V105" s="3"/>
      <c r="W105" s="3" cm="1">
        <f t="array" ref="W105">IF(OR(J105="Brasil",N105="Brasil"),2*_xlfn.IFS(Q105=TRUE,6,R105=TRUE,4,AND(S105=TRUE,T105=FALSE),3,T105=TRUE,2,U105=TRUE,0),_xlfn.IFS(Q105=TRUE,6,R105=TRUE,4,AND(S105=TRUE,T105=FALSE),3,T105=TRUE,2,U105=TRUE,0))</f>
        <v>0</v>
      </c>
      <c r="X105" s="3"/>
      <c r="Y105" s="3"/>
    </row>
    <row r="106" spans="1:25" ht="14.25" customHeight="1" x14ac:dyDescent="0.3">
      <c r="A106" s="3">
        <f>'Tabela de Jogos'!A106</f>
        <v>104</v>
      </c>
      <c r="B106" s="3">
        <f>'Tabela de Jogos'!B106</f>
        <v>0</v>
      </c>
      <c r="C106" s="3">
        <f>'Tabela de Jogos'!C106</f>
        <v>0</v>
      </c>
      <c r="D106" s="3" t="str">
        <f>'Tabela de Jogos'!D106</f>
        <v>x</v>
      </c>
      <c r="E106" s="3">
        <f>'Tabela de Jogos'!E106</f>
        <v>0</v>
      </c>
      <c r="F106" s="3">
        <f>'Tabela de Jogos'!F106</f>
        <v>0</v>
      </c>
      <c r="G106" s="3" t="str">
        <f>'Tabela de Jogos'!G106</f>
        <v>-</v>
      </c>
      <c r="H106" s="3"/>
      <c r="I106" s="3">
        <f t="shared" ref="I106:J106" si="112">A106</f>
        <v>104</v>
      </c>
      <c r="J106" s="3">
        <f t="shared" si="112"/>
        <v>0</v>
      </c>
      <c r="K106" s="3"/>
      <c r="L106" s="3" t="str">
        <f t="shared" si="2"/>
        <v>x</v>
      </c>
      <c r="M106" s="3"/>
      <c r="N106" s="3">
        <f t="shared" si="3"/>
        <v>0</v>
      </c>
      <c r="O106" s="3" t="str">
        <f t="shared" si="4"/>
        <v>-</v>
      </c>
      <c r="P106" s="3"/>
      <c r="Q106" s="3" t="b">
        <f t="shared" si="5"/>
        <v>0</v>
      </c>
      <c r="R106" s="3" t="b">
        <f t="shared" si="6"/>
        <v>0</v>
      </c>
      <c r="S106" s="3" t="b">
        <f t="shared" si="7"/>
        <v>0</v>
      </c>
      <c r="T106" s="3" t="b">
        <f t="shared" si="8"/>
        <v>0</v>
      </c>
      <c r="U106" s="3" t="b">
        <f t="shared" si="9"/>
        <v>1</v>
      </c>
      <c r="V106" s="3"/>
      <c r="W106" s="3" cm="1">
        <f t="array" ref="W106">IF(OR(J106="Brasil",N106="Brasil"),2*_xlfn.IFS(Q106=TRUE,6,R106=TRUE,4,AND(S106=TRUE,T106=FALSE),3,T106=TRUE,2,U106=TRUE,0),_xlfn.IFS(Q106=TRUE,6,R106=TRUE,4,AND(S106=TRUE,T106=FALSE),3,T106=TRUE,2,U106=TRUE,0))</f>
        <v>0</v>
      </c>
      <c r="X106" s="3"/>
      <c r="Y106" s="3"/>
    </row>
  </sheetData>
  <mergeCells count="2">
    <mergeCell ref="A1:G1"/>
    <mergeCell ref="I1:O1"/>
  </mergeCells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6"/>
  <sheetViews>
    <sheetView topLeftCell="I38" workbookViewId="0">
      <selection activeCell="M62" sqref="M62"/>
    </sheetView>
  </sheetViews>
  <sheetFormatPr defaultColWidth="12.6640625" defaultRowHeight="15" customHeight="1" x14ac:dyDescent="0.3"/>
  <cols>
    <col min="1" max="1" width="8.88671875" hidden="1" customWidth="1"/>
    <col min="2" max="2" width="14.109375" hidden="1" customWidth="1"/>
    <col min="3" max="5" width="8.88671875" hidden="1" customWidth="1"/>
    <col min="6" max="7" width="14.109375" hidden="1" customWidth="1"/>
    <col min="8" max="8" width="8.88671875" hidden="1" customWidth="1"/>
    <col min="9" max="9" width="8.88671875" customWidth="1"/>
    <col min="10" max="10" width="14.109375" customWidth="1"/>
    <col min="11" max="13" width="8.88671875" customWidth="1"/>
    <col min="14" max="14" width="14.109375" customWidth="1"/>
    <col min="15" max="15" width="14.33203125" customWidth="1"/>
    <col min="16" max="16" width="8.5546875" hidden="1" customWidth="1"/>
    <col min="17" max="21" width="11.6640625" hidden="1" customWidth="1"/>
    <col min="22" max="22" width="8.5546875" hidden="1" customWidth="1"/>
    <col min="23" max="24" width="8.88671875" customWidth="1"/>
    <col min="25" max="25" width="13.88671875" bestFit="1" customWidth="1"/>
    <col min="26" max="26" width="8.5546875" customWidth="1"/>
  </cols>
  <sheetData>
    <row r="1" spans="1:25" ht="14.25" customHeight="1" x14ac:dyDescent="0.3">
      <c r="A1" s="8" t="str">
        <f>'Tabela de Jogos'!A1</f>
        <v>Tabela de Jogos</v>
      </c>
      <c r="B1" s="9"/>
      <c r="C1" s="9"/>
      <c r="D1" s="9"/>
      <c r="E1" s="9"/>
      <c r="F1" s="9"/>
      <c r="G1" s="9"/>
      <c r="H1" s="3"/>
      <c r="I1" s="8" t="s">
        <v>68</v>
      </c>
      <c r="J1" s="9"/>
      <c r="K1" s="9"/>
      <c r="L1" s="9"/>
      <c r="M1" s="9"/>
      <c r="N1" s="9"/>
      <c r="O1" s="9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3" t="str">
        <f>'Tabela de Jogos'!A2</f>
        <v>Jogo</v>
      </c>
      <c r="B2" s="3" t="str">
        <f>'Tabela de Jogos'!B2</f>
        <v>Seleção A</v>
      </c>
      <c r="C2" s="3" t="str">
        <f>'Tabela de Jogos'!C2</f>
        <v>Gols A</v>
      </c>
      <c r="D2" s="3" t="str">
        <f>'Tabela de Jogos'!D2</f>
        <v>x</v>
      </c>
      <c r="E2" s="3" t="str">
        <f>'Tabela de Jogos'!E2</f>
        <v>Gols B</v>
      </c>
      <c r="F2" s="3" t="str">
        <f>'Tabela de Jogos'!F2</f>
        <v>Seleção B</v>
      </c>
      <c r="G2" s="3" t="str">
        <f>'Tabela de Jogos'!G2</f>
        <v>Vencedor</v>
      </c>
      <c r="H2" s="3"/>
      <c r="I2" s="3" t="str">
        <f t="shared" ref="I2:N2" si="0">A2</f>
        <v>Jogo</v>
      </c>
      <c r="J2" s="3" t="str">
        <f t="shared" si="0"/>
        <v>Seleção A</v>
      </c>
      <c r="K2" s="3" t="str">
        <f t="shared" si="0"/>
        <v>Gols A</v>
      </c>
      <c r="L2" s="3" t="str">
        <f t="shared" si="0"/>
        <v>x</v>
      </c>
      <c r="M2" s="3" t="str">
        <f t="shared" si="0"/>
        <v>Gols B</v>
      </c>
      <c r="N2" s="3" t="str">
        <f t="shared" si="0"/>
        <v>Seleção B</v>
      </c>
      <c r="O2" s="3" t="s">
        <v>7</v>
      </c>
      <c r="P2" s="3"/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 t="s">
        <v>57</v>
      </c>
      <c r="X2" s="3" t="s">
        <v>74</v>
      </c>
      <c r="Y2" s="3" t="s">
        <v>75</v>
      </c>
    </row>
    <row r="3" spans="1:25" ht="14.25" customHeight="1" x14ac:dyDescent="0.3">
      <c r="A3" s="3">
        <f>'Tabela de Jogos'!A3</f>
        <v>1</v>
      </c>
      <c r="B3" s="3" t="str">
        <f>'Tabela de Jogos'!B3</f>
        <v>México</v>
      </c>
      <c r="C3" s="3">
        <f>'Tabela de Jogos'!C3</f>
        <v>2</v>
      </c>
      <c r="D3" s="3" t="str">
        <f>'Tabela de Jogos'!D3</f>
        <v>x</v>
      </c>
      <c r="E3" s="3">
        <f>'Tabela de Jogos'!E3</f>
        <v>0</v>
      </c>
      <c r="F3" s="3" t="str">
        <f>'Tabela de Jogos'!F3</f>
        <v>África do Sul</v>
      </c>
      <c r="G3" s="3" t="str">
        <f>'Tabela de Jogos'!G3</f>
        <v>México</v>
      </c>
      <c r="H3" s="3"/>
      <c r="I3" s="3">
        <f t="shared" ref="I3:J3" si="1">A3</f>
        <v>1</v>
      </c>
      <c r="J3" s="3" t="str">
        <f t="shared" si="1"/>
        <v>México</v>
      </c>
      <c r="K3" s="3">
        <v>3</v>
      </c>
      <c r="L3" s="3" t="str">
        <f t="shared" ref="L3:L106" si="2">D3</f>
        <v>x</v>
      </c>
      <c r="M3" s="3">
        <v>1</v>
      </c>
      <c r="N3" s="3" t="str">
        <f t="shared" ref="N3:N106" si="3">F3</f>
        <v>África do Sul</v>
      </c>
      <c r="O3" s="3" t="str">
        <f t="shared" ref="O3:O106" si="4">IF(K3&gt;M3,J3,IF(M3&gt;K3,N3,IF(ISBLANK(K3),"-","Empate")))</f>
        <v>México</v>
      </c>
      <c r="P3" s="3"/>
      <c r="Q3" s="3" t="b">
        <f t="shared" ref="Q3:Q106" si="5">IF(AND(O3=G3,K3=C3,M3=E3,ISBLANK(K3)&lt;&gt;TRUE),TRUE,FALSE)</f>
        <v>0</v>
      </c>
      <c r="R3" s="3" t="b">
        <f t="shared" ref="R3:R106" si="6">IF(OR(AND(O3=G3,K3=C3,K3&gt;M3,M3&lt;&gt;E3,ISBLANK(K3)&lt;&gt;TRUE),AND(O3=G3,M3&gt;K3,K3&lt;&gt;C3,M3=E3,ISBLANK(K3)&lt;&gt;TRUE)),TRUE,FALSE)</f>
        <v>0</v>
      </c>
      <c r="S3" s="3" t="b">
        <f t="shared" ref="S3:S106" si="7">IF(AND(O3=G3,ABS(K3-M3)=ABS(C3-E3),OR(K3&lt;&gt;C3,M3&lt;&gt;E3),ISBLANK(K3)&lt;&gt;TRUE),TRUE,FALSE)</f>
        <v>1</v>
      </c>
      <c r="T3" s="3" t="b">
        <f t="shared" ref="T3:T106" si="8">IF(OR(AND(O3=G3,Q3=FALSE,R3=FALSE,S3=FALSE,G3&lt;&gt;"-"),AND(O3="Empate",S3=TRUE)),TRUE,FALSE)</f>
        <v>0</v>
      </c>
      <c r="U3" s="3" t="b">
        <f t="shared" ref="U3:U106" si="9">IF(AND(Q3=FALSE,R3=FALSE,S3=FALSE,T3=FALSE),TRUE,FALSE)</f>
        <v>0</v>
      </c>
      <c r="V3" s="3"/>
      <c r="W3" s="3" cm="1">
        <f t="array" ref="W3">IF(OR(J3="Brasil",N3="Brasil"),2*_xlfn.IFS(Q3=TRUE,6,R3=TRUE,4,AND(S3=TRUE,T3=FALSE),3,T3=TRUE,2,U3=TRUE,0),_xlfn.IFS(Q3=TRUE,6,R3=TRUE,4,AND(S3=TRUE,T3=FALSE),3,T3=TRUE,2,U3=TRUE,0))</f>
        <v>3</v>
      </c>
      <c r="X3" s="3">
        <f>SUM(W3:W106)</f>
        <v>83</v>
      </c>
      <c r="Y3" s="3">
        <f>COUNTIF(W3:W106,6)+COUNTIF(W3:W106,12)</f>
        <v>1</v>
      </c>
    </row>
    <row r="4" spans="1:25" ht="14.25" customHeight="1" x14ac:dyDescent="0.3">
      <c r="A4" s="3">
        <f>'Tabela de Jogos'!A4</f>
        <v>2</v>
      </c>
      <c r="B4" s="3" t="str">
        <f>'Tabela de Jogos'!B4</f>
        <v>Coreia do Sul</v>
      </c>
      <c r="C4" s="3">
        <f>'Tabela de Jogos'!C4</f>
        <v>2</v>
      </c>
      <c r="D4" s="3" t="str">
        <f>'Tabela de Jogos'!D4</f>
        <v>x</v>
      </c>
      <c r="E4" s="3">
        <f>'Tabela de Jogos'!E4</f>
        <v>1</v>
      </c>
      <c r="F4" s="3" t="str">
        <f>'Tabela de Jogos'!F4</f>
        <v>Tchéquia</v>
      </c>
      <c r="G4" s="3" t="str">
        <f>'Tabela de Jogos'!G4</f>
        <v>Coreia do Sul</v>
      </c>
      <c r="H4" s="3"/>
      <c r="I4" s="3">
        <f t="shared" ref="I4:J4" si="10">A4</f>
        <v>2</v>
      </c>
      <c r="J4" s="3" t="str">
        <f t="shared" si="10"/>
        <v>Coreia do Sul</v>
      </c>
      <c r="K4" s="3">
        <v>2</v>
      </c>
      <c r="L4" s="3" t="str">
        <f t="shared" si="2"/>
        <v>x</v>
      </c>
      <c r="M4" s="3">
        <v>2</v>
      </c>
      <c r="N4" s="3" t="str">
        <f t="shared" si="3"/>
        <v>Tchéquia</v>
      </c>
      <c r="O4" s="3" t="str">
        <f t="shared" si="4"/>
        <v>Empate</v>
      </c>
      <c r="P4" s="3"/>
      <c r="Q4" s="3" t="b">
        <f t="shared" si="5"/>
        <v>0</v>
      </c>
      <c r="R4" s="3" t="b">
        <f t="shared" si="6"/>
        <v>0</v>
      </c>
      <c r="S4" s="3" t="b">
        <f t="shared" si="7"/>
        <v>0</v>
      </c>
      <c r="T4" s="3" t="b">
        <f t="shared" si="8"/>
        <v>0</v>
      </c>
      <c r="U4" s="3" t="b">
        <f t="shared" si="9"/>
        <v>1</v>
      </c>
      <c r="V4" s="3"/>
      <c r="W4" s="3" cm="1">
        <f t="array" ref="W4">IF(OR(J4="Brasil",N4="Brasil"),2*_xlfn.IFS(Q4=TRUE,6,R4=TRUE,4,AND(S4=TRUE,T4=FALSE),3,T4=TRUE,2,U4=TRUE,0),_xlfn.IFS(Q4=TRUE,6,R4=TRUE,4,AND(S4=TRUE,T4=FALSE),3,T4=TRUE,2,U4=TRUE,0))</f>
        <v>0</v>
      </c>
      <c r="X4" s="3"/>
      <c r="Y4" s="3"/>
    </row>
    <row r="5" spans="1:25" ht="14.25" customHeight="1" x14ac:dyDescent="0.3">
      <c r="A5" s="3">
        <f>'Tabela de Jogos'!A5</f>
        <v>3</v>
      </c>
      <c r="B5" s="3" t="str">
        <f>'Tabela de Jogos'!B5</f>
        <v>Canadá</v>
      </c>
      <c r="C5" s="3">
        <f>'Tabela de Jogos'!C5</f>
        <v>1</v>
      </c>
      <c r="D5" s="3" t="str">
        <f>'Tabela de Jogos'!D5</f>
        <v>x</v>
      </c>
      <c r="E5" s="3">
        <f>'Tabela de Jogos'!E5</f>
        <v>1</v>
      </c>
      <c r="F5" s="3" t="str">
        <f>'Tabela de Jogos'!F5</f>
        <v>Bósnia</v>
      </c>
      <c r="G5" s="3" t="str">
        <f>'Tabela de Jogos'!G5</f>
        <v>Empate</v>
      </c>
      <c r="H5" s="3"/>
      <c r="I5" s="3">
        <f t="shared" ref="I5:J5" si="11">A5</f>
        <v>3</v>
      </c>
      <c r="J5" s="3" t="str">
        <f t="shared" si="11"/>
        <v>Canadá</v>
      </c>
      <c r="K5" s="3">
        <v>2</v>
      </c>
      <c r="L5" s="3" t="str">
        <f t="shared" si="2"/>
        <v>x</v>
      </c>
      <c r="M5" s="3">
        <v>1</v>
      </c>
      <c r="N5" s="3" t="str">
        <f t="shared" si="3"/>
        <v>Bósnia</v>
      </c>
      <c r="O5" s="3" t="str">
        <f t="shared" si="4"/>
        <v>Canadá</v>
      </c>
      <c r="P5" s="3"/>
      <c r="Q5" s="3" t="b">
        <f t="shared" si="5"/>
        <v>0</v>
      </c>
      <c r="R5" s="3" t="b">
        <f t="shared" si="6"/>
        <v>0</v>
      </c>
      <c r="S5" s="3" t="b">
        <f t="shared" si="7"/>
        <v>0</v>
      </c>
      <c r="T5" s="3" t="b">
        <f t="shared" si="8"/>
        <v>0</v>
      </c>
      <c r="U5" s="3" t="b">
        <f t="shared" si="9"/>
        <v>1</v>
      </c>
      <c r="V5" s="3"/>
      <c r="W5" s="3" cm="1">
        <f t="array" ref="W5">IF(OR(J5="Brasil",N5="Brasil"),2*_xlfn.IFS(Q5=TRUE,6,R5=TRUE,4,AND(S5=TRUE,T5=FALSE),3,T5=TRUE,2,U5=TRUE,0),_xlfn.IFS(Q5=TRUE,6,R5=TRUE,4,AND(S5=TRUE,T5=FALSE),3,T5=TRUE,2,U5=TRUE,0))</f>
        <v>0</v>
      </c>
      <c r="X5" s="3"/>
      <c r="Y5" s="3"/>
    </row>
    <row r="6" spans="1:25" ht="14.25" customHeight="1" x14ac:dyDescent="0.3">
      <c r="A6" s="3">
        <f>'Tabela de Jogos'!A6</f>
        <v>4</v>
      </c>
      <c r="B6" s="3" t="str">
        <f>'Tabela de Jogos'!B6</f>
        <v>EUA</v>
      </c>
      <c r="C6" s="3">
        <f>'Tabela de Jogos'!C6</f>
        <v>4</v>
      </c>
      <c r="D6" s="3" t="str">
        <f>'Tabela de Jogos'!D6</f>
        <v>x</v>
      </c>
      <c r="E6" s="3">
        <f>'Tabela de Jogos'!E6</f>
        <v>1</v>
      </c>
      <c r="F6" s="3" t="str">
        <f>'Tabela de Jogos'!F6</f>
        <v>Paraguai</v>
      </c>
      <c r="G6" s="3" t="str">
        <f>'Tabela de Jogos'!G6</f>
        <v>EUA</v>
      </c>
      <c r="H6" s="3"/>
      <c r="I6" s="3">
        <f t="shared" ref="I6:J6" si="12">A6</f>
        <v>4</v>
      </c>
      <c r="J6" s="3" t="str">
        <f t="shared" si="12"/>
        <v>EUA</v>
      </c>
      <c r="K6" s="3">
        <v>2</v>
      </c>
      <c r="L6" s="3" t="str">
        <f t="shared" si="2"/>
        <v>x</v>
      </c>
      <c r="M6" s="3">
        <v>3</v>
      </c>
      <c r="N6" s="3" t="str">
        <f t="shared" si="3"/>
        <v>Paraguai</v>
      </c>
      <c r="O6" s="3" t="str">
        <f t="shared" si="4"/>
        <v>Paraguai</v>
      </c>
      <c r="P6" s="3"/>
      <c r="Q6" s="3" t="b">
        <f t="shared" si="5"/>
        <v>0</v>
      </c>
      <c r="R6" s="3" t="b">
        <f t="shared" si="6"/>
        <v>0</v>
      </c>
      <c r="S6" s="3" t="b">
        <f t="shared" si="7"/>
        <v>0</v>
      </c>
      <c r="T6" s="3" t="b">
        <f t="shared" si="8"/>
        <v>0</v>
      </c>
      <c r="U6" s="3" t="b">
        <f t="shared" si="9"/>
        <v>1</v>
      </c>
      <c r="V6" s="3"/>
      <c r="W6" s="3" cm="1">
        <f t="array" ref="W6">IF(OR(J6="Brasil",N6="Brasil"),2*_xlfn.IFS(Q6=TRUE,6,R6=TRUE,4,AND(S6=TRUE,T6=FALSE),3,T6=TRUE,2,U6=TRUE,0),_xlfn.IFS(Q6=TRUE,6,R6=TRUE,4,AND(S6=TRUE,T6=FALSE),3,T6=TRUE,2,U6=TRUE,0))</f>
        <v>0</v>
      </c>
      <c r="X6" s="3"/>
      <c r="Y6" s="3"/>
    </row>
    <row r="7" spans="1:25" ht="14.25" customHeight="1" x14ac:dyDescent="0.3">
      <c r="A7" s="3">
        <f>'Tabela de Jogos'!A7</f>
        <v>5</v>
      </c>
      <c r="B7" s="3" t="str">
        <f>'Tabela de Jogos'!B7</f>
        <v>Catar</v>
      </c>
      <c r="C7" s="3">
        <f>'Tabela de Jogos'!C7</f>
        <v>1</v>
      </c>
      <c r="D7" s="3" t="str">
        <f>'Tabela de Jogos'!D7</f>
        <v>x</v>
      </c>
      <c r="E7" s="3">
        <f>'Tabela de Jogos'!E7</f>
        <v>1</v>
      </c>
      <c r="F7" s="3" t="str">
        <f>'Tabela de Jogos'!F7</f>
        <v>Suíça</v>
      </c>
      <c r="G7" s="3" t="str">
        <f>'Tabela de Jogos'!G7</f>
        <v>Empate</v>
      </c>
      <c r="H7" s="3"/>
      <c r="I7" s="3">
        <f t="shared" ref="I7:J7" si="13">A7</f>
        <v>5</v>
      </c>
      <c r="J7" s="3" t="str">
        <f t="shared" si="13"/>
        <v>Catar</v>
      </c>
      <c r="K7" s="3">
        <v>0</v>
      </c>
      <c r="L7" s="3" t="str">
        <f t="shared" si="2"/>
        <v>x</v>
      </c>
      <c r="M7" s="3">
        <v>3</v>
      </c>
      <c r="N7" s="3" t="str">
        <f t="shared" si="3"/>
        <v>Suíça</v>
      </c>
      <c r="O7" s="3" t="str">
        <f t="shared" si="4"/>
        <v>Suíça</v>
      </c>
      <c r="P7" s="3"/>
      <c r="Q7" s="3" t="b">
        <f t="shared" si="5"/>
        <v>0</v>
      </c>
      <c r="R7" s="3" t="b">
        <f t="shared" si="6"/>
        <v>0</v>
      </c>
      <c r="S7" s="3" t="b">
        <f t="shared" si="7"/>
        <v>0</v>
      </c>
      <c r="T7" s="3" t="b">
        <f t="shared" si="8"/>
        <v>0</v>
      </c>
      <c r="U7" s="3" t="b">
        <f t="shared" si="9"/>
        <v>1</v>
      </c>
      <c r="V7" s="3"/>
      <c r="W7" s="3" cm="1">
        <f t="array" ref="W7">IF(OR(J7="Brasil",N7="Brasil"),2*_xlfn.IFS(Q7=TRUE,6,R7=TRUE,4,AND(S7=TRUE,T7=FALSE),3,T7=TRUE,2,U7=TRUE,0),_xlfn.IFS(Q7=TRUE,6,R7=TRUE,4,AND(S7=TRUE,T7=FALSE),3,T7=TRUE,2,U7=TRUE,0))</f>
        <v>0</v>
      </c>
      <c r="X7" s="3"/>
      <c r="Y7" s="3"/>
    </row>
    <row r="8" spans="1:25" ht="14.25" customHeight="1" x14ac:dyDescent="0.3">
      <c r="A8" s="3">
        <f>'Tabela de Jogos'!A8</f>
        <v>6</v>
      </c>
      <c r="B8" s="3" t="str">
        <f>'Tabela de Jogos'!B8</f>
        <v>Brasil</v>
      </c>
      <c r="C8" s="3">
        <f>'Tabela de Jogos'!C8</f>
        <v>1</v>
      </c>
      <c r="D8" s="3" t="str">
        <f>'Tabela de Jogos'!D8</f>
        <v>x</v>
      </c>
      <c r="E8" s="3">
        <f>'Tabela de Jogos'!E8</f>
        <v>1</v>
      </c>
      <c r="F8" s="3" t="str">
        <f>'Tabela de Jogos'!F8</f>
        <v>Marrocos</v>
      </c>
      <c r="G8" s="3" t="str">
        <f>'Tabela de Jogos'!G8</f>
        <v>Empate</v>
      </c>
      <c r="H8" s="3"/>
      <c r="I8" s="3">
        <f t="shared" ref="I8:J8" si="14">A8</f>
        <v>6</v>
      </c>
      <c r="J8" s="3" t="str">
        <f t="shared" si="14"/>
        <v>Brasil</v>
      </c>
      <c r="K8" s="3">
        <v>3</v>
      </c>
      <c r="L8" s="3" t="str">
        <f t="shared" si="2"/>
        <v>x</v>
      </c>
      <c r="M8" s="3">
        <v>1</v>
      </c>
      <c r="N8" s="3" t="str">
        <f t="shared" si="3"/>
        <v>Marrocos</v>
      </c>
      <c r="O8" s="3" t="str">
        <f t="shared" si="4"/>
        <v>Brasil</v>
      </c>
      <c r="P8" s="3"/>
      <c r="Q8" s="3" t="b">
        <f t="shared" si="5"/>
        <v>0</v>
      </c>
      <c r="R8" s="3" t="b">
        <f t="shared" si="6"/>
        <v>0</v>
      </c>
      <c r="S8" s="3" t="b">
        <f t="shared" si="7"/>
        <v>0</v>
      </c>
      <c r="T8" s="3" t="b">
        <f t="shared" si="8"/>
        <v>0</v>
      </c>
      <c r="U8" s="3" t="b">
        <f t="shared" si="9"/>
        <v>1</v>
      </c>
      <c r="V8" s="3"/>
      <c r="W8" s="3" cm="1">
        <f t="array" ref="W8">IF(OR(J8="Brasil",N8="Brasil"),2*_xlfn.IFS(Q8=TRUE,6,R8=TRUE,4,AND(S8=TRUE,T8=FALSE),3,T8=TRUE,2,U8=TRUE,0),_xlfn.IFS(Q8=TRUE,6,R8=TRUE,4,AND(S8=TRUE,T8=FALSE),3,T8=TRUE,2,U8=TRUE,0))</f>
        <v>0</v>
      </c>
      <c r="X8" s="3"/>
      <c r="Y8" s="3"/>
    </row>
    <row r="9" spans="1:25" ht="14.25" customHeight="1" x14ac:dyDescent="0.3">
      <c r="A9" s="3">
        <f>'Tabela de Jogos'!A9</f>
        <v>7</v>
      </c>
      <c r="B9" s="3" t="str">
        <f>'Tabela de Jogos'!B9</f>
        <v>Haiti</v>
      </c>
      <c r="C9" s="3">
        <f>'Tabela de Jogos'!C9</f>
        <v>0</v>
      </c>
      <c r="D9" s="3" t="str">
        <f>'Tabela de Jogos'!D9</f>
        <v>x</v>
      </c>
      <c r="E9" s="3">
        <f>'Tabela de Jogos'!E9</f>
        <v>1</v>
      </c>
      <c r="F9" s="3" t="str">
        <f>'Tabela de Jogos'!F9</f>
        <v>Escócia</v>
      </c>
      <c r="G9" s="3" t="str">
        <f>'Tabela de Jogos'!G9</f>
        <v>Escócia</v>
      </c>
      <c r="H9" s="3"/>
      <c r="I9" s="3">
        <f t="shared" ref="I9:J9" si="15">A9</f>
        <v>7</v>
      </c>
      <c r="J9" s="3" t="str">
        <f t="shared" si="15"/>
        <v>Haiti</v>
      </c>
      <c r="K9" s="3">
        <v>0</v>
      </c>
      <c r="L9" s="3" t="str">
        <f t="shared" si="2"/>
        <v>x</v>
      </c>
      <c r="M9" s="3">
        <v>2</v>
      </c>
      <c r="N9" s="3" t="str">
        <f t="shared" si="3"/>
        <v>Escócia</v>
      </c>
      <c r="O9" s="3" t="str">
        <f t="shared" si="4"/>
        <v>Escócia</v>
      </c>
      <c r="P9" s="3"/>
      <c r="Q9" s="3" t="b">
        <f t="shared" si="5"/>
        <v>0</v>
      </c>
      <c r="R9" s="3" t="b">
        <f t="shared" si="6"/>
        <v>0</v>
      </c>
      <c r="S9" s="3" t="b">
        <f t="shared" si="7"/>
        <v>0</v>
      </c>
      <c r="T9" s="3" t="b">
        <f t="shared" si="8"/>
        <v>1</v>
      </c>
      <c r="U9" s="3" t="b">
        <f t="shared" si="9"/>
        <v>0</v>
      </c>
      <c r="V9" s="3"/>
      <c r="W9" s="3" cm="1">
        <f t="array" ref="W9">IF(OR(J9="Brasil",N9="Brasil"),2*_xlfn.IFS(Q9=TRUE,6,R9=TRUE,4,AND(S9=TRUE,T9=FALSE),3,T9=TRUE,2,U9=TRUE,0),_xlfn.IFS(Q9=TRUE,6,R9=TRUE,4,AND(S9=TRUE,T9=FALSE),3,T9=TRUE,2,U9=TRUE,0))</f>
        <v>2</v>
      </c>
      <c r="X9" s="3"/>
      <c r="Y9" s="3"/>
    </row>
    <row r="10" spans="1:25" ht="14.25" customHeight="1" x14ac:dyDescent="0.3">
      <c r="A10" s="3">
        <f>'Tabela de Jogos'!A10</f>
        <v>8</v>
      </c>
      <c r="B10" s="3" t="str">
        <f>'Tabela de Jogos'!B10</f>
        <v>Austrália</v>
      </c>
      <c r="C10" s="3">
        <f>'Tabela de Jogos'!C10</f>
        <v>2</v>
      </c>
      <c r="D10" s="3" t="str">
        <f>'Tabela de Jogos'!D10</f>
        <v>x</v>
      </c>
      <c r="E10" s="3">
        <f>'Tabela de Jogos'!E10</f>
        <v>0</v>
      </c>
      <c r="F10" s="3" t="str">
        <f>'Tabela de Jogos'!F10</f>
        <v>Turquia</v>
      </c>
      <c r="G10" s="3" t="str">
        <f>'Tabela de Jogos'!G10</f>
        <v>Austrália</v>
      </c>
      <c r="H10" s="3"/>
      <c r="I10" s="3">
        <f t="shared" ref="I10:J10" si="16">A10</f>
        <v>8</v>
      </c>
      <c r="J10" s="3" t="str">
        <f t="shared" si="16"/>
        <v>Austrália</v>
      </c>
      <c r="K10" s="3">
        <v>2</v>
      </c>
      <c r="L10" s="3" t="str">
        <f t="shared" si="2"/>
        <v>x</v>
      </c>
      <c r="M10" s="3">
        <v>2</v>
      </c>
      <c r="N10" s="3" t="str">
        <f t="shared" si="3"/>
        <v>Turquia</v>
      </c>
      <c r="O10" s="3" t="str">
        <f t="shared" si="4"/>
        <v>Empate</v>
      </c>
      <c r="P10" s="3"/>
      <c r="Q10" s="3" t="b">
        <f t="shared" si="5"/>
        <v>0</v>
      </c>
      <c r="R10" s="3" t="b">
        <f t="shared" si="6"/>
        <v>0</v>
      </c>
      <c r="S10" s="3" t="b">
        <f t="shared" si="7"/>
        <v>0</v>
      </c>
      <c r="T10" s="3" t="b">
        <f t="shared" si="8"/>
        <v>0</v>
      </c>
      <c r="U10" s="3" t="b">
        <f t="shared" si="9"/>
        <v>1</v>
      </c>
      <c r="V10" s="3"/>
      <c r="W10" s="3" cm="1">
        <f t="array" ref="W10">IF(OR(J10="Brasil",N10="Brasil"),2*_xlfn.IFS(Q10=TRUE,6,R10=TRUE,4,AND(S10=TRUE,T10=FALSE),3,T10=TRUE,2,U10=TRUE,0),_xlfn.IFS(Q10=TRUE,6,R10=TRUE,4,AND(S10=TRUE,T10=FALSE),3,T10=TRUE,2,U10=TRUE,0))</f>
        <v>0</v>
      </c>
      <c r="X10" s="3"/>
      <c r="Y10" s="3"/>
    </row>
    <row r="11" spans="1:25" ht="14.25" customHeight="1" x14ac:dyDescent="0.3">
      <c r="A11" s="3">
        <f>'Tabela de Jogos'!A11</f>
        <v>9</v>
      </c>
      <c r="B11" s="3" t="str">
        <f>'Tabela de Jogos'!B11</f>
        <v>Alemanha</v>
      </c>
      <c r="C11" s="3">
        <f>'Tabela de Jogos'!C11</f>
        <v>7</v>
      </c>
      <c r="D11" s="3" t="str">
        <f>'Tabela de Jogos'!D11</f>
        <v>x</v>
      </c>
      <c r="E11" s="3">
        <f>'Tabela de Jogos'!E11</f>
        <v>1</v>
      </c>
      <c r="F11" s="3" t="str">
        <f>'Tabela de Jogos'!F11</f>
        <v>Curaçao</v>
      </c>
      <c r="G11" s="3" t="str">
        <f>'Tabela de Jogos'!G11</f>
        <v>Alemanha</v>
      </c>
      <c r="H11" s="3"/>
      <c r="I11" s="3">
        <f t="shared" ref="I11:J11" si="17">A11</f>
        <v>9</v>
      </c>
      <c r="J11" s="3" t="str">
        <f t="shared" si="17"/>
        <v>Alemanha</v>
      </c>
      <c r="K11" s="3">
        <v>4</v>
      </c>
      <c r="L11" s="3" t="str">
        <f t="shared" si="2"/>
        <v>x</v>
      </c>
      <c r="M11" s="3">
        <v>0</v>
      </c>
      <c r="N11" s="3" t="str">
        <f t="shared" si="3"/>
        <v>Curaçao</v>
      </c>
      <c r="O11" s="3" t="str">
        <f t="shared" si="4"/>
        <v>Alemanha</v>
      </c>
      <c r="P11" s="3"/>
      <c r="Q11" s="3" t="b">
        <f t="shared" si="5"/>
        <v>0</v>
      </c>
      <c r="R11" s="3" t="b">
        <f t="shared" si="6"/>
        <v>0</v>
      </c>
      <c r="S11" s="3" t="b">
        <f t="shared" si="7"/>
        <v>0</v>
      </c>
      <c r="T11" s="3" t="b">
        <f t="shared" si="8"/>
        <v>1</v>
      </c>
      <c r="U11" s="3" t="b">
        <f t="shared" si="9"/>
        <v>0</v>
      </c>
      <c r="V11" s="3"/>
      <c r="W11" s="3" cm="1">
        <f t="array" ref="W11">IF(OR(J11="Brasil",N11="Brasil"),2*_xlfn.IFS(Q11=TRUE,6,R11=TRUE,4,AND(S11=TRUE,T11=FALSE),3,T11=TRUE,2,U11=TRUE,0),_xlfn.IFS(Q11=TRUE,6,R11=TRUE,4,AND(S11=TRUE,T11=FALSE),3,T11=TRUE,2,U11=TRUE,0))</f>
        <v>2</v>
      </c>
      <c r="X11" s="3"/>
      <c r="Y11" s="3"/>
    </row>
    <row r="12" spans="1:25" ht="14.25" customHeight="1" x14ac:dyDescent="0.3">
      <c r="A12" s="3">
        <f>'Tabela de Jogos'!A12</f>
        <v>10</v>
      </c>
      <c r="B12" s="3" t="str">
        <f>'Tabela de Jogos'!B12</f>
        <v>Holanda</v>
      </c>
      <c r="C12" s="3">
        <f>'Tabela de Jogos'!C12</f>
        <v>2</v>
      </c>
      <c r="D12" s="3" t="str">
        <f>'Tabela de Jogos'!D12</f>
        <v>x</v>
      </c>
      <c r="E12" s="3">
        <f>'Tabela de Jogos'!E12</f>
        <v>2</v>
      </c>
      <c r="F12" s="3" t="str">
        <f>'Tabela de Jogos'!F12</f>
        <v>Japão</v>
      </c>
      <c r="G12" s="3" t="str">
        <f>'Tabela de Jogos'!G12</f>
        <v>Empate</v>
      </c>
      <c r="H12" s="3"/>
      <c r="I12" s="3">
        <f t="shared" ref="I12:J12" si="18">A12</f>
        <v>10</v>
      </c>
      <c r="J12" s="3" t="str">
        <f t="shared" si="18"/>
        <v>Holanda</v>
      </c>
      <c r="K12" s="3">
        <v>2</v>
      </c>
      <c r="L12" s="3" t="str">
        <f t="shared" si="2"/>
        <v>x</v>
      </c>
      <c r="M12" s="3">
        <v>3</v>
      </c>
      <c r="N12" s="3" t="str">
        <f t="shared" si="3"/>
        <v>Japão</v>
      </c>
      <c r="O12" s="3" t="str">
        <f t="shared" si="4"/>
        <v>Japão</v>
      </c>
      <c r="P12" s="3"/>
      <c r="Q12" s="3" t="b">
        <f t="shared" si="5"/>
        <v>0</v>
      </c>
      <c r="R12" s="3" t="b">
        <f t="shared" si="6"/>
        <v>0</v>
      </c>
      <c r="S12" s="3" t="b">
        <f t="shared" si="7"/>
        <v>0</v>
      </c>
      <c r="T12" s="3" t="b">
        <f t="shared" si="8"/>
        <v>0</v>
      </c>
      <c r="U12" s="3" t="b">
        <f t="shared" si="9"/>
        <v>1</v>
      </c>
      <c r="V12" s="3"/>
      <c r="W12" s="3" cm="1">
        <f t="array" ref="W12">IF(OR(J12="Brasil",N12="Brasil"),2*_xlfn.IFS(Q12=TRUE,6,R12=TRUE,4,AND(S12=TRUE,T12=FALSE),3,T12=TRUE,2,U12=TRUE,0),_xlfn.IFS(Q12=TRUE,6,R12=TRUE,4,AND(S12=TRUE,T12=FALSE),3,T12=TRUE,2,U12=TRUE,0))</f>
        <v>0</v>
      </c>
      <c r="X12" s="3"/>
      <c r="Y12" s="3"/>
    </row>
    <row r="13" spans="1:25" ht="14.25" customHeight="1" x14ac:dyDescent="0.3">
      <c r="A13" s="3">
        <f>'Tabela de Jogos'!A13</f>
        <v>11</v>
      </c>
      <c r="B13" s="3" t="str">
        <f>'Tabela de Jogos'!B13</f>
        <v>Costa do Marfim</v>
      </c>
      <c r="C13" s="3">
        <f>'Tabela de Jogos'!C13</f>
        <v>1</v>
      </c>
      <c r="D13" s="3" t="str">
        <f>'Tabela de Jogos'!D13</f>
        <v>x</v>
      </c>
      <c r="E13" s="3">
        <f>'Tabela de Jogos'!E13</f>
        <v>0</v>
      </c>
      <c r="F13" s="3" t="str">
        <f>'Tabela de Jogos'!F13</f>
        <v>Equador</v>
      </c>
      <c r="G13" s="3" t="str">
        <f>'Tabela de Jogos'!G13</f>
        <v>Costa do Marfim</v>
      </c>
      <c r="H13" s="3"/>
      <c r="I13" s="3">
        <f t="shared" ref="I13:J13" si="19">A13</f>
        <v>11</v>
      </c>
      <c r="J13" s="3" t="str">
        <f t="shared" si="19"/>
        <v>Costa do Marfim</v>
      </c>
      <c r="K13" s="3">
        <v>1</v>
      </c>
      <c r="L13" s="3" t="str">
        <f t="shared" si="2"/>
        <v>x</v>
      </c>
      <c r="M13" s="3">
        <v>2</v>
      </c>
      <c r="N13" s="3" t="str">
        <f t="shared" si="3"/>
        <v>Equador</v>
      </c>
      <c r="O13" s="3" t="str">
        <f t="shared" si="4"/>
        <v>Equador</v>
      </c>
      <c r="P13" s="3"/>
      <c r="Q13" s="3" t="b">
        <f t="shared" si="5"/>
        <v>0</v>
      </c>
      <c r="R13" s="3" t="b">
        <f t="shared" si="6"/>
        <v>0</v>
      </c>
      <c r="S13" s="3" t="b">
        <f t="shared" si="7"/>
        <v>0</v>
      </c>
      <c r="T13" s="3" t="b">
        <f t="shared" si="8"/>
        <v>0</v>
      </c>
      <c r="U13" s="3" t="b">
        <f t="shared" si="9"/>
        <v>1</v>
      </c>
      <c r="V13" s="3"/>
      <c r="W13" s="3" cm="1">
        <f t="array" ref="W13">IF(OR(J13="Brasil",N13="Brasil"),2*_xlfn.IFS(Q13=TRUE,6,R13=TRUE,4,AND(S13=TRUE,T13=FALSE),3,T13=TRUE,2,U13=TRUE,0),_xlfn.IFS(Q13=TRUE,6,R13=TRUE,4,AND(S13=TRUE,T13=FALSE),3,T13=TRUE,2,U13=TRUE,0))</f>
        <v>0</v>
      </c>
      <c r="X13" s="3"/>
      <c r="Y13" s="3"/>
    </row>
    <row r="14" spans="1:25" ht="14.25" customHeight="1" x14ac:dyDescent="0.3">
      <c r="A14" s="3">
        <f>'Tabela de Jogos'!A14</f>
        <v>12</v>
      </c>
      <c r="B14" s="3" t="str">
        <f>'Tabela de Jogos'!B14</f>
        <v>Suécia</v>
      </c>
      <c r="C14" s="3">
        <f>'Tabela de Jogos'!C14</f>
        <v>5</v>
      </c>
      <c r="D14" s="3" t="str">
        <f>'Tabela de Jogos'!D14</f>
        <v>x</v>
      </c>
      <c r="E14" s="3">
        <f>'Tabela de Jogos'!E14</f>
        <v>1</v>
      </c>
      <c r="F14" s="3" t="str">
        <f>'Tabela de Jogos'!F14</f>
        <v>Tunísia</v>
      </c>
      <c r="G14" s="3" t="str">
        <f>'Tabela de Jogos'!G14</f>
        <v>Suécia</v>
      </c>
      <c r="H14" s="3"/>
      <c r="I14" s="3">
        <f t="shared" ref="I14:J14" si="20">A14</f>
        <v>12</v>
      </c>
      <c r="J14" s="3" t="str">
        <f t="shared" si="20"/>
        <v>Suécia</v>
      </c>
      <c r="K14" s="3">
        <v>1</v>
      </c>
      <c r="L14" s="3" t="str">
        <f t="shared" si="2"/>
        <v>x</v>
      </c>
      <c r="M14" s="3">
        <v>1</v>
      </c>
      <c r="N14" s="3" t="str">
        <f t="shared" si="3"/>
        <v>Tunísia</v>
      </c>
      <c r="O14" s="3" t="str">
        <f t="shared" si="4"/>
        <v>Empate</v>
      </c>
      <c r="P14" s="3"/>
      <c r="Q14" s="3" t="b">
        <f t="shared" si="5"/>
        <v>0</v>
      </c>
      <c r="R14" s="3" t="b">
        <f t="shared" si="6"/>
        <v>0</v>
      </c>
      <c r="S14" s="3" t="b">
        <f t="shared" si="7"/>
        <v>0</v>
      </c>
      <c r="T14" s="3" t="b">
        <f t="shared" si="8"/>
        <v>0</v>
      </c>
      <c r="U14" s="3" t="b">
        <f t="shared" si="9"/>
        <v>1</v>
      </c>
      <c r="V14" s="3"/>
      <c r="W14" s="3" cm="1">
        <f t="array" ref="W14">IF(OR(J14="Brasil",N14="Brasil"),2*_xlfn.IFS(Q14=TRUE,6,R14=TRUE,4,AND(S14=TRUE,T14=FALSE),3,T14=TRUE,2,U14=TRUE,0),_xlfn.IFS(Q14=TRUE,6,R14=TRUE,4,AND(S14=TRUE,T14=FALSE),3,T14=TRUE,2,U14=TRUE,0))</f>
        <v>0</v>
      </c>
      <c r="X14" s="3"/>
      <c r="Y14" s="3"/>
    </row>
    <row r="15" spans="1:25" ht="14.25" customHeight="1" x14ac:dyDescent="0.3">
      <c r="A15" s="3">
        <f>'Tabela de Jogos'!A15</f>
        <v>13</v>
      </c>
      <c r="B15" s="3" t="str">
        <f>'Tabela de Jogos'!B15</f>
        <v>Espanha</v>
      </c>
      <c r="C15" s="3">
        <f>'Tabela de Jogos'!C15</f>
        <v>0</v>
      </c>
      <c r="D15" s="3" t="str">
        <f>'Tabela de Jogos'!D15</f>
        <v>x</v>
      </c>
      <c r="E15" s="3">
        <f>'Tabela de Jogos'!E15</f>
        <v>0</v>
      </c>
      <c r="F15" s="3" t="str">
        <f>'Tabela de Jogos'!F15</f>
        <v>Cabo Verde</v>
      </c>
      <c r="G15" s="3" t="str">
        <f>'Tabela de Jogos'!G15</f>
        <v>Empate</v>
      </c>
      <c r="H15" s="3"/>
      <c r="I15" s="3">
        <f t="shared" ref="I15:J15" si="21">A15</f>
        <v>13</v>
      </c>
      <c r="J15" s="3" t="str">
        <f t="shared" si="21"/>
        <v>Espanha</v>
      </c>
      <c r="K15" s="3">
        <v>5</v>
      </c>
      <c r="L15" s="3" t="str">
        <f t="shared" si="2"/>
        <v>x</v>
      </c>
      <c r="M15" s="3">
        <v>1</v>
      </c>
      <c r="N15" s="3" t="str">
        <f t="shared" si="3"/>
        <v>Cabo Verde</v>
      </c>
      <c r="O15" s="3" t="str">
        <f t="shared" si="4"/>
        <v>Espanha</v>
      </c>
      <c r="P15" s="3"/>
      <c r="Q15" s="3" t="b">
        <f t="shared" si="5"/>
        <v>0</v>
      </c>
      <c r="R15" s="3" t="b">
        <f t="shared" si="6"/>
        <v>0</v>
      </c>
      <c r="S15" s="3" t="b">
        <f t="shared" si="7"/>
        <v>0</v>
      </c>
      <c r="T15" s="3" t="b">
        <f t="shared" si="8"/>
        <v>0</v>
      </c>
      <c r="U15" s="3" t="b">
        <f t="shared" si="9"/>
        <v>1</v>
      </c>
      <c r="V15" s="3"/>
      <c r="W15" s="3" cm="1">
        <f t="array" ref="W15">IF(OR(J15="Brasil",N15="Brasil"),2*_xlfn.IFS(Q15=TRUE,6,R15=TRUE,4,AND(S15=TRUE,T15=FALSE),3,T15=TRUE,2,U15=TRUE,0),_xlfn.IFS(Q15=TRUE,6,R15=TRUE,4,AND(S15=TRUE,T15=FALSE),3,T15=TRUE,2,U15=TRUE,0))</f>
        <v>0</v>
      </c>
      <c r="X15" s="3"/>
      <c r="Y15" s="3"/>
    </row>
    <row r="16" spans="1:25" ht="14.25" customHeight="1" x14ac:dyDescent="0.3">
      <c r="A16" s="3">
        <f>'Tabela de Jogos'!A16</f>
        <v>14</v>
      </c>
      <c r="B16" s="3" t="str">
        <f>'Tabela de Jogos'!B16</f>
        <v>Bélgica</v>
      </c>
      <c r="C16" s="3">
        <f>'Tabela de Jogos'!C16</f>
        <v>1</v>
      </c>
      <c r="D16" s="3" t="str">
        <f>'Tabela de Jogos'!D16</f>
        <v>x</v>
      </c>
      <c r="E16" s="3">
        <f>'Tabela de Jogos'!E16</f>
        <v>1</v>
      </c>
      <c r="F16" s="3" t="str">
        <f>'Tabela de Jogos'!F16</f>
        <v>Egito</v>
      </c>
      <c r="G16" s="3" t="str">
        <f>'Tabela de Jogos'!G16</f>
        <v>Empate</v>
      </c>
      <c r="H16" s="3"/>
      <c r="I16" s="3">
        <f t="shared" ref="I16:J16" si="22">A16</f>
        <v>14</v>
      </c>
      <c r="J16" s="3" t="str">
        <f t="shared" si="22"/>
        <v>Bélgica</v>
      </c>
      <c r="K16" s="3">
        <v>3</v>
      </c>
      <c r="L16" s="3" t="str">
        <f t="shared" si="2"/>
        <v>x</v>
      </c>
      <c r="M16" s="3">
        <v>1</v>
      </c>
      <c r="N16" s="3" t="str">
        <f t="shared" si="3"/>
        <v>Egito</v>
      </c>
      <c r="O16" s="3" t="str">
        <f t="shared" si="4"/>
        <v>Bélgica</v>
      </c>
      <c r="P16" s="3"/>
      <c r="Q16" s="3" t="b">
        <f t="shared" si="5"/>
        <v>0</v>
      </c>
      <c r="R16" s="3" t="b">
        <f t="shared" si="6"/>
        <v>0</v>
      </c>
      <c r="S16" s="3" t="b">
        <f t="shared" si="7"/>
        <v>0</v>
      </c>
      <c r="T16" s="3" t="b">
        <f t="shared" si="8"/>
        <v>0</v>
      </c>
      <c r="U16" s="3" t="b">
        <f t="shared" si="9"/>
        <v>1</v>
      </c>
      <c r="V16" s="3"/>
      <c r="W16" s="3" cm="1">
        <f t="array" ref="W16">IF(OR(J16="Brasil",N16="Brasil"),2*_xlfn.IFS(Q16=TRUE,6,R16=TRUE,4,AND(S16=TRUE,T16=FALSE),3,T16=TRUE,2,U16=TRUE,0),_xlfn.IFS(Q16=TRUE,6,R16=TRUE,4,AND(S16=TRUE,T16=FALSE),3,T16=TRUE,2,U16=TRUE,0))</f>
        <v>0</v>
      </c>
      <c r="X16" s="3"/>
      <c r="Y16" s="3"/>
    </row>
    <row r="17" spans="1:25" ht="14.25" customHeight="1" x14ac:dyDescent="0.3">
      <c r="A17" s="3">
        <f>'Tabela de Jogos'!A17</f>
        <v>15</v>
      </c>
      <c r="B17" s="3" t="str">
        <f>'Tabela de Jogos'!B17</f>
        <v>Arábia Saudita</v>
      </c>
      <c r="C17" s="3">
        <f>'Tabela de Jogos'!C17</f>
        <v>1</v>
      </c>
      <c r="D17" s="3" t="str">
        <f>'Tabela de Jogos'!D17</f>
        <v>x</v>
      </c>
      <c r="E17" s="3">
        <f>'Tabela de Jogos'!E17</f>
        <v>1</v>
      </c>
      <c r="F17" s="3" t="str">
        <f>'Tabela de Jogos'!F17</f>
        <v>Uruguai</v>
      </c>
      <c r="G17" s="3" t="str">
        <f>'Tabela de Jogos'!G17</f>
        <v>Empate</v>
      </c>
      <c r="H17" s="3"/>
      <c r="I17" s="3">
        <f t="shared" ref="I17:J17" si="23">A17</f>
        <v>15</v>
      </c>
      <c r="J17" s="3" t="str">
        <f t="shared" si="23"/>
        <v>Arábia Saudita</v>
      </c>
      <c r="K17" s="3">
        <v>0</v>
      </c>
      <c r="L17" s="3" t="str">
        <f t="shared" si="2"/>
        <v>x</v>
      </c>
      <c r="M17" s="3">
        <v>2</v>
      </c>
      <c r="N17" s="3" t="str">
        <f t="shared" si="3"/>
        <v>Uruguai</v>
      </c>
      <c r="O17" s="3" t="str">
        <f t="shared" si="4"/>
        <v>Uruguai</v>
      </c>
      <c r="P17" s="3"/>
      <c r="Q17" s="3" t="b">
        <f t="shared" si="5"/>
        <v>0</v>
      </c>
      <c r="R17" s="3" t="b">
        <f t="shared" si="6"/>
        <v>0</v>
      </c>
      <c r="S17" s="3" t="b">
        <f t="shared" si="7"/>
        <v>0</v>
      </c>
      <c r="T17" s="3" t="b">
        <f t="shared" si="8"/>
        <v>0</v>
      </c>
      <c r="U17" s="3" t="b">
        <f t="shared" si="9"/>
        <v>1</v>
      </c>
      <c r="V17" s="3"/>
      <c r="W17" s="3" cm="1">
        <f t="array" ref="W17">IF(OR(J17="Brasil",N17="Brasil"),2*_xlfn.IFS(Q17=TRUE,6,R17=TRUE,4,AND(S17=TRUE,T17=FALSE),3,T17=TRUE,2,U17=TRUE,0),_xlfn.IFS(Q17=TRUE,6,R17=TRUE,4,AND(S17=TRUE,T17=FALSE),3,T17=TRUE,2,U17=TRUE,0))</f>
        <v>0</v>
      </c>
      <c r="X17" s="3"/>
      <c r="Y17" s="3"/>
    </row>
    <row r="18" spans="1:25" ht="14.25" customHeight="1" x14ac:dyDescent="0.3">
      <c r="A18" s="3">
        <f>'Tabela de Jogos'!A18</f>
        <v>16</v>
      </c>
      <c r="B18" s="3" t="str">
        <f>'Tabela de Jogos'!B18</f>
        <v>Irã</v>
      </c>
      <c r="C18" s="3">
        <f>'Tabela de Jogos'!C18</f>
        <v>2</v>
      </c>
      <c r="D18" s="3" t="str">
        <f>'Tabela de Jogos'!D18</f>
        <v>x</v>
      </c>
      <c r="E18" s="3">
        <f>'Tabela de Jogos'!E18</f>
        <v>2</v>
      </c>
      <c r="F18" s="3" t="str">
        <f>'Tabela de Jogos'!F18</f>
        <v>Nova Zelândia</v>
      </c>
      <c r="G18" s="3" t="str">
        <f>'Tabela de Jogos'!G18</f>
        <v>Empate</v>
      </c>
      <c r="H18" s="3"/>
      <c r="I18" s="3">
        <f t="shared" ref="I18:J18" si="24">A18</f>
        <v>16</v>
      </c>
      <c r="J18" s="3" t="str">
        <f t="shared" si="24"/>
        <v>Irã</v>
      </c>
      <c r="K18" s="3">
        <v>1</v>
      </c>
      <c r="L18" s="3" t="str">
        <f t="shared" si="2"/>
        <v>x</v>
      </c>
      <c r="M18" s="3">
        <v>0</v>
      </c>
      <c r="N18" s="3" t="str">
        <f t="shared" si="3"/>
        <v>Nova Zelândia</v>
      </c>
      <c r="O18" s="3" t="str">
        <f t="shared" si="4"/>
        <v>Irã</v>
      </c>
      <c r="P18" s="3"/>
      <c r="Q18" s="3" t="b">
        <f t="shared" si="5"/>
        <v>0</v>
      </c>
      <c r="R18" s="3" t="b">
        <f t="shared" si="6"/>
        <v>0</v>
      </c>
      <c r="S18" s="3" t="b">
        <f t="shared" si="7"/>
        <v>0</v>
      </c>
      <c r="T18" s="3" t="b">
        <f t="shared" si="8"/>
        <v>0</v>
      </c>
      <c r="U18" s="3" t="b">
        <f t="shared" si="9"/>
        <v>1</v>
      </c>
      <c r="V18" s="3"/>
      <c r="W18" s="3" cm="1">
        <f t="array" ref="W18">IF(OR(J18="Brasil",N18="Brasil"),2*_xlfn.IFS(Q18=TRUE,6,R18=TRUE,4,AND(S18=TRUE,T18=FALSE),3,T18=TRUE,2,U18=TRUE,0),_xlfn.IFS(Q18=TRUE,6,R18=TRUE,4,AND(S18=TRUE,T18=FALSE),3,T18=TRUE,2,U18=TRUE,0))</f>
        <v>0</v>
      </c>
      <c r="X18" s="3"/>
      <c r="Y18" s="3"/>
    </row>
    <row r="19" spans="1:25" ht="14.25" customHeight="1" x14ac:dyDescent="0.3">
      <c r="A19" s="3">
        <f>'Tabela de Jogos'!A19</f>
        <v>17</v>
      </c>
      <c r="B19" s="3" t="str">
        <f>'Tabela de Jogos'!B19</f>
        <v>França</v>
      </c>
      <c r="C19" s="3">
        <f>'Tabela de Jogos'!C19</f>
        <v>3</v>
      </c>
      <c r="D19" s="3" t="str">
        <f>'Tabela de Jogos'!D19</f>
        <v>x</v>
      </c>
      <c r="E19" s="3">
        <f>'Tabela de Jogos'!E19</f>
        <v>1</v>
      </c>
      <c r="F19" s="3" t="str">
        <f>'Tabela de Jogos'!F19</f>
        <v>Senegal</v>
      </c>
      <c r="G19" s="3" t="str">
        <f>'Tabela de Jogos'!G19</f>
        <v>França</v>
      </c>
      <c r="H19" s="3"/>
      <c r="I19" s="3">
        <f t="shared" ref="I19:J19" si="25">A19</f>
        <v>17</v>
      </c>
      <c r="J19" s="3" t="str">
        <f t="shared" si="25"/>
        <v>França</v>
      </c>
      <c r="K19" s="3">
        <v>2</v>
      </c>
      <c r="L19" s="3" t="str">
        <f t="shared" si="2"/>
        <v>x</v>
      </c>
      <c r="M19" s="3">
        <v>0</v>
      </c>
      <c r="N19" s="3" t="str">
        <f t="shared" si="3"/>
        <v>Senegal</v>
      </c>
      <c r="O19" s="3" t="str">
        <f t="shared" si="4"/>
        <v>França</v>
      </c>
      <c r="P19" s="3"/>
      <c r="Q19" s="3" t="b">
        <f t="shared" si="5"/>
        <v>0</v>
      </c>
      <c r="R19" s="3" t="b">
        <f t="shared" si="6"/>
        <v>0</v>
      </c>
      <c r="S19" s="3" t="b">
        <f t="shared" si="7"/>
        <v>1</v>
      </c>
      <c r="T19" s="3" t="b">
        <f t="shared" si="8"/>
        <v>0</v>
      </c>
      <c r="U19" s="3" t="b">
        <f t="shared" si="9"/>
        <v>0</v>
      </c>
      <c r="V19" s="3"/>
      <c r="W19" s="3" cm="1">
        <f t="array" ref="W19">IF(OR(J19="Brasil",N19="Brasil"),2*_xlfn.IFS(Q19=TRUE,6,R19=TRUE,4,AND(S19=TRUE,T19=FALSE),3,T19=TRUE,2,U19=TRUE,0),_xlfn.IFS(Q19=TRUE,6,R19=TRUE,4,AND(S19=TRUE,T19=FALSE),3,T19=TRUE,2,U19=TRUE,0))</f>
        <v>3</v>
      </c>
      <c r="X19" s="3"/>
      <c r="Y19" s="3"/>
    </row>
    <row r="20" spans="1:25" ht="14.25" customHeight="1" x14ac:dyDescent="0.3">
      <c r="A20" s="3">
        <f>'Tabela de Jogos'!A20</f>
        <v>18</v>
      </c>
      <c r="B20" s="3" t="str">
        <f>'Tabela de Jogos'!B20</f>
        <v>Iraque</v>
      </c>
      <c r="C20" s="3">
        <f>'Tabela de Jogos'!C20</f>
        <v>1</v>
      </c>
      <c r="D20" s="3" t="str">
        <f>'Tabela de Jogos'!D20</f>
        <v>x</v>
      </c>
      <c r="E20" s="3">
        <f>'Tabela de Jogos'!E20</f>
        <v>4</v>
      </c>
      <c r="F20" s="3" t="str">
        <f>'Tabela de Jogos'!F20</f>
        <v>Noruega</v>
      </c>
      <c r="G20" s="3" t="str">
        <f>'Tabela de Jogos'!G20</f>
        <v>Noruega</v>
      </c>
      <c r="H20" s="3"/>
      <c r="I20" s="3">
        <f t="shared" ref="I20:J20" si="26">A20</f>
        <v>18</v>
      </c>
      <c r="J20" s="3" t="str">
        <f t="shared" si="26"/>
        <v>Iraque</v>
      </c>
      <c r="K20" s="3">
        <v>0</v>
      </c>
      <c r="L20" s="3" t="str">
        <f t="shared" si="2"/>
        <v>x</v>
      </c>
      <c r="M20" s="3">
        <v>1</v>
      </c>
      <c r="N20" s="3" t="str">
        <f t="shared" si="3"/>
        <v>Noruega</v>
      </c>
      <c r="O20" s="3" t="str">
        <f t="shared" si="4"/>
        <v>Noruega</v>
      </c>
      <c r="P20" s="3"/>
      <c r="Q20" s="3" t="b">
        <f t="shared" si="5"/>
        <v>0</v>
      </c>
      <c r="R20" s="3" t="b">
        <f t="shared" si="6"/>
        <v>0</v>
      </c>
      <c r="S20" s="3" t="b">
        <f t="shared" si="7"/>
        <v>0</v>
      </c>
      <c r="T20" s="3" t="b">
        <f t="shared" si="8"/>
        <v>1</v>
      </c>
      <c r="U20" s="3" t="b">
        <f t="shared" si="9"/>
        <v>0</v>
      </c>
      <c r="V20" s="3"/>
      <c r="W20" s="3" cm="1">
        <f t="array" ref="W20">IF(OR(J20="Brasil",N20="Brasil"),2*_xlfn.IFS(Q20=TRUE,6,R20=TRUE,4,AND(S20=TRUE,T20=FALSE),3,T20=TRUE,2,U20=TRUE,0),_xlfn.IFS(Q20=TRUE,6,R20=TRUE,4,AND(S20=TRUE,T20=FALSE),3,T20=TRUE,2,U20=TRUE,0))</f>
        <v>2</v>
      </c>
      <c r="X20" s="3"/>
      <c r="Y20" s="3"/>
    </row>
    <row r="21" spans="1:25" ht="14.25" customHeight="1" x14ac:dyDescent="0.3">
      <c r="A21" s="3">
        <f>'Tabela de Jogos'!A21</f>
        <v>19</v>
      </c>
      <c r="B21" s="3" t="str">
        <f>'Tabela de Jogos'!B21</f>
        <v>Argentina</v>
      </c>
      <c r="C21" s="3">
        <f>'Tabela de Jogos'!C21</f>
        <v>3</v>
      </c>
      <c r="D21" s="3" t="str">
        <f>'Tabela de Jogos'!D21</f>
        <v>x</v>
      </c>
      <c r="E21" s="3">
        <f>'Tabela de Jogos'!E21</f>
        <v>0</v>
      </c>
      <c r="F21" s="3" t="str">
        <f>'Tabela de Jogos'!F21</f>
        <v>Argélia</v>
      </c>
      <c r="G21" s="3" t="str">
        <f>'Tabela de Jogos'!G21</f>
        <v>Argentina</v>
      </c>
      <c r="H21" s="3"/>
      <c r="I21" s="3">
        <f t="shared" ref="I21:J21" si="27">A21</f>
        <v>19</v>
      </c>
      <c r="J21" s="3" t="str">
        <f t="shared" si="27"/>
        <v>Argentina</v>
      </c>
      <c r="K21" s="3">
        <v>3</v>
      </c>
      <c r="L21" s="3" t="str">
        <f t="shared" si="2"/>
        <v>x</v>
      </c>
      <c r="M21" s="3">
        <v>1</v>
      </c>
      <c r="N21" s="3" t="str">
        <f t="shared" si="3"/>
        <v>Argélia</v>
      </c>
      <c r="O21" s="3" t="str">
        <f t="shared" si="4"/>
        <v>Argentina</v>
      </c>
      <c r="P21" s="3"/>
      <c r="Q21" s="3" t="b">
        <f t="shared" si="5"/>
        <v>0</v>
      </c>
      <c r="R21" s="3" t="b">
        <f t="shared" si="6"/>
        <v>1</v>
      </c>
      <c r="S21" s="3" t="b">
        <f t="shared" si="7"/>
        <v>0</v>
      </c>
      <c r="T21" s="3" t="b">
        <f t="shared" si="8"/>
        <v>0</v>
      </c>
      <c r="U21" s="3" t="b">
        <f t="shared" si="9"/>
        <v>0</v>
      </c>
      <c r="V21" s="3"/>
      <c r="W21" s="3" cm="1">
        <f t="array" ref="W21">IF(OR(J21="Brasil",N21="Brasil"),2*_xlfn.IFS(Q21=TRUE,6,R21=TRUE,4,AND(S21=TRUE,T21=FALSE),3,T21=TRUE,2,U21=TRUE,0),_xlfn.IFS(Q21=TRUE,6,R21=TRUE,4,AND(S21=TRUE,T21=FALSE),3,T21=TRUE,2,U21=TRUE,0))</f>
        <v>4</v>
      </c>
      <c r="X21" s="3"/>
      <c r="Y21" s="3"/>
    </row>
    <row r="22" spans="1:25" ht="14.25" customHeight="1" x14ac:dyDescent="0.3">
      <c r="A22" s="3">
        <f>'Tabela de Jogos'!A22</f>
        <v>20</v>
      </c>
      <c r="B22" s="3" t="str">
        <f>'Tabela de Jogos'!B22</f>
        <v>Áustria</v>
      </c>
      <c r="C22" s="3">
        <f>'Tabela de Jogos'!C22</f>
        <v>3</v>
      </c>
      <c r="D22" s="3" t="str">
        <f>'Tabela de Jogos'!D22</f>
        <v>x</v>
      </c>
      <c r="E22" s="3">
        <f>'Tabela de Jogos'!E22</f>
        <v>1</v>
      </c>
      <c r="F22" s="3" t="str">
        <f>'Tabela de Jogos'!F22</f>
        <v>Jordânia</v>
      </c>
      <c r="G22" s="3" t="str">
        <f>'Tabela de Jogos'!G22</f>
        <v>Áustria</v>
      </c>
      <c r="H22" s="3"/>
      <c r="I22" s="3">
        <f t="shared" ref="I22:J22" si="28">A22</f>
        <v>20</v>
      </c>
      <c r="J22" s="3" t="str">
        <f t="shared" si="28"/>
        <v>Áustria</v>
      </c>
      <c r="K22" s="3">
        <v>1</v>
      </c>
      <c r="L22" s="3" t="str">
        <f t="shared" si="2"/>
        <v>x</v>
      </c>
      <c r="M22" s="3">
        <v>1</v>
      </c>
      <c r="N22" s="3" t="str">
        <f t="shared" si="3"/>
        <v>Jordânia</v>
      </c>
      <c r="O22" s="3" t="str">
        <f t="shared" si="4"/>
        <v>Empate</v>
      </c>
      <c r="P22" s="3"/>
      <c r="Q22" s="3" t="b">
        <f t="shared" si="5"/>
        <v>0</v>
      </c>
      <c r="R22" s="3" t="b">
        <f t="shared" si="6"/>
        <v>0</v>
      </c>
      <c r="S22" s="3" t="b">
        <f t="shared" si="7"/>
        <v>0</v>
      </c>
      <c r="T22" s="3" t="b">
        <f t="shared" si="8"/>
        <v>0</v>
      </c>
      <c r="U22" s="3" t="b">
        <f t="shared" si="9"/>
        <v>1</v>
      </c>
      <c r="V22" s="3"/>
      <c r="W22" s="3" cm="1">
        <f t="array" ref="W22">IF(OR(J22="Brasil",N22="Brasil"),2*_xlfn.IFS(Q22=TRUE,6,R22=TRUE,4,AND(S22=TRUE,T22=FALSE),3,T22=TRUE,2,U22=TRUE,0),_xlfn.IFS(Q22=TRUE,6,R22=TRUE,4,AND(S22=TRUE,T22=FALSE),3,T22=TRUE,2,U22=TRUE,0))</f>
        <v>0</v>
      </c>
      <c r="X22" s="3"/>
      <c r="Y22" s="3"/>
    </row>
    <row r="23" spans="1:25" ht="14.25" customHeight="1" x14ac:dyDescent="0.3">
      <c r="A23" s="3">
        <f>'Tabela de Jogos'!A23</f>
        <v>21</v>
      </c>
      <c r="B23" s="3" t="str">
        <f>'Tabela de Jogos'!B23</f>
        <v>Portugal</v>
      </c>
      <c r="C23" s="3">
        <f>'Tabela de Jogos'!C23</f>
        <v>1</v>
      </c>
      <c r="D23" s="3" t="str">
        <f>'Tabela de Jogos'!D23</f>
        <v>x</v>
      </c>
      <c r="E23" s="3">
        <f>'Tabela de Jogos'!E23</f>
        <v>1</v>
      </c>
      <c r="F23" s="3" t="str">
        <f>'Tabela de Jogos'!F23</f>
        <v>RD Congo</v>
      </c>
      <c r="G23" s="3" t="str">
        <f>'Tabela de Jogos'!G23</f>
        <v>Empate</v>
      </c>
      <c r="H23" s="3"/>
      <c r="I23" s="3">
        <f t="shared" ref="I23:J23" si="29">A23</f>
        <v>21</v>
      </c>
      <c r="J23" s="3" t="str">
        <f t="shared" si="29"/>
        <v>Portugal</v>
      </c>
      <c r="K23" s="3">
        <v>4</v>
      </c>
      <c r="L23" s="3" t="str">
        <f t="shared" si="2"/>
        <v>x</v>
      </c>
      <c r="M23" s="3">
        <v>1</v>
      </c>
      <c r="N23" s="3" t="str">
        <f t="shared" si="3"/>
        <v>RD Congo</v>
      </c>
      <c r="O23" s="3" t="str">
        <f t="shared" si="4"/>
        <v>Portugal</v>
      </c>
      <c r="P23" s="3"/>
      <c r="Q23" s="3" t="b">
        <f t="shared" si="5"/>
        <v>0</v>
      </c>
      <c r="R23" s="3" t="b">
        <f t="shared" si="6"/>
        <v>0</v>
      </c>
      <c r="S23" s="3" t="b">
        <f t="shared" si="7"/>
        <v>0</v>
      </c>
      <c r="T23" s="3" t="b">
        <f t="shared" si="8"/>
        <v>0</v>
      </c>
      <c r="U23" s="3" t="b">
        <f t="shared" si="9"/>
        <v>1</v>
      </c>
      <c r="V23" s="3"/>
      <c r="W23" s="3" cm="1">
        <f t="array" ref="W23">IF(OR(J23="Brasil",N23="Brasil"),2*_xlfn.IFS(Q23=TRUE,6,R23=TRUE,4,AND(S23=TRUE,T23=FALSE),3,T23=TRUE,2,U23=TRUE,0),_xlfn.IFS(Q23=TRUE,6,R23=TRUE,4,AND(S23=TRUE,T23=FALSE),3,T23=TRUE,2,U23=TRUE,0))</f>
        <v>0</v>
      </c>
      <c r="X23" s="3"/>
      <c r="Y23" s="3"/>
    </row>
    <row r="24" spans="1:25" ht="14.25" customHeight="1" x14ac:dyDescent="0.3">
      <c r="A24" s="3">
        <f>'Tabela de Jogos'!A24</f>
        <v>22</v>
      </c>
      <c r="B24" s="3" t="str">
        <f>'Tabela de Jogos'!B24</f>
        <v>Inglaterra</v>
      </c>
      <c r="C24" s="3">
        <f>'Tabela de Jogos'!C24</f>
        <v>4</v>
      </c>
      <c r="D24" s="3" t="str">
        <f>'Tabela de Jogos'!D24</f>
        <v>x</v>
      </c>
      <c r="E24" s="3">
        <f>'Tabela de Jogos'!E24</f>
        <v>2</v>
      </c>
      <c r="F24" s="3" t="str">
        <f>'Tabela de Jogos'!F24</f>
        <v>Croácia</v>
      </c>
      <c r="G24" s="3" t="str">
        <f>'Tabela de Jogos'!G24</f>
        <v>Inglaterra</v>
      </c>
      <c r="H24" s="3"/>
      <c r="I24" s="3">
        <f t="shared" ref="I24:J24" si="30">A24</f>
        <v>22</v>
      </c>
      <c r="J24" s="3" t="str">
        <f t="shared" si="30"/>
        <v>Inglaterra</v>
      </c>
      <c r="K24" s="3">
        <v>2</v>
      </c>
      <c r="L24" s="3" t="str">
        <f t="shared" si="2"/>
        <v>x</v>
      </c>
      <c r="M24" s="3">
        <v>0</v>
      </c>
      <c r="N24" s="3" t="str">
        <f t="shared" si="3"/>
        <v>Croácia</v>
      </c>
      <c r="O24" s="3" t="str">
        <f t="shared" si="4"/>
        <v>Inglaterra</v>
      </c>
      <c r="P24" s="3"/>
      <c r="Q24" s="3" t="b">
        <f t="shared" si="5"/>
        <v>0</v>
      </c>
      <c r="R24" s="3" t="b">
        <f t="shared" si="6"/>
        <v>0</v>
      </c>
      <c r="S24" s="3" t="b">
        <f t="shared" si="7"/>
        <v>1</v>
      </c>
      <c r="T24" s="3" t="b">
        <f t="shared" si="8"/>
        <v>0</v>
      </c>
      <c r="U24" s="3" t="b">
        <f t="shared" si="9"/>
        <v>0</v>
      </c>
      <c r="V24" s="3"/>
      <c r="W24" s="3" cm="1">
        <f t="array" ref="W24">IF(OR(J24="Brasil",N24="Brasil"),2*_xlfn.IFS(Q24=TRUE,6,R24=TRUE,4,AND(S24=TRUE,T24=FALSE),3,T24=TRUE,2,U24=TRUE,0),_xlfn.IFS(Q24=TRUE,6,R24=TRUE,4,AND(S24=TRUE,T24=FALSE),3,T24=TRUE,2,U24=TRUE,0))</f>
        <v>3</v>
      </c>
      <c r="X24" s="3"/>
      <c r="Y24" s="3"/>
    </row>
    <row r="25" spans="1:25" ht="14.25" customHeight="1" x14ac:dyDescent="0.3">
      <c r="A25" s="3">
        <f>'Tabela de Jogos'!A25</f>
        <v>23</v>
      </c>
      <c r="B25" s="3" t="str">
        <f>'Tabela de Jogos'!B25</f>
        <v>Gana</v>
      </c>
      <c r="C25" s="3">
        <f>'Tabela de Jogos'!C25</f>
        <v>1</v>
      </c>
      <c r="D25" s="3" t="str">
        <f>'Tabela de Jogos'!D25</f>
        <v>x</v>
      </c>
      <c r="E25" s="3">
        <f>'Tabela de Jogos'!E25</f>
        <v>0</v>
      </c>
      <c r="F25" s="3" t="str">
        <f>'Tabela de Jogos'!F25</f>
        <v>Panamá</v>
      </c>
      <c r="G25" s="3" t="str">
        <f>'Tabela de Jogos'!G25</f>
        <v>Gana</v>
      </c>
      <c r="H25" s="3"/>
      <c r="I25" s="3">
        <f t="shared" ref="I25:J25" si="31">A25</f>
        <v>23</v>
      </c>
      <c r="J25" s="3" t="str">
        <f t="shared" si="31"/>
        <v>Gana</v>
      </c>
      <c r="K25" s="3">
        <v>2</v>
      </c>
      <c r="L25" s="3" t="str">
        <f t="shared" si="2"/>
        <v>x</v>
      </c>
      <c r="M25" s="3">
        <v>2</v>
      </c>
      <c r="N25" s="3" t="str">
        <f t="shared" si="3"/>
        <v>Panamá</v>
      </c>
      <c r="O25" s="3" t="str">
        <f t="shared" si="4"/>
        <v>Empate</v>
      </c>
      <c r="P25" s="3"/>
      <c r="Q25" s="3" t="b">
        <f t="shared" si="5"/>
        <v>0</v>
      </c>
      <c r="R25" s="3" t="b">
        <f t="shared" si="6"/>
        <v>0</v>
      </c>
      <c r="S25" s="3" t="b">
        <f t="shared" si="7"/>
        <v>0</v>
      </c>
      <c r="T25" s="3" t="b">
        <f t="shared" si="8"/>
        <v>0</v>
      </c>
      <c r="U25" s="3" t="b">
        <f t="shared" si="9"/>
        <v>1</v>
      </c>
      <c r="V25" s="3"/>
      <c r="W25" s="3" cm="1">
        <f t="array" ref="W25">IF(OR(J25="Brasil",N25="Brasil"),2*_xlfn.IFS(Q25=TRUE,6,R25=TRUE,4,AND(S25=TRUE,T25=FALSE),3,T25=TRUE,2,U25=TRUE,0),_xlfn.IFS(Q25=TRUE,6,R25=TRUE,4,AND(S25=TRUE,T25=FALSE),3,T25=TRUE,2,U25=TRUE,0))</f>
        <v>0</v>
      </c>
      <c r="X25" s="3"/>
      <c r="Y25" s="3"/>
    </row>
    <row r="26" spans="1:25" ht="14.25" customHeight="1" x14ac:dyDescent="0.3">
      <c r="A26" s="3">
        <f>'Tabela de Jogos'!A26</f>
        <v>24</v>
      </c>
      <c r="B26" s="3" t="str">
        <f>'Tabela de Jogos'!B26</f>
        <v>Uzbequistão</v>
      </c>
      <c r="C26" s="3">
        <f>'Tabela de Jogos'!C26</f>
        <v>1</v>
      </c>
      <c r="D26" s="3" t="str">
        <f>'Tabela de Jogos'!D26</f>
        <v>x</v>
      </c>
      <c r="E26" s="3">
        <f>'Tabela de Jogos'!E26</f>
        <v>3</v>
      </c>
      <c r="F26" s="3" t="str">
        <f>'Tabela de Jogos'!F26</f>
        <v>Colômbia</v>
      </c>
      <c r="G26" s="3" t="str">
        <f>'Tabela de Jogos'!G26</f>
        <v>Colômbia</v>
      </c>
      <c r="H26" s="3"/>
      <c r="I26" s="3">
        <f t="shared" ref="I26:J26" si="32">A26</f>
        <v>24</v>
      </c>
      <c r="J26" s="3" t="str">
        <f t="shared" si="32"/>
        <v>Uzbequistão</v>
      </c>
      <c r="K26" s="3">
        <v>0</v>
      </c>
      <c r="L26" s="3" t="str">
        <f t="shared" si="2"/>
        <v>x</v>
      </c>
      <c r="M26" s="3">
        <v>3</v>
      </c>
      <c r="N26" s="3" t="str">
        <f t="shared" si="3"/>
        <v>Colômbia</v>
      </c>
      <c r="O26" s="3" t="str">
        <f t="shared" si="4"/>
        <v>Colômbia</v>
      </c>
      <c r="P26" s="3"/>
      <c r="Q26" s="3" t="b">
        <f t="shared" si="5"/>
        <v>0</v>
      </c>
      <c r="R26" s="3" t="b">
        <f t="shared" si="6"/>
        <v>1</v>
      </c>
      <c r="S26" s="3" t="b">
        <f t="shared" si="7"/>
        <v>0</v>
      </c>
      <c r="T26" s="3" t="b">
        <f t="shared" si="8"/>
        <v>0</v>
      </c>
      <c r="U26" s="3" t="b">
        <f t="shared" si="9"/>
        <v>0</v>
      </c>
      <c r="V26" s="3"/>
      <c r="W26" s="3" cm="1">
        <f t="array" ref="W26">IF(OR(J26="Brasil",N26="Brasil"),2*_xlfn.IFS(Q26=TRUE,6,R26=TRUE,4,AND(S26=TRUE,T26=FALSE),3,T26=TRUE,2,U26=TRUE,0),_xlfn.IFS(Q26=TRUE,6,R26=TRUE,4,AND(S26=TRUE,T26=FALSE),3,T26=TRUE,2,U26=TRUE,0))</f>
        <v>4</v>
      </c>
      <c r="X26" s="3"/>
      <c r="Y26" s="3"/>
    </row>
    <row r="27" spans="1:25" ht="14.25" customHeight="1" x14ac:dyDescent="0.3">
      <c r="A27" s="3">
        <f>'Tabela de Jogos'!A27</f>
        <v>25</v>
      </c>
      <c r="B27" s="3" t="str">
        <f>'Tabela de Jogos'!B27</f>
        <v>Tchéquia</v>
      </c>
      <c r="C27" s="3">
        <f>'Tabela de Jogos'!C27</f>
        <v>1</v>
      </c>
      <c r="D27" s="3" t="str">
        <f>'Tabela de Jogos'!D27</f>
        <v>x</v>
      </c>
      <c r="E27" s="3">
        <f>'Tabela de Jogos'!E27</f>
        <v>1</v>
      </c>
      <c r="F27" s="3" t="str">
        <f>'Tabela de Jogos'!F27</f>
        <v>África do Sul</v>
      </c>
      <c r="G27" s="3" t="str">
        <f>'Tabela de Jogos'!G27</f>
        <v>Empate</v>
      </c>
      <c r="H27" s="3"/>
      <c r="I27" s="3">
        <f t="shared" ref="I27:J27" si="33">A27</f>
        <v>25</v>
      </c>
      <c r="J27" s="3" t="str">
        <f t="shared" si="33"/>
        <v>Tchéquia</v>
      </c>
      <c r="K27" s="3">
        <v>2</v>
      </c>
      <c r="L27" s="3" t="str">
        <f t="shared" si="2"/>
        <v>x</v>
      </c>
      <c r="M27" s="3">
        <v>2</v>
      </c>
      <c r="N27" s="3" t="str">
        <f t="shared" si="3"/>
        <v>África do Sul</v>
      </c>
      <c r="O27" s="3" t="str">
        <f t="shared" si="4"/>
        <v>Empate</v>
      </c>
      <c r="P27" s="3"/>
      <c r="Q27" s="3" t="b">
        <f t="shared" si="5"/>
        <v>0</v>
      </c>
      <c r="R27" s="3" t="b">
        <f t="shared" si="6"/>
        <v>0</v>
      </c>
      <c r="S27" s="3" t="b">
        <f t="shared" si="7"/>
        <v>1</v>
      </c>
      <c r="T27" s="3" t="b">
        <f t="shared" si="8"/>
        <v>1</v>
      </c>
      <c r="U27" s="3" t="b">
        <f t="shared" si="9"/>
        <v>0</v>
      </c>
      <c r="V27" s="3"/>
      <c r="W27" s="3" cm="1">
        <f t="array" ref="W27">IF(OR(J27="Brasil",N27="Brasil"),2*_xlfn.IFS(Q27=TRUE,6,R27=TRUE,4,AND(S27=TRUE,T27=FALSE),3,T27=TRUE,2,U27=TRUE,0),_xlfn.IFS(Q27=TRUE,6,R27=TRUE,4,AND(S27=TRUE,T27=FALSE),3,T27=TRUE,2,U27=TRUE,0))</f>
        <v>2</v>
      </c>
      <c r="X27" s="3"/>
      <c r="Y27" s="3"/>
    </row>
    <row r="28" spans="1:25" ht="14.25" customHeight="1" x14ac:dyDescent="0.3">
      <c r="A28" s="3">
        <f>'Tabela de Jogos'!A28</f>
        <v>26</v>
      </c>
      <c r="B28" s="3" t="str">
        <f>'Tabela de Jogos'!B28</f>
        <v>Suíça</v>
      </c>
      <c r="C28" s="3">
        <f>'Tabela de Jogos'!C28</f>
        <v>4</v>
      </c>
      <c r="D28" s="3" t="str">
        <f>'Tabela de Jogos'!D28</f>
        <v>x</v>
      </c>
      <c r="E28" s="3">
        <f>'Tabela de Jogos'!E28</f>
        <v>1</v>
      </c>
      <c r="F28" s="3" t="str">
        <f>'Tabela de Jogos'!F28</f>
        <v>Bósnia</v>
      </c>
      <c r="G28" s="3" t="str">
        <f>'Tabela de Jogos'!G28</f>
        <v>Suíça</v>
      </c>
      <c r="H28" s="3"/>
      <c r="I28" s="3">
        <f t="shared" ref="I28:J28" si="34">A28</f>
        <v>26</v>
      </c>
      <c r="J28" s="3" t="str">
        <f t="shared" si="34"/>
        <v>Suíça</v>
      </c>
      <c r="K28" s="3">
        <v>1</v>
      </c>
      <c r="L28" s="3" t="str">
        <f t="shared" si="2"/>
        <v>x</v>
      </c>
      <c r="M28" s="3">
        <v>0</v>
      </c>
      <c r="N28" s="3" t="str">
        <f t="shared" si="3"/>
        <v>Bósnia</v>
      </c>
      <c r="O28" s="3" t="str">
        <f t="shared" si="4"/>
        <v>Suíça</v>
      </c>
      <c r="P28" s="3"/>
      <c r="Q28" s="3" t="b">
        <f t="shared" si="5"/>
        <v>0</v>
      </c>
      <c r="R28" s="3" t="b">
        <f t="shared" si="6"/>
        <v>0</v>
      </c>
      <c r="S28" s="3" t="b">
        <f t="shared" si="7"/>
        <v>0</v>
      </c>
      <c r="T28" s="3" t="b">
        <f t="shared" si="8"/>
        <v>1</v>
      </c>
      <c r="U28" s="3" t="b">
        <f t="shared" si="9"/>
        <v>0</v>
      </c>
      <c r="V28" s="3"/>
      <c r="W28" s="3" cm="1">
        <f t="array" ref="W28">IF(OR(J28="Brasil",N28="Brasil"),2*_xlfn.IFS(Q28=TRUE,6,R28=TRUE,4,AND(S28=TRUE,T28=FALSE),3,T28=TRUE,2,U28=TRUE,0),_xlfn.IFS(Q28=TRUE,6,R28=TRUE,4,AND(S28=TRUE,T28=FALSE),3,T28=TRUE,2,U28=TRUE,0))</f>
        <v>2</v>
      </c>
      <c r="X28" s="3"/>
      <c r="Y28" s="3"/>
    </row>
    <row r="29" spans="1:25" ht="14.25" customHeight="1" x14ac:dyDescent="0.3">
      <c r="A29" s="3">
        <f>'Tabela de Jogos'!A29</f>
        <v>27</v>
      </c>
      <c r="B29" s="3" t="str">
        <f>'Tabela de Jogos'!B29</f>
        <v>Canadá</v>
      </c>
      <c r="C29" s="3">
        <f>'Tabela de Jogos'!C29</f>
        <v>6</v>
      </c>
      <c r="D29" s="3" t="str">
        <f>'Tabela de Jogos'!D29</f>
        <v>x</v>
      </c>
      <c r="E29" s="3">
        <f>'Tabela de Jogos'!E29</f>
        <v>0</v>
      </c>
      <c r="F29" s="3" t="str">
        <f>'Tabela de Jogos'!F29</f>
        <v>Catar</v>
      </c>
      <c r="G29" s="3" t="str">
        <f>'Tabela de Jogos'!G29</f>
        <v>Canadá</v>
      </c>
      <c r="H29" s="3"/>
      <c r="I29" s="3">
        <f t="shared" ref="I29:J29" si="35">A29</f>
        <v>27</v>
      </c>
      <c r="J29" s="3" t="str">
        <f t="shared" si="35"/>
        <v>Canadá</v>
      </c>
      <c r="K29" s="3">
        <v>3</v>
      </c>
      <c r="L29" s="3" t="str">
        <f t="shared" si="2"/>
        <v>x</v>
      </c>
      <c r="M29" s="3">
        <v>2</v>
      </c>
      <c r="N29" s="3" t="str">
        <f t="shared" si="3"/>
        <v>Catar</v>
      </c>
      <c r="O29" s="3" t="str">
        <f t="shared" si="4"/>
        <v>Canadá</v>
      </c>
      <c r="P29" s="3"/>
      <c r="Q29" s="3" t="b">
        <f t="shared" si="5"/>
        <v>0</v>
      </c>
      <c r="R29" s="3" t="b">
        <f t="shared" si="6"/>
        <v>0</v>
      </c>
      <c r="S29" s="3" t="b">
        <f t="shared" si="7"/>
        <v>0</v>
      </c>
      <c r="T29" s="3" t="b">
        <f t="shared" si="8"/>
        <v>1</v>
      </c>
      <c r="U29" s="3" t="b">
        <f t="shared" si="9"/>
        <v>0</v>
      </c>
      <c r="V29" s="3"/>
      <c r="W29" s="3" cm="1">
        <f t="array" ref="W29">IF(OR(J29="Brasil",N29="Brasil"),2*_xlfn.IFS(Q29=TRUE,6,R29=TRUE,4,AND(S29=TRUE,T29=FALSE),3,T29=TRUE,2,U29=TRUE,0),_xlfn.IFS(Q29=TRUE,6,R29=TRUE,4,AND(S29=TRUE,T29=FALSE),3,T29=TRUE,2,U29=TRUE,0))</f>
        <v>2</v>
      </c>
      <c r="X29" s="3"/>
      <c r="Y29" s="3"/>
    </row>
    <row r="30" spans="1:25" ht="14.25" customHeight="1" x14ac:dyDescent="0.3">
      <c r="A30" s="3">
        <f>'Tabela de Jogos'!A30</f>
        <v>28</v>
      </c>
      <c r="B30" s="3" t="str">
        <f>'Tabela de Jogos'!B30</f>
        <v>México</v>
      </c>
      <c r="C30" s="3">
        <f>'Tabela de Jogos'!C30</f>
        <v>1</v>
      </c>
      <c r="D30" s="3" t="str">
        <f>'Tabela de Jogos'!D30</f>
        <v>x</v>
      </c>
      <c r="E30" s="3">
        <f>'Tabela de Jogos'!E30</f>
        <v>0</v>
      </c>
      <c r="F30" s="3" t="str">
        <f>'Tabela de Jogos'!F30</f>
        <v>Coreia do Sul</v>
      </c>
      <c r="G30" s="3" t="str">
        <f>'Tabela de Jogos'!G30</f>
        <v>México</v>
      </c>
      <c r="H30" s="3"/>
      <c r="I30" s="3">
        <f t="shared" ref="I30:J30" si="36">A30</f>
        <v>28</v>
      </c>
      <c r="J30" s="3" t="str">
        <f t="shared" si="36"/>
        <v>México</v>
      </c>
      <c r="K30" s="3">
        <v>4</v>
      </c>
      <c r="L30" s="3" t="str">
        <f t="shared" si="2"/>
        <v>x</v>
      </c>
      <c r="M30" s="3">
        <v>2</v>
      </c>
      <c r="N30" s="3" t="str">
        <f t="shared" si="3"/>
        <v>Coreia do Sul</v>
      </c>
      <c r="O30" s="3" t="str">
        <f t="shared" si="4"/>
        <v>México</v>
      </c>
      <c r="P30" s="3"/>
      <c r="Q30" s="3" t="b">
        <f t="shared" si="5"/>
        <v>0</v>
      </c>
      <c r="R30" s="3" t="b">
        <f t="shared" si="6"/>
        <v>0</v>
      </c>
      <c r="S30" s="3" t="b">
        <f t="shared" si="7"/>
        <v>0</v>
      </c>
      <c r="T30" s="3" t="b">
        <f t="shared" si="8"/>
        <v>1</v>
      </c>
      <c r="U30" s="3" t="b">
        <f t="shared" si="9"/>
        <v>0</v>
      </c>
      <c r="V30" s="3"/>
      <c r="W30" s="3" cm="1">
        <f t="array" ref="W30">IF(OR(J30="Brasil",N30="Brasil"),2*_xlfn.IFS(Q30=TRUE,6,R30=TRUE,4,AND(S30=TRUE,T30=FALSE),3,T30=TRUE,2,U30=TRUE,0),_xlfn.IFS(Q30=TRUE,6,R30=TRUE,4,AND(S30=TRUE,T30=FALSE),3,T30=TRUE,2,U30=TRUE,0))</f>
        <v>2</v>
      </c>
      <c r="X30" s="3"/>
      <c r="Y30" s="3"/>
    </row>
    <row r="31" spans="1:25" ht="14.25" customHeight="1" x14ac:dyDescent="0.3">
      <c r="A31" s="3">
        <f>'Tabela de Jogos'!A31</f>
        <v>29</v>
      </c>
      <c r="B31" s="3" t="str">
        <f>'Tabela de Jogos'!B31</f>
        <v>EUA</v>
      </c>
      <c r="C31" s="3">
        <f>'Tabela de Jogos'!C31</f>
        <v>2</v>
      </c>
      <c r="D31" s="3" t="str">
        <f>'Tabela de Jogos'!D31</f>
        <v>x</v>
      </c>
      <c r="E31" s="3">
        <f>'Tabela de Jogos'!E31</f>
        <v>0</v>
      </c>
      <c r="F31" s="3" t="str">
        <f>'Tabela de Jogos'!F31</f>
        <v>Austrália</v>
      </c>
      <c r="G31" s="3" t="str">
        <f>'Tabela de Jogos'!G31</f>
        <v>EUA</v>
      </c>
      <c r="H31" s="3"/>
      <c r="I31" s="3">
        <f t="shared" ref="I31:J31" si="37">A31</f>
        <v>29</v>
      </c>
      <c r="J31" s="3" t="str">
        <f t="shared" si="37"/>
        <v>EUA</v>
      </c>
      <c r="K31" s="3">
        <v>2</v>
      </c>
      <c r="L31" s="3" t="str">
        <f t="shared" si="2"/>
        <v>x</v>
      </c>
      <c r="M31" s="3">
        <v>2</v>
      </c>
      <c r="N31" s="3" t="str">
        <f t="shared" si="3"/>
        <v>Austrália</v>
      </c>
      <c r="O31" s="3" t="str">
        <f t="shared" si="4"/>
        <v>Empate</v>
      </c>
      <c r="P31" s="3"/>
      <c r="Q31" s="3" t="b">
        <f t="shared" si="5"/>
        <v>0</v>
      </c>
      <c r="R31" s="3" t="b">
        <f t="shared" si="6"/>
        <v>0</v>
      </c>
      <c r="S31" s="3" t="b">
        <f t="shared" si="7"/>
        <v>0</v>
      </c>
      <c r="T31" s="3" t="b">
        <f t="shared" si="8"/>
        <v>0</v>
      </c>
      <c r="U31" s="3" t="b">
        <f t="shared" si="9"/>
        <v>1</v>
      </c>
      <c r="V31" s="3"/>
      <c r="W31" s="3" cm="1">
        <f t="array" ref="W31">IF(OR(J31="Brasil",N31="Brasil"),2*_xlfn.IFS(Q31=TRUE,6,R31=TRUE,4,AND(S31=TRUE,T31=FALSE),3,T31=TRUE,2,U31=TRUE,0),_xlfn.IFS(Q31=TRUE,6,R31=TRUE,4,AND(S31=TRUE,T31=FALSE),3,T31=TRUE,2,U31=TRUE,0))</f>
        <v>0</v>
      </c>
      <c r="X31" s="3"/>
      <c r="Y31" s="3"/>
    </row>
    <row r="32" spans="1:25" ht="14.25" customHeight="1" x14ac:dyDescent="0.3">
      <c r="A32" s="3">
        <f>'Tabela de Jogos'!A32</f>
        <v>30</v>
      </c>
      <c r="B32" s="3" t="str">
        <f>'Tabela de Jogos'!B32</f>
        <v>Escócia</v>
      </c>
      <c r="C32" s="3">
        <f>'Tabela de Jogos'!C32</f>
        <v>0</v>
      </c>
      <c r="D32" s="3" t="str">
        <f>'Tabela de Jogos'!D32</f>
        <v>x</v>
      </c>
      <c r="E32" s="3">
        <f>'Tabela de Jogos'!E32</f>
        <v>1</v>
      </c>
      <c r="F32" s="3" t="str">
        <f>'Tabela de Jogos'!F32</f>
        <v>Marrocos</v>
      </c>
      <c r="G32" s="3" t="str">
        <f>'Tabela de Jogos'!G32</f>
        <v>Marrocos</v>
      </c>
      <c r="H32" s="3"/>
      <c r="I32" s="3">
        <f t="shared" ref="I32:J32" si="38">A32</f>
        <v>30</v>
      </c>
      <c r="J32" s="3" t="str">
        <f t="shared" si="38"/>
        <v>Escócia</v>
      </c>
      <c r="K32" s="3">
        <v>1</v>
      </c>
      <c r="L32" s="3" t="str">
        <f t="shared" si="2"/>
        <v>x</v>
      </c>
      <c r="M32" s="3">
        <v>3</v>
      </c>
      <c r="N32" s="3" t="str">
        <f t="shared" si="3"/>
        <v>Marrocos</v>
      </c>
      <c r="O32" s="3" t="str">
        <f t="shared" si="4"/>
        <v>Marrocos</v>
      </c>
      <c r="P32" s="3"/>
      <c r="Q32" s="3" t="b">
        <f t="shared" si="5"/>
        <v>0</v>
      </c>
      <c r="R32" s="3" t="b">
        <f t="shared" si="6"/>
        <v>0</v>
      </c>
      <c r="S32" s="3" t="b">
        <f t="shared" si="7"/>
        <v>0</v>
      </c>
      <c r="T32" s="3" t="b">
        <f t="shared" si="8"/>
        <v>1</v>
      </c>
      <c r="U32" s="3" t="b">
        <f t="shared" si="9"/>
        <v>0</v>
      </c>
      <c r="V32" s="3"/>
      <c r="W32" s="3" cm="1">
        <f t="array" ref="W32">IF(OR(J32="Brasil",N32="Brasil"),2*_xlfn.IFS(Q32=TRUE,6,R32=TRUE,4,AND(S32=TRUE,T32=FALSE),3,T32=TRUE,2,U32=TRUE,0),_xlfn.IFS(Q32=TRUE,6,R32=TRUE,4,AND(S32=TRUE,T32=FALSE),3,T32=TRUE,2,U32=TRUE,0))</f>
        <v>2</v>
      </c>
      <c r="X32" s="3"/>
      <c r="Y32" s="3"/>
    </row>
    <row r="33" spans="1:25" ht="14.25" customHeight="1" x14ac:dyDescent="0.3">
      <c r="A33" s="3">
        <f>'Tabela de Jogos'!A33</f>
        <v>31</v>
      </c>
      <c r="B33" s="3" t="str">
        <f>'Tabela de Jogos'!B33</f>
        <v>Brasil</v>
      </c>
      <c r="C33" s="3">
        <f>'Tabela de Jogos'!C33</f>
        <v>3</v>
      </c>
      <c r="D33" s="3" t="str">
        <f>'Tabela de Jogos'!D33</f>
        <v>x</v>
      </c>
      <c r="E33" s="3">
        <f>'Tabela de Jogos'!E33</f>
        <v>0</v>
      </c>
      <c r="F33" s="3" t="str">
        <f>'Tabela de Jogos'!F33</f>
        <v>Haiti</v>
      </c>
      <c r="G33" s="3" t="str">
        <f>'Tabela de Jogos'!G33</f>
        <v>Brasil</v>
      </c>
      <c r="H33" s="3"/>
      <c r="I33" s="3">
        <f t="shared" ref="I33:J33" si="39">A33</f>
        <v>31</v>
      </c>
      <c r="J33" s="3" t="str">
        <f t="shared" si="39"/>
        <v>Brasil</v>
      </c>
      <c r="K33" s="3">
        <v>3</v>
      </c>
      <c r="L33" s="3" t="str">
        <f t="shared" si="2"/>
        <v>x</v>
      </c>
      <c r="M33" s="3">
        <v>1</v>
      </c>
      <c r="N33" s="3" t="str">
        <f t="shared" si="3"/>
        <v>Haiti</v>
      </c>
      <c r="O33" s="3" t="str">
        <f t="shared" si="4"/>
        <v>Brasil</v>
      </c>
      <c r="P33" s="3"/>
      <c r="Q33" s="3" t="b">
        <f t="shared" si="5"/>
        <v>0</v>
      </c>
      <c r="R33" s="3" t="b">
        <f t="shared" si="6"/>
        <v>1</v>
      </c>
      <c r="S33" s="3" t="b">
        <f t="shared" si="7"/>
        <v>0</v>
      </c>
      <c r="T33" s="3" t="b">
        <f t="shared" si="8"/>
        <v>0</v>
      </c>
      <c r="U33" s="3" t="b">
        <f t="shared" si="9"/>
        <v>0</v>
      </c>
      <c r="V33" s="3"/>
      <c r="W33" s="3" cm="1">
        <f t="array" ref="W33">IF(OR(J33="Brasil",N33="Brasil"),2*_xlfn.IFS(Q33=TRUE,6,R33=TRUE,4,AND(S33=TRUE,T33=FALSE),3,T33=TRUE,2,U33=TRUE,0),_xlfn.IFS(Q33=TRUE,6,R33=TRUE,4,AND(S33=TRUE,T33=FALSE),3,T33=TRUE,2,U33=TRUE,0))</f>
        <v>8</v>
      </c>
      <c r="X33" s="3"/>
      <c r="Y33" s="3"/>
    </row>
    <row r="34" spans="1:25" ht="14.25" customHeight="1" x14ac:dyDescent="0.3">
      <c r="A34" s="3">
        <f>'Tabela de Jogos'!A34</f>
        <v>32</v>
      </c>
      <c r="B34" s="3" t="str">
        <f>'Tabela de Jogos'!B34</f>
        <v>Turquia</v>
      </c>
      <c r="C34" s="3">
        <f>'Tabela de Jogos'!C34</f>
        <v>0</v>
      </c>
      <c r="D34" s="3" t="str">
        <f>'Tabela de Jogos'!D34</f>
        <v>x</v>
      </c>
      <c r="E34" s="3">
        <f>'Tabela de Jogos'!E34</f>
        <v>1</v>
      </c>
      <c r="F34" s="3" t="str">
        <f>'Tabela de Jogos'!F34</f>
        <v>Paraguai</v>
      </c>
      <c r="G34" s="3" t="str">
        <f>'Tabela de Jogos'!G34</f>
        <v>Paraguai</v>
      </c>
      <c r="H34" s="3"/>
      <c r="I34" s="3">
        <f t="shared" ref="I34:J34" si="40">A34</f>
        <v>32</v>
      </c>
      <c r="J34" s="3" t="str">
        <f t="shared" si="40"/>
        <v>Turquia</v>
      </c>
      <c r="K34" s="3">
        <v>1</v>
      </c>
      <c r="L34" s="3" t="str">
        <f t="shared" si="2"/>
        <v>x</v>
      </c>
      <c r="M34" s="3">
        <v>1</v>
      </c>
      <c r="N34" s="3" t="str">
        <f t="shared" si="3"/>
        <v>Paraguai</v>
      </c>
      <c r="O34" s="3" t="str">
        <f t="shared" si="4"/>
        <v>Empate</v>
      </c>
      <c r="P34" s="3"/>
      <c r="Q34" s="3" t="b">
        <f t="shared" si="5"/>
        <v>0</v>
      </c>
      <c r="R34" s="3" t="b">
        <f t="shared" si="6"/>
        <v>0</v>
      </c>
      <c r="S34" s="3" t="b">
        <f t="shared" si="7"/>
        <v>0</v>
      </c>
      <c r="T34" s="3" t="b">
        <f t="shared" si="8"/>
        <v>0</v>
      </c>
      <c r="U34" s="3" t="b">
        <f t="shared" si="9"/>
        <v>1</v>
      </c>
      <c r="V34" s="3"/>
      <c r="W34" s="3" cm="1">
        <f t="array" ref="W34">IF(OR(J34="Brasil",N34="Brasil"),2*_xlfn.IFS(Q34=TRUE,6,R34=TRUE,4,AND(S34=TRUE,T34=FALSE),3,T34=TRUE,2,U34=TRUE,0),_xlfn.IFS(Q34=TRUE,6,R34=TRUE,4,AND(S34=TRUE,T34=FALSE),3,T34=TRUE,2,U34=TRUE,0))</f>
        <v>0</v>
      </c>
      <c r="X34" s="3"/>
      <c r="Y34" s="3"/>
    </row>
    <row r="35" spans="1:25" ht="14.25" customHeight="1" x14ac:dyDescent="0.3">
      <c r="A35" s="3">
        <f>'Tabela de Jogos'!A35</f>
        <v>33</v>
      </c>
      <c r="B35" s="3" t="str">
        <f>'Tabela de Jogos'!B35</f>
        <v>Holanda</v>
      </c>
      <c r="C35" s="3">
        <f>'Tabela de Jogos'!C35</f>
        <v>5</v>
      </c>
      <c r="D35" s="3" t="str">
        <f>'Tabela de Jogos'!D35</f>
        <v>x</v>
      </c>
      <c r="E35" s="3">
        <f>'Tabela de Jogos'!E35</f>
        <v>1</v>
      </c>
      <c r="F35" s="3" t="str">
        <f>'Tabela de Jogos'!F35</f>
        <v>Suécia</v>
      </c>
      <c r="G35" s="3" t="str">
        <f>'Tabela de Jogos'!G35</f>
        <v>Holanda</v>
      </c>
      <c r="H35" s="3"/>
      <c r="I35" s="3">
        <f t="shared" ref="I35:J35" si="41">A35</f>
        <v>33</v>
      </c>
      <c r="J35" s="3" t="str">
        <f t="shared" si="41"/>
        <v>Holanda</v>
      </c>
      <c r="K35" s="3">
        <v>2</v>
      </c>
      <c r="L35" s="3" t="str">
        <f t="shared" si="2"/>
        <v>x</v>
      </c>
      <c r="M35" s="3">
        <v>3</v>
      </c>
      <c r="N35" s="3" t="str">
        <f t="shared" si="3"/>
        <v>Suécia</v>
      </c>
      <c r="O35" s="3" t="str">
        <f t="shared" si="4"/>
        <v>Suécia</v>
      </c>
      <c r="P35" s="3"/>
      <c r="Q35" s="3" t="b">
        <f t="shared" si="5"/>
        <v>0</v>
      </c>
      <c r="R35" s="3" t="b">
        <f t="shared" si="6"/>
        <v>0</v>
      </c>
      <c r="S35" s="3" t="b">
        <f t="shared" si="7"/>
        <v>0</v>
      </c>
      <c r="T35" s="3" t="b">
        <f t="shared" si="8"/>
        <v>0</v>
      </c>
      <c r="U35" s="3" t="b">
        <f t="shared" si="9"/>
        <v>1</v>
      </c>
      <c r="V35" s="3"/>
      <c r="W35" s="3" cm="1">
        <f t="array" ref="W35">IF(OR(J35="Brasil",N35="Brasil"),2*_xlfn.IFS(Q35=TRUE,6,R35=TRUE,4,AND(S35=TRUE,T35=FALSE),3,T35=TRUE,2,U35=TRUE,0),_xlfn.IFS(Q35=TRUE,6,R35=TRUE,4,AND(S35=TRUE,T35=FALSE),3,T35=TRUE,2,U35=TRUE,0))</f>
        <v>0</v>
      </c>
      <c r="X35" s="3"/>
      <c r="Y35" s="3"/>
    </row>
    <row r="36" spans="1:25" ht="14.25" customHeight="1" x14ac:dyDescent="0.3">
      <c r="A36" s="3">
        <f>'Tabela de Jogos'!A36</f>
        <v>34</v>
      </c>
      <c r="B36" s="3" t="str">
        <f>'Tabela de Jogos'!B36</f>
        <v>Alemanha</v>
      </c>
      <c r="C36" s="3">
        <f>'Tabela de Jogos'!C36</f>
        <v>2</v>
      </c>
      <c r="D36" s="3" t="str">
        <f>'Tabela de Jogos'!D36</f>
        <v>x</v>
      </c>
      <c r="E36" s="3">
        <f>'Tabela de Jogos'!E36</f>
        <v>1</v>
      </c>
      <c r="F36" s="3" t="str">
        <f>'Tabela de Jogos'!F36</f>
        <v>Costa do Marfim</v>
      </c>
      <c r="G36" s="3" t="str">
        <f>'Tabela de Jogos'!G36</f>
        <v>Alemanha</v>
      </c>
      <c r="H36" s="3"/>
      <c r="I36" s="3">
        <f t="shared" ref="I36:J36" si="42">A36</f>
        <v>34</v>
      </c>
      <c r="J36" s="3" t="str">
        <f t="shared" si="42"/>
        <v>Alemanha</v>
      </c>
      <c r="K36" s="3">
        <v>6</v>
      </c>
      <c r="L36" s="3" t="str">
        <f t="shared" si="2"/>
        <v>x</v>
      </c>
      <c r="M36" s="3">
        <v>0</v>
      </c>
      <c r="N36" s="3" t="str">
        <f t="shared" si="3"/>
        <v>Costa do Marfim</v>
      </c>
      <c r="O36" s="3" t="str">
        <f t="shared" si="4"/>
        <v>Alemanha</v>
      </c>
      <c r="P36" s="3"/>
      <c r="Q36" s="3" t="b">
        <f t="shared" si="5"/>
        <v>0</v>
      </c>
      <c r="R36" s="3" t="b">
        <f t="shared" si="6"/>
        <v>0</v>
      </c>
      <c r="S36" s="3" t="b">
        <f t="shared" si="7"/>
        <v>0</v>
      </c>
      <c r="T36" s="3" t="b">
        <f t="shared" si="8"/>
        <v>1</v>
      </c>
      <c r="U36" s="3" t="b">
        <f t="shared" si="9"/>
        <v>0</v>
      </c>
      <c r="V36" s="3"/>
      <c r="W36" s="3" cm="1">
        <f t="array" ref="W36">IF(OR(J36="Brasil",N36="Brasil"),2*_xlfn.IFS(Q36=TRUE,6,R36=TRUE,4,AND(S36=TRUE,T36=FALSE),3,T36=TRUE,2,U36=TRUE,0),_xlfn.IFS(Q36=TRUE,6,R36=TRUE,4,AND(S36=TRUE,T36=FALSE),3,T36=TRUE,2,U36=TRUE,0))</f>
        <v>2</v>
      </c>
      <c r="X36" s="3"/>
      <c r="Y36" s="3"/>
    </row>
    <row r="37" spans="1:25" ht="14.25" customHeight="1" x14ac:dyDescent="0.3">
      <c r="A37" s="3">
        <f>'Tabela de Jogos'!A37</f>
        <v>35</v>
      </c>
      <c r="B37" s="3" t="str">
        <f>'Tabela de Jogos'!B37</f>
        <v>Equador</v>
      </c>
      <c r="C37" s="3">
        <f>'Tabela de Jogos'!C37</f>
        <v>0</v>
      </c>
      <c r="D37" s="3" t="str">
        <f>'Tabela de Jogos'!D37</f>
        <v>x</v>
      </c>
      <c r="E37" s="3">
        <f>'Tabela de Jogos'!E37</f>
        <v>0</v>
      </c>
      <c r="F37" s="3" t="str">
        <f>'Tabela de Jogos'!F37</f>
        <v>Curaçao</v>
      </c>
      <c r="G37" s="3" t="str">
        <f>'Tabela de Jogos'!G37</f>
        <v>Empate</v>
      </c>
      <c r="H37" s="3"/>
      <c r="I37" s="3">
        <f t="shared" ref="I37:J37" si="43">A37</f>
        <v>35</v>
      </c>
      <c r="J37" s="3" t="str">
        <f t="shared" si="43"/>
        <v>Equador</v>
      </c>
      <c r="K37" s="3">
        <v>2</v>
      </c>
      <c r="L37" s="3" t="str">
        <f t="shared" si="2"/>
        <v>x</v>
      </c>
      <c r="M37" s="3">
        <v>1</v>
      </c>
      <c r="N37" s="3" t="str">
        <f t="shared" si="3"/>
        <v>Curaçao</v>
      </c>
      <c r="O37" s="3" t="str">
        <f t="shared" si="4"/>
        <v>Equador</v>
      </c>
      <c r="P37" s="3"/>
      <c r="Q37" s="3" t="b">
        <f t="shared" si="5"/>
        <v>0</v>
      </c>
      <c r="R37" s="3" t="b">
        <f t="shared" si="6"/>
        <v>0</v>
      </c>
      <c r="S37" s="3" t="b">
        <f t="shared" si="7"/>
        <v>0</v>
      </c>
      <c r="T37" s="3" t="b">
        <f t="shared" si="8"/>
        <v>0</v>
      </c>
      <c r="U37" s="3" t="b">
        <f t="shared" si="9"/>
        <v>1</v>
      </c>
      <c r="V37" s="3"/>
      <c r="W37" s="3" cm="1">
        <f t="array" ref="W37">IF(OR(J37="Brasil",N37="Brasil"),2*_xlfn.IFS(Q37=TRUE,6,R37=TRUE,4,AND(S37=TRUE,T37=FALSE),3,T37=TRUE,2,U37=TRUE,0),_xlfn.IFS(Q37=TRUE,6,R37=TRUE,4,AND(S37=TRUE,T37=FALSE),3,T37=TRUE,2,U37=TRUE,0))</f>
        <v>0</v>
      </c>
      <c r="X37" s="3"/>
      <c r="Y37" s="3"/>
    </row>
    <row r="38" spans="1:25" ht="14.25" customHeight="1" x14ac:dyDescent="0.3">
      <c r="A38" s="3">
        <f>'Tabela de Jogos'!A38</f>
        <v>36</v>
      </c>
      <c r="B38" s="3" t="str">
        <f>'Tabela de Jogos'!B38</f>
        <v>Tunísia</v>
      </c>
      <c r="C38" s="3">
        <f>'Tabela de Jogos'!C38</f>
        <v>0</v>
      </c>
      <c r="D38" s="3" t="str">
        <f>'Tabela de Jogos'!D38</f>
        <v>x</v>
      </c>
      <c r="E38" s="3">
        <f>'Tabela de Jogos'!E38</f>
        <v>4</v>
      </c>
      <c r="F38" s="3" t="str">
        <f>'Tabela de Jogos'!F38</f>
        <v>Japão</v>
      </c>
      <c r="G38" s="3" t="str">
        <f>'Tabela de Jogos'!G38</f>
        <v>Japão</v>
      </c>
      <c r="H38" s="3"/>
      <c r="I38" s="3">
        <f t="shared" ref="I38:J38" si="44">A38</f>
        <v>36</v>
      </c>
      <c r="J38" s="3" t="str">
        <f t="shared" si="44"/>
        <v>Tunísia</v>
      </c>
      <c r="K38" s="3">
        <v>0</v>
      </c>
      <c r="L38" s="3" t="str">
        <f t="shared" si="2"/>
        <v>x</v>
      </c>
      <c r="M38" s="3">
        <v>2</v>
      </c>
      <c r="N38" s="3" t="str">
        <f t="shared" si="3"/>
        <v>Japão</v>
      </c>
      <c r="O38" s="3" t="str">
        <f t="shared" si="4"/>
        <v>Japão</v>
      </c>
      <c r="P38" s="3"/>
      <c r="Q38" s="3" t="b">
        <f t="shared" si="5"/>
        <v>0</v>
      </c>
      <c r="R38" s="3" t="b">
        <f t="shared" si="6"/>
        <v>0</v>
      </c>
      <c r="S38" s="3" t="b">
        <f t="shared" si="7"/>
        <v>0</v>
      </c>
      <c r="T38" s="3" t="b">
        <f t="shared" si="8"/>
        <v>1</v>
      </c>
      <c r="U38" s="3" t="b">
        <f t="shared" si="9"/>
        <v>0</v>
      </c>
      <c r="V38" s="3"/>
      <c r="W38" s="3" cm="1">
        <f t="array" ref="W38">IF(OR(J38="Brasil",N38="Brasil"),2*_xlfn.IFS(Q38=TRUE,6,R38=TRUE,4,AND(S38=TRUE,T38=FALSE),3,T38=TRUE,2,U38=TRUE,0),_xlfn.IFS(Q38=TRUE,6,R38=TRUE,4,AND(S38=TRUE,T38=FALSE),3,T38=TRUE,2,U38=TRUE,0))</f>
        <v>2</v>
      </c>
      <c r="X38" s="3"/>
      <c r="Y38" s="3"/>
    </row>
    <row r="39" spans="1:25" ht="14.25" customHeight="1" x14ac:dyDescent="0.3">
      <c r="A39" s="3">
        <f>'Tabela de Jogos'!A39</f>
        <v>37</v>
      </c>
      <c r="B39" s="3" t="str">
        <f>'Tabela de Jogos'!B39</f>
        <v>Espanha</v>
      </c>
      <c r="C39" s="3">
        <f>'Tabela de Jogos'!C39</f>
        <v>4</v>
      </c>
      <c r="D39" s="3" t="str">
        <f>'Tabela de Jogos'!D39</f>
        <v>x</v>
      </c>
      <c r="E39" s="3">
        <f>'Tabela de Jogos'!E39</f>
        <v>0</v>
      </c>
      <c r="F39" s="3" t="str">
        <f>'Tabela de Jogos'!F39</f>
        <v>Arábia Saudita</v>
      </c>
      <c r="G39" s="3" t="str">
        <f>'Tabela de Jogos'!G39</f>
        <v>Espanha</v>
      </c>
      <c r="H39" s="3"/>
      <c r="I39" s="3">
        <f t="shared" ref="I39:J39" si="45">A39</f>
        <v>37</v>
      </c>
      <c r="J39" s="3" t="str">
        <f t="shared" si="45"/>
        <v>Espanha</v>
      </c>
      <c r="K39" s="3">
        <v>3</v>
      </c>
      <c r="L39" s="3" t="str">
        <f t="shared" si="2"/>
        <v>x</v>
      </c>
      <c r="M39" s="3">
        <v>0</v>
      </c>
      <c r="N39" s="3" t="str">
        <f t="shared" si="3"/>
        <v>Arábia Saudita</v>
      </c>
      <c r="O39" s="3" t="str">
        <f t="shared" si="4"/>
        <v>Espanha</v>
      </c>
      <c r="P39" s="3"/>
      <c r="Q39" s="3" t="b">
        <f t="shared" si="5"/>
        <v>0</v>
      </c>
      <c r="R39" s="3" t="b">
        <f t="shared" si="6"/>
        <v>0</v>
      </c>
      <c r="S39" s="3" t="b">
        <f t="shared" si="7"/>
        <v>0</v>
      </c>
      <c r="T39" s="3" t="b">
        <f t="shared" si="8"/>
        <v>1</v>
      </c>
      <c r="U39" s="3" t="b">
        <f t="shared" si="9"/>
        <v>0</v>
      </c>
      <c r="V39" s="3"/>
      <c r="W39" s="3" cm="1">
        <f t="array" ref="W39">IF(OR(J39="Brasil",N39="Brasil"),2*_xlfn.IFS(Q39=TRUE,6,R39=TRUE,4,AND(S39=TRUE,T39=FALSE),3,T39=TRUE,2,U39=TRUE,0),_xlfn.IFS(Q39=TRUE,6,R39=TRUE,4,AND(S39=TRUE,T39=FALSE),3,T39=TRUE,2,U39=TRUE,0))</f>
        <v>2</v>
      </c>
      <c r="X39" s="3"/>
      <c r="Y39" s="3"/>
    </row>
    <row r="40" spans="1:25" ht="14.25" customHeight="1" x14ac:dyDescent="0.3">
      <c r="A40" s="3">
        <f>'Tabela de Jogos'!A40</f>
        <v>38</v>
      </c>
      <c r="B40" s="3" t="str">
        <f>'Tabela de Jogos'!B40</f>
        <v>Bélgica</v>
      </c>
      <c r="C40" s="3">
        <f>'Tabela de Jogos'!C40</f>
        <v>0</v>
      </c>
      <c r="D40" s="3" t="str">
        <f>'Tabela de Jogos'!D40</f>
        <v>x</v>
      </c>
      <c r="E40" s="3">
        <f>'Tabela de Jogos'!E40</f>
        <v>0</v>
      </c>
      <c r="F40" s="3" t="str">
        <f>'Tabela de Jogos'!F40</f>
        <v>Irã</v>
      </c>
      <c r="G40" s="3" t="str">
        <f>'Tabela de Jogos'!G40</f>
        <v>Empate</v>
      </c>
      <c r="H40" s="3"/>
      <c r="I40" s="3">
        <f t="shared" ref="I40:J40" si="46">A40</f>
        <v>38</v>
      </c>
      <c r="J40" s="3" t="str">
        <f t="shared" si="46"/>
        <v>Bélgica</v>
      </c>
      <c r="K40" s="3">
        <v>3</v>
      </c>
      <c r="L40" s="3" t="str">
        <f t="shared" si="2"/>
        <v>x</v>
      </c>
      <c r="M40" s="3">
        <v>1</v>
      </c>
      <c r="N40" s="3" t="str">
        <f t="shared" si="3"/>
        <v>Irã</v>
      </c>
      <c r="O40" s="3" t="str">
        <f t="shared" si="4"/>
        <v>Bélgica</v>
      </c>
      <c r="P40" s="3"/>
      <c r="Q40" s="3" t="b">
        <f t="shared" si="5"/>
        <v>0</v>
      </c>
      <c r="R40" s="3" t="b">
        <f t="shared" si="6"/>
        <v>0</v>
      </c>
      <c r="S40" s="3" t="b">
        <f t="shared" si="7"/>
        <v>0</v>
      </c>
      <c r="T40" s="3" t="b">
        <f t="shared" si="8"/>
        <v>0</v>
      </c>
      <c r="U40" s="3" t="b">
        <f t="shared" si="9"/>
        <v>1</v>
      </c>
      <c r="V40" s="3"/>
      <c r="W40" s="3" cm="1">
        <f t="array" ref="W40">IF(OR(J40="Brasil",N40="Brasil"),2*_xlfn.IFS(Q40=TRUE,6,R40=TRUE,4,AND(S40=TRUE,T40=FALSE),3,T40=TRUE,2,U40=TRUE,0),_xlfn.IFS(Q40=TRUE,6,R40=TRUE,4,AND(S40=TRUE,T40=FALSE),3,T40=TRUE,2,U40=TRUE,0))</f>
        <v>0</v>
      </c>
      <c r="X40" s="3"/>
      <c r="Y40" s="3"/>
    </row>
    <row r="41" spans="1:25" ht="14.25" customHeight="1" x14ac:dyDescent="0.3">
      <c r="A41" s="3">
        <f>'Tabela de Jogos'!A41</f>
        <v>39</v>
      </c>
      <c r="B41" s="3" t="str">
        <f>'Tabela de Jogos'!B41</f>
        <v>Uruguai</v>
      </c>
      <c r="C41" s="3">
        <f>'Tabela de Jogos'!C41</f>
        <v>2</v>
      </c>
      <c r="D41" s="3" t="str">
        <f>'Tabela de Jogos'!D41</f>
        <v>x</v>
      </c>
      <c r="E41" s="3">
        <f>'Tabela de Jogos'!E41</f>
        <v>2</v>
      </c>
      <c r="F41" s="3" t="str">
        <f>'Tabela de Jogos'!F41</f>
        <v>Cabo Verde</v>
      </c>
      <c r="G41" s="3" t="str">
        <f>'Tabela de Jogos'!G41</f>
        <v>Empate</v>
      </c>
      <c r="H41" s="3"/>
      <c r="I41" s="3">
        <f t="shared" ref="I41:J41" si="47">A41</f>
        <v>39</v>
      </c>
      <c r="J41" s="3" t="str">
        <f t="shared" si="47"/>
        <v>Uruguai</v>
      </c>
      <c r="K41" s="3">
        <v>2</v>
      </c>
      <c r="L41" s="3" t="str">
        <f t="shared" si="2"/>
        <v>x</v>
      </c>
      <c r="M41" s="3">
        <v>2</v>
      </c>
      <c r="N41" s="3" t="str">
        <f t="shared" si="3"/>
        <v>Cabo Verde</v>
      </c>
      <c r="O41" s="3" t="str">
        <f t="shared" si="4"/>
        <v>Empate</v>
      </c>
      <c r="P41" s="3"/>
      <c r="Q41" s="3" t="b">
        <f t="shared" si="5"/>
        <v>1</v>
      </c>
      <c r="R41" s="3" t="b">
        <f t="shared" si="6"/>
        <v>0</v>
      </c>
      <c r="S41" s="3" t="b">
        <f t="shared" si="7"/>
        <v>0</v>
      </c>
      <c r="T41" s="3" t="b">
        <f t="shared" si="8"/>
        <v>0</v>
      </c>
      <c r="U41" s="3" t="b">
        <f t="shared" si="9"/>
        <v>0</v>
      </c>
      <c r="V41" s="3"/>
      <c r="W41" s="3" cm="1">
        <f t="array" ref="W41">IF(OR(J41="Brasil",N41="Brasil"),2*_xlfn.IFS(Q41=TRUE,6,R41=TRUE,4,AND(S41=TRUE,T41=FALSE),3,T41=TRUE,2,U41=TRUE,0),_xlfn.IFS(Q41=TRUE,6,R41=TRUE,4,AND(S41=TRUE,T41=FALSE),3,T41=TRUE,2,U41=TRUE,0))</f>
        <v>6</v>
      </c>
      <c r="X41" s="3"/>
      <c r="Y41" s="3"/>
    </row>
    <row r="42" spans="1:25" ht="14.25" customHeight="1" x14ac:dyDescent="0.3">
      <c r="A42" s="3">
        <f>'Tabela de Jogos'!A42</f>
        <v>40</v>
      </c>
      <c r="B42" s="3" t="str">
        <f>'Tabela de Jogos'!B42</f>
        <v>Nova Zelândia</v>
      </c>
      <c r="C42" s="3">
        <f>'Tabela de Jogos'!C42</f>
        <v>1</v>
      </c>
      <c r="D42" s="3" t="str">
        <f>'Tabela de Jogos'!D42</f>
        <v>x</v>
      </c>
      <c r="E42" s="3">
        <f>'Tabela de Jogos'!E42</f>
        <v>3</v>
      </c>
      <c r="F42" s="3" t="str">
        <f>'Tabela de Jogos'!F42</f>
        <v>Egito</v>
      </c>
      <c r="G42" s="3" t="str">
        <f>'Tabela de Jogos'!G42</f>
        <v>Egito</v>
      </c>
      <c r="H42" s="3"/>
      <c r="I42" s="3">
        <f t="shared" ref="I42:J42" si="48">A42</f>
        <v>40</v>
      </c>
      <c r="J42" s="3" t="str">
        <f t="shared" si="48"/>
        <v>Nova Zelândia</v>
      </c>
      <c r="K42" s="3">
        <v>1</v>
      </c>
      <c r="L42" s="3" t="str">
        <f t="shared" si="2"/>
        <v>x</v>
      </c>
      <c r="M42" s="3">
        <v>2</v>
      </c>
      <c r="N42" s="3" t="str">
        <f t="shared" si="3"/>
        <v>Egito</v>
      </c>
      <c r="O42" s="3" t="str">
        <f t="shared" si="4"/>
        <v>Egito</v>
      </c>
      <c r="P42" s="3"/>
      <c r="Q42" s="3" t="b">
        <f t="shared" si="5"/>
        <v>0</v>
      </c>
      <c r="R42" s="3" t="b">
        <f t="shared" si="6"/>
        <v>0</v>
      </c>
      <c r="S42" s="3" t="b">
        <f t="shared" si="7"/>
        <v>0</v>
      </c>
      <c r="T42" s="3" t="b">
        <f t="shared" si="8"/>
        <v>1</v>
      </c>
      <c r="U42" s="3" t="b">
        <f t="shared" si="9"/>
        <v>0</v>
      </c>
      <c r="V42" s="3"/>
      <c r="W42" s="3" cm="1">
        <f t="array" ref="W42">IF(OR(J42="Brasil",N42="Brasil"),2*_xlfn.IFS(Q42=TRUE,6,R42=TRUE,4,AND(S42=TRUE,T42=FALSE),3,T42=TRUE,2,U42=TRUE,0),_xlfn.IFS(Q42=TRUE,6,R42=TRUE,4,AND(S42=TRUE,T42=FALSE),3,T42=TRUE,2,U42=TRUE,0))</f>
        <v>2</v>
      </c>
      <c r="X42" s="3"/>
      <c r="Y42" s="3"/>
    </row>
    <row r="43" spans="1:25" ht="14.25" customHeight="1" x14ac:dyDescent="0.3">
      <c r="A43" s="3">
        <f>'Tabela de Jogos'!A43</f>
        <v>41</v>
      </c>
      <c r="B43" s="3" t="str">
        <f>'Tabela de Jogos'!B43</f>
        <v>Argentina</v>
      </c>
      <c r="C43" s="3">
        <f>'Tabela de Jogos'!C43</f>
        <v>2</v>
      </c>
      <c r="D43" s="3" t="str">
        <f>'Tabela de Jogos'!D43</f>
        <v>x</v>
      </c>
      <c r="E43" s="3">
        <f>'Tabela de Jogos'!E43</f>
        <v>0</v>
      </c>
      <c r="F43" s="3" t="str">
        <f>'Tabela de Jogos'!F43</f>
        <v>Áustria</v>
      </c>
      <c r="G43" s="3" t="str">
        <f>'Tabela de Jogos'!G43</f>
        <v>Argentina</v>
      </c>
      <c r="H43" s="3"/>
      <c r="I43" s="3">
        <f t="shared" ref="I43:J43" si="49">A43</f>
        <v>41</v>
      </c>
      <c r="J43" s="3" t="str">
        <f t="shared" si="49"/>
        <v>Argentina</v>
      </c>
      <c r="K43" s="3">
        <v>3</v>
      </c>
      <c r="L43" s="3" t="str">
        <f t="shared" si="2"/>
        <v>x</v>
      </c>
      <c r="M43" s="3">
        <v>1</v>
      </c>
      <c r="N43" s="3" t="str">
        <f t="shared" si="3"/>
        <v>Áustria</v>
      </c>
      <c r="O43" s="3" t="str">
        <f t="shared" si="4"/>
        <v>Argentina</v>
      </c>
      <c r="P43" s="3"/>
      <c r="Q43" s="3" t="b">
        <f t="shared" si="5"/>
        <v>0</v>
      </c>
      <c r="R43" s="3" t="b">
        <f t="shared" si="6"/>
        <v>0</v>
      </c>
      <c r="S43" s="3" t="b">
        <f t="shared" si="7"/>
        <v>1</v>
      </c>
      <c r="T43" s="3" t="b">
        <f t="shared" si="8"/>
        <v>0</v>
      </c>
      <c r="U43" s="3" t="b">
        <f t="shared" si="9"/>
        <v>0</v>
      </c>
      <c r="V43" s="3"/>
      <c r="W43" s="3" cm="1">
        <f t="array" ref="W43">IF(OR(J43="Brasil",N43="Brasil"),2*_xlfn.IFS(Q43=TRUE,6,R43=TRUE,4,AND(S43=TRUE,T43=FALSE),3,T43=TRUE,2,U43=TRUE,0),_xlfn.IFS(Q43=TRUE,6,R43=TRUE,4,AND(S43=TRUE,T43=FALSE),3,T43=TRUE,2,U43=TRUE,0))</f>
        <v>3</v>
      </c>
      <c r="X43" s="3"/>
      <c r="Y43" s="3"/>
    </row>
    <row r="44" spans="1:25" ht="14.25" customHeight="1" x14ac:dyDescent="0.3">
      <c r="A44" s="3">
        <f>'Tabela de Jogos'!A44</f>
        <v>42</v>
      </c>
      <c r="B44" s="3" t="str">
        <f>'Tabela de Jogos'!B44</f>
        <v>França</v>
      </c>
      <c r="C44" s="3">
        <f>'Tabela de Jogos'!C44</f>
        <v>3</v>
      </c>
      <c r="D44" s="3" t="str">
        <f>'Tabela de Jogos'!D44</f>
        <v>x</v>
      </c>
      <c r="E44" s="3">
        <f>'Tabela de Jogos'!E44</f>
        <v>0</v>
      </c>
      <c r="F44" s="3" t="str">
        <f>'Tabela de Jogos'!F44</f>
        <v>Iraque</v>
      </c>
      <c r="G44" s="3" t="str">
        <f>'Tabela de Jogos'!G44</f>
        <v>França</v>
      </c>
      <c r="H44" s="3"/>
      <c r="I44" s="3">
        <f t="shared" ref="I44:J44" si="50">A44</f>
        <v>42</v>
      </c>
      <c r="J44" s="3" t="str">
        <f t="shared" si="50"/>
        <v>França</v>
      </c>
      <c r="K44" s="3">
        <v>4</v>
      </c>
      <c r="L44" s="3" t="str">
        <f t="shared" si="2"/>
        <v>x</v>
      </c>
      <c r="M44" s="3">
        <v>0</v>
      </c>
      <c r="N44" s="3" t="str">
        <f t="shared" si="3"/>
        <v>Iraque</v>
      </c>
      <c r="O44" s="3" t="str">
        <f t="shared" si="4"/>
        <v>França</v>
      </c>
      <c r="P44" s="3"/>
      <c r="Q44" s="3" t="b">
        <f t="shared" si="5"/>
        <v>0</v>
      </c>
      <c r="R44" s="3" t="b">
        <f t="shared" si="6"/>
        <v>0</v>
      </c>
      <c r="S44" s="3" t="b">
        <f t="shared" si="7"/>
        <v>0</v>
      </c>
      <c r="T44" s="3" t="b">
        <f t="shared" si="8"/>
        <v>1</v>
      </c>
      <c r="U44" s="3" t="b">
        <f t="shared" si="9"/>
        <v>0</v>
      </c>
      <c r="V44" s="3"/>
      <c r="W44" s="3" cm="1">
        <f t="array" ref="W44">IF(OR(J44="Brasil",N44="Brasil"),2*_xlfn.IFS(Q44=TRUE,6,R44=TRUE,4,AND(S44=TRUE,T44=FALSE),3,T44=TRUE,2,U44=TRUE,0),_xlfn.IFS(Q44=TRUE,6,R44=TRUE,4,AND(S44=TRUE,T44=FALSE),3,T44=TRUE,2,U44=TRUE,0))</f>
        <v>2</v>
      </c>
      <c r="X44" s="3"/>
      <c r="Y44" s="3"/>
    </row>
    <row r="45" spans="1:25" ht="14.25" customHeight="1" x14ac:dyDescent="0.3">
      <c r="A45" s="3">
        <f>'Tabela de Jogos'!A45</f>
        <v>43</v>
      </c>
      <c r="B45" s="3" t="str">
        <f>'Tabela de Jogos'!B45</f>
        <v>Noruega</v>
      </c>
      <c r="C45" s="3">
        <f>'Tabela de Jogos'!C45</f>
        <v>3</v>
      </c>
      <c r="D45" s="3" t="str">
        <f>'Tabela de Jogos'!D45</f>
        <v>x</v>
      </c>
      <c r="E45" s="3">
        <f>'Tabela de Jogos'!E45</f>
        <v>2</v>
      </c>
      <c r="F45" s="3" t="str">
        <f>'Tabela de Jogos'!F45</f>
        <v>Senegal</v>
      </c>
      <c r="G45" s="3" t="str">
        <f>'Tabela de Jogos'!G45</f>
        <v>Noruega</v>
      </c>
      <c r="H45" s="3"/>
      <c r="I45" s="3">
        <f t="shared" ref="I45:J45" si="51">A45</f>
        <v>43</v>
      </c>
      <c r="J45" s="3" t="str">
        <f t="shared" si="51"/>
        <v>Noruega</v>
      </c>
      <c r="K45" s="3">
        <v>2</v>
      </c>
      <c r="L45" s="3" t="str">
        <f t="shared" si="2"/>
        <v>x</v>
      </c>
      <c r="M45" s="3">
        <v>1</v>
      </c>
      <c r="N45" s="3" t="str">
        <f t="shared" si="3"/>
        <v>Senegal</v>
      </c>
      <c r="O45" s="3" t="str">
        <f t="shared" si="4"/>
        <v>Noruega</v>
      </c>
      <c r="P45" s="3"/>
      <c r="Q45" s="3" t="b">
        <f t="shared" si="5"/>
        <v>0</v>
      </c>
      <c r="R45" s="3" t="b">
        <f t="shared" si="6"/>
        <v>0</v>
      </c>
      <c r="S45" s="3" t="b">
        <f t="shared" si="7"/>
        <v>1</v>
      </c>
      <c r="T45" s="3" t="b">
        <f t="shared" si="8"/>
        <v>0</v>
      </c>
      <c r="U45" s="3" t="b">
        <f t="shared" si="9"/>
        <v>0</v>
      </c>
      <c r="V45" s="3"/>
      <c r="W45" s="3" cm="1">
        <f t="array" ref="W45">IF(OR(J45="Brasil",N45="Brasil"),2*_xlfn.IFS(Q45=TRUE,6,R45=TRUE,4,AND(S45=TRUE,T45=FALSE),3,T45=TRUE,2,U45=TRUE,0),_xlfn.IFS(Q45=TRUE,6,R45=TRUE,4,AND(S45=TRUE,T45=FALSE),3,T45=TRUE,2,U45=TRUE,0))</f>
        <v>3</v>
      </c>
      <c r="X45" s="3"/>
      <c r="Y45" s="3"/>
    </row>
    <row r="46" spans="1:25" ht="14.25" customHeight="1" x14ac:dyDescent="0.3">
      <c r="A46" s="3">
        <f>'Tabela de Jogos'!A46</f>
        <v>44</v>
      </c>
      <c r="B46" s="3" t="str">
        <f>'Tabela de Jogos'!B46</f>
        <v>Jordânia</v>
      </c>
      <c r="C46" s="3">
        <f>'Tabela de Jogos'!C46</f>
        <v>1</v>
      </c>
      <c r="D46" s="3" t="str">
        <f>'Tabela de Jogos'!D46</f>
        <v>x</v>
      </c>
      <c r="E46" s="3">
        <f>'Tabela de Jogos'!E46</f>
        <v>2</v>
      </c>
      <c r="F46" s="3" t="str">
        <f>'Tabela de Jogos'!F46</f>
        <v>Argélia</v>
      </c>
      <c r="G46" s="3" t="str">
        <f>'Tabela de Jogos'!G46</f>
        <v>Argélia</v>
      </c>
      <c r="H46" s="3"/>
      <c r="I46" s="3">
        <f t="shared" ref="I46:J46" si="52">A46</f>
        <v>44</v>
      </c>
      <c r="J46" s="3" t="str">
        <f t="shared" si="52"/>
        <v>Jordânia</v>
      </c>
      <c r="K46" s="3">
        <v>1</v>
      </c>
      <c r="L46" s="3" t="str">
        <f t="shared" si="2"/>
        <v>x</v>
      </c>
      <c r="M46" s="3">
        <v>1</v>
      </c>
      <c r="N46" s="3" t="str">
        <f t="shared" si="3"/>
        <v>Argélia</v>
      </c>
      <c r="O46" s="3" t="str">
        <f t="shared" si="4"/>
        <v>Empate</v>
      </c>
      <c r="P46" s="3"/>
      <c r="Q46" s="3" t="b">
        <f t="shared" si="5"/>
        <v>0</v>
      </c>
      <c r="R46" s="3" t="b">
        <f t="shared" si="6"/>
        <v>0</v>
      </c>
      <c r="S46" s="3" t="b">
        <f t="shared" si="7"/>
        <v>0</v>
      </c>
      <c r="T46" s="3" t="b">
        <f t="shared" si="8"/>
        <v>0</v>
      </c>
      <c r="U46" s="3" t="b">
        <f t="shared" si="9"/>
        <v>1</v>
      </c>
      <c r="V46" s="3"/>
      <c r="W46" s="3" cm="1">
        <f t="array" ref="W46">IF(OR(J46="Brasil",N46="Brasil"),2*_xlfn.IFS(Q46=TRUE,6,R46=TRUE,4,AND(S46=TRUE,T46=FALSE),3,T46=TRUE,2,U46=TRUE,0),_xlfn.IFS(Q46=TRUE,6,R46=TRUE,4,AND(S46=TRUE,T46=FALSE),3,T46=TRUE,2,U46=TRUE,0))</f>
        <v>0</v>
      </c>
      <c r="X46" s="3"/>
      <c r="Y46" s="3"/>
    </row>
    <row r="47" spans="1:25" ht="14.25" customHeight="1" x14ac:dyDescent="0.3">
      <c r="A47" s="3">
        <f>'Tabela de Jogos'!A47</f>
        <v>45</v>
      </c>
      <c r="B47" s="3" t="str">
        <f>'Tabela de Jogos'!B47</f>
        <v>Portugal</v>
      </c>
      <c r="C47" s="3">
        <f>'Tabela de Jogos'!C47</f>
        <v>5</v>
      </c>
      <c r="D47" s="3" t="str">
        <f>'Tabela de Jogos'!D47</f>
        <v>x</v>
      </c>
      <c r="E47" s="3">
        <f>'Tabela de Jogos'!E47</f>
        <v>0</v>
      </c>
      <c r="F47" s="3" t="str">
        <f>'Tabela de Jogos'!F47</f>
        <v>Uzbequistão</v>
      </c>
      <c r="G47" s="3" t="str">
        <f>'Tabela de Jogos'!G47</f>
        <v>Portugal</v>
      </c>
      <c r="H47" s="3"/>
      <c r="I47" s="3">
        <f t="shared" ref="I47:J47" si="53">A47</f>
        <v>45</v>
      </c>
      <c r="J47" s="3" t="str">
        <f t="shared" si="53"/>
        <v>Portugal</v>
      </c>
      <c r="K47" s="3">
        <v>4</v>
      </c>
      <c r="L47" s="3" t="str">
        <f t="shared" si="2"/>
        <v>x</v>
      </c>
      <c r="M47" s="3">
        <v>1</v>
      </c>
      <c r="N47" s="3" t="str">
        <f t="shared" si="3"/>
        <v>Uzbequistão</v>
      </c>
      <c r="O47" s="3" t="str">
        <f t="shared" si="4"/>
        <v>Portugal</v>
      </c>
      <c r="P47" s="3"/>
      <c r="Q47" s="3" t="b">
        <f t="shared" si="5"/>
        <v>0</v>
      </c>
      <c r="R47" s="3" t="b">
        <f t="shared" si="6"/>
        <v>0</v>
      </c>
      <c r="S47" s="3" t="b">
        <f t="shared" si="7"/>
        <v>0</v>
      </c>
      <c r="T47" s="3" t="b">
        <f t="shared" si="8"/>
        <v>1</v>
      </c>
      <c r="U47" s="3" t="b">
        <f t="shared" si="9"/>
        <v>0</v>
      </c>
      <c r="V47" s="3"/>
      <c r="W47" s="3" cm="1">
        <f t="array" ref="W47">IF(OR(J47="Brasil",N47="Brasil"),2*_xlfn.IFS(Q47=TRUE,6,R47=TRUE,4,AND(S47=TRUE,T47=FALSE),3,T47=TRUE,2,U47=TRUE,0),_xlfn.IFS(Q47=TRUE,6,R47=TRUE,4,AND(S47=TRUE,T47=FALSE),3,T47=TRUE,2,U47=TRUE,0))</f>
        <v>2</v>
      </c>
      <c r="X47" s="3"/>
      <c r="Y47" s="3"/>
    </row>
    <row r="48" spans="1:25" ht="14.25" customHeight="1" x14ac:dyDescent="0.3">
      <c r="A48" s="3">
        <f>'Tabela de Jogos'!A48</f>
        <v>46</v>
      </c>
      <c r="B48" s="3" t="str">
        <f>'Tabela de Jogos'!B48</f>
        <v>Inglaterra</v>
      </c>
      <c r="C48" s="3">
        <f>'Tabela de Jogos'!C48</f>
        <v>0</v>
      </c>
      <c r="D48" s="3" t="str">
        <f>'Tabela de Jogos'!D48</f>
        <v>x</v>
      </c>
      <c r="E48" s="3">
        <f>'Tabela de Jogos'!E48</f>
        <v>0</v>
      </c>
      <c r="F48" s="3" t="str">
        <f>'Tabela de Jogos'!F48</f>
        <v>Gana</v>
      </c>
      <c r="G48" s="3" t="str">
        <f>'Tabela de Jogos'!G48</f>
        <v>Empate</v>
      </c>
      <c r="H48" s="3"/>
      <c r="I48" s="3">
        <f t="shared" ref="I48:J48" si="54">A48</f>
        <v>46</v>
      </c>
      <c r="J48" s="3" t="str">
        <f t="shared" si="54"/>
        <v>Inglaterra</v>
      </c>
      <c r="K48" s="3">
        <v>3</v>
      </c>
      <c r="L48" s="3" t="str">
        <f t="shared" si="2"/>
        <v>x</v>
      </c>
      <c r="M48" s="3">
        <v>1</v>
      </c>
      <c r="N48" s="3" t="str">
        <f t="shared" si="3"/>
        <v>Gana</v>
      </c>
      <c r="O48" s="3" t="str">
        <f t="shared" si="4"/>
        <v>Inglaterra</v>
      </c>
      <c r="P48" s="3"/>
      <c r="Q48" s="3" t="b">
        <f t="shared" si="5"/>
        <v>0</v>
      </c>
      <c r="R48" s="3" t="b">
        <f t="shared" si="6"/>
        <v>0</v>
      </c>
      <c r="S48" s="3" t="b">
        <f t="shared" si="7"/>
        <v>0</v>
      </c>
      <c r="T48" s="3" t="b">
        <f t="shared" si="8"/>
        <v>0</v>
      </c>
      <c r="U48" s="3" t="b">
        <f t="shared" si="9"/>
        <v>1</v>
      </c>
      <c r="V48" s="3"/>
      <c r="W48" s="3" cm="1">
        <f t="array" ref="W48">IF(OR(J48="Brasil",N48="Brasil"),2*_xlfn.IFS(Q48=TRUE,6,R48=TRUE,4,AND(S48=TRUE,T48=FALSE),3,T48=TRUE,2,U48=TRUE,0),_xlfn.IFS(Q48=TRUE,6,R48=TRUE,4,AND(S48=TRUE,T48=FALSE),3,T48=TRUE,2,U48=TRUE,0))</f>
        <v>0</v>
      </c>
      <c r="X48" s="3"/>
      <c r="Y48" s="3"/>
    </row>
    <row r="49" spans="1:25" ht="14.25" customHeight="1" x14ac:dyDescent="0.3">
      <c r="A49" s="3">
        <f>'Tabela de Jogos'!A49</f>
        <v>47</v>
      </c>
      <c r="B49" s="3" t="str">
        <f>'Tabela de Jogos'!B49</f>
        <v>Panamá</v>
      </c>
      <c r="C49" s="3">
        <f>'Tabela de Jogos'!C49</f>
        <v>0</v>
      </c>
      <c r="D49" s="3" t="str">
        <f>'Tabela de Jogos'!D49</f>
        <v>x</v>
      </c>
      <c r="E49" s="3">
        <f>'Tabela de Jogos'!E49</f>
        <v>1</v>
      </c>
      <c r="F49" s="3" t="str">
        <f>'Tabela de Jogos'!F49</f>
        <v>Croácia</v>
      </c>
      <c r="G49" s="3" t="str">
        <f>'Tabela de Jogos'!G49</f>
        <v>Croácia</v>
      </c>
      <c r="H49" s="3"/>
      <c r="I49" s="3">
        <f t="shared" ref="I49:J49" si="55">A49</f>
        <v>47</v>
      </c>
      <c r="J49" s="3" t="str">
        <f t="shared" si="55"/>
        <v>Panamá</v>
      </c>
      <c r="K49" s="3">
        <v>1</v>
      </c>
      <c r="L49" s="3" t="str">
        <f t="shared" si="2"/>
        <v>x</v>
      </c>
      <c r="M49" s="3">
        <v>2</v>
      </c>
      <c r="N49" s="3" t="str">
        <f t="shared" si="3"/>
        <v>Croácia</v>
      </c>
      <c r="O49" s="3" t="str">
        <f t="shared" si="4"/>
        <v>Croácia</v>
      </c>
      <c r="P49" s="3"/>
      <c r="Q49" s="3" t="b">
        <f t="shared" si="5"/>
        <v>0</v>
      </c>
      <c r="R49" s="3" t="b">
        <f t="shared" si="6"/>
        <v>0</v>
      </c>
      <c r="S49" s="3" t="b">
        <f t="shared" si="7"/>
        <v>1</v>
      </c>
      <c r="T49" s="3" t="b">
        <f t="shared" si="8"/>
        <v>0</v>
      </c>
      <c r="U49" s="3" t="b">
        <f t="shared" si="9"/>
        <v>0</v>
      </c>
      <c r="V49" s="3"/>
      <c r="W49" s="3" cm="1">
        <f t="array" ref="W49">IF(OR(J49="Brasil",N49="Brasil"),2*_xlfn.IFS(Q49=TRUE,6,R49=TRUE,4,AND(S49=TRUE,T49=FALSE),3,T49=TRUE,2,U49=TRUE,0),_xlfn.IFS(Q49=TRUE,6,R49=TRUE,4,AND(S49=TRUE,T49=FALSE),3,T49=TRUE,2,U49=TRUE,0))</f>
        <v>3</v>
      </c>
      <c r="X49" s="3"/>
      <c r="Y49" s="3"/>
    </row>
    <row r="50" spans="1:25" ht="14.25" customHeight="1" x14ac:dyDescent="0.3">
      <c r="A50" s="3">
        <f>'Tabela de Jogos'!A50</f>
        <v>48</v>
      </c>
      <c r="B50" s="3" t="str">
        <f>'Tabela de Jogos'!B50</f>
        <v>Colômbia</v>
      </c>
      <c r="C50" s="3">
        <f>'Tabela de Jogos'!C50</f>
        <v>1</v>
      </c>
      <c r="D50" s="3" t="str">
        <f>'Tabela de Jogos'!D50</f>
        <v>x</v>
      </c>
      <c r="E50" s="3">
        <f>'Tabela de Jogos'!E50</f>
        <v>0</v>
      </c>
      <c r="F50" s="3" t="str">
        <f>'Tabela de Jogos'!F50</f>
        <v>RD Congo</v>
      </c>
      <c r="G50" s="3" t="str">
        <f>'Tabela de Jogos'!G50</f>
        <v>Colômbia</v>
      </c>
      <c r="H50" s="3"/>
      <c r="I50" s="3">
        <f t="shared" ref="I50:J50" si="56">A50</f>
        <v>48</v>
      </c>
      <c r="J50" s="3" t="str">
        <f t="shared" si="56"/>
        <v>Colômbia</v>
      </c>
      <c r="K50" s="3">
        <v>2</v>
      </c>
      <c r="L50" s="3" t="str">
        <f t="shared" si="2"/>
        <v>x</v>
      </c>
      <c r="M50" s="3">
        <v>0</v>
      </c>
      <c r="N50" s="3" t="str">
        <f t="shared" si="3"/>
        <v>RD Congo</v>
      </c>
      <c r="O50" s="3" t="str">
        <f t="shared" si="4"/>
        <v>Colômbia</v>
      </c>
      <c r="P50" s="3"/>
      <c r="Q50" s="3" t="b">
        <f t="shared" si="5"/>
        <v>0</v>
      </c>
      <c r="R50" s="3" t="b">
        <f t="shared" si="6"/>
        <v>0</v>
      </c>
      <c r="S50" s="3" t="b">
        <f t="shared" si="7"/>
        <v>0</v>
      </c>
      <c r="T50" s="3" t="b">
        <f t="shared" si="8"/>
        <v>1</v>
      </c>
      <c r="U50" s="3" t="b">
        <f t="shared" si="9"/>
        <v>0</v>
      </c>
      <c r="V50" s="3"/>
      <c r="W50" s="3" cm="1">
        <f t="array" ref="W50">IF(OR(J50="Brasil",N50="Brasil"),2*_xlfn.IFS(Q50=TRUE,6,R50=TRUE,4,AND(S50=TRUE,T50=FALSE),3,T50=TRUE,2,U50=TRUE,0),_xlfn.IFS(Q50=TRUE,6,R50=TRUE,4,AND(S50=TRUE,T50=FALSE),3,T50=TRUE,2,U50=TRUE,0))</f>
        <v>2</v>
      </c>
      <c r="X50" s="3"/>
      <c r="Y50" s="3"/>
    </row>
    <row r="51" spans="1:25" ht="14.25" customHeight="1" x14ac:dyDescent="0.3">
      <c r="A51" s="3">
        <f>'Tabela de Jogos'!A51</f>
        <v>49</v>
      </c>
      <c r="B51" s="3" t="str">
        <f>'Tabela de Jogos'!B51</f>
        <v>Suíça</v>
      </c>
      <c r="C51" s="3">
        <f>'Tabela de Jogos'!C51</f>
        <v>2</v>
      </c>
      <c r="D51" s="3" t="str">
        <f>'Tabela de Jogos'!D51</f>
        <v>x</v>
      </c>
      <c r="E51" s="3">
        <f>'Tabela de Jogos'!E51</f>
        <v>1</v>
      </c>
      <c r="F51" s="3" t="str">
        <f>'Tabela de Jogos'!F51</f>
        <v>Canadá</v>
      </c>
      <c r="G51" s="3" t="str">
        <f>'Tabela de Jogos'!G51</f>
        <v>Suíça</v>
      </c>
      <c r="H51" s="3"/>
      <c r="I51" s="3">
        <f t="shared" ref="I51:J51" si="57">A51</f>
        <v>49</v>
      </c>
      <c r="J51" s="3" t="str">
        <f t="shared" si="57"/>
        <v>Suíça</v>
      </c>
      <c r="K51" s="4">
        <v>1</v>
      </c>
      <c r="L51" s="3" t="str">
        <f t="shared" si="2"/>
        <v>x</v>
      </c>
      <c r="M51" s="4">
        <v>3</v>
      </c>
      <c r="N51" s="3" t="str">
        <f t="shared" si="3"/>
        <v>Canadá</v>
      </c>
      <c r="O51" s="3" t="str">
        <f t="shared" si="4"/>
        <v>Canadá</v>
      </c>
      <c r="P51" s="3"/>
      <c r="Q51" s="3" t="b">
        <f t="shared" si="5"/>
        <v>0</v>
      </c>
      <c r="R51" s="3" t="b">
        <f t="shared" si="6"/>
        <v>0</v>
      </c>
      <c r="S51" s="3" t="b">
        <f t="shared" si="7"/>
        <v>0</v>
      </c>
      <c r="T51" s="3" t="b">
        <f t="shared" si="8"/>
        <v>0</v>
      </c>
      <c r="U51" s="3" t="b">
        <f t="shared" si="9"/>
        <v>1</v>
      </c>
      <c r="V51" s="3"/>
      <c r="W51" s="3" cm="1">
        <f t="array" ref="W51">IF(OR(J51="Brasil",N51="Brasil"),2*_xlfn.IFS(Q51=TRUE,6,R51=TRUE,4,AND(S51=TRUE,T51=FALSE),3,T51=TRUE,2,U51=TRUE,0),_xlfn.IFS(Q51=TRUE,6,R51=TRUE,4,AND(S51=TRUE,T51=FALSE),3,T51=TRUE,2,U51=TRUE,0))</f>
        <v>0</v>
      </c>
      <c r="X51" s="3"/>
      <c r="Y51" s="3"/>
    </row>
    <row r="52" spans="1:25" ht="14.25" customHeight="1" x14ac:dyDescent="0.3">
      <c r="A52" s="3">
        <f>'Tabela de Jogos'!A52</f>
        <v>50</v>
      </c>
      <c r="B52" s="3" t="str">
        <f>'Tabela de Jogos'!B52</f>
        <v>Bósnia</v>
      </c>
      <c r="C52" s="3">
        <f>'Tabela de Jogos'!C52</f>
        <v>3</v>
      </c>
      <c r="D52" s="3" t="str">
        <f>'Tabela de Jogos'!D52</f>
        <v>x</v>
      </c>
      <c r="E52" s="3">
        <f>'Tabela de Jogos'!E52</f>
        <v>1</v>
      </c>
      <c r="F52" s="3" t="str">
        <f>'Tabela de Jogos'!F52</f>
        <v>Catar</v>
      </c>
      <c r="G52" s="3" t="str">
        <f>'Tabela de Jogos'!G52</f>
        <v>Bósnia</v>
      </c>
      <c r="H52" s="3"/>
      <c r="I52" s="3">
        <f t="shared" ref="I52:J52" si="58">A52</f>
        <v>50</v>
      </c>
      <c r="J52" s="3" t="str">
        <f t="shared" si="58"/>
        <v>Bósnia</v>
      </c>
      <c r="K52" s="4">
        <v>1</v>
      </c>
      <c r="L52" s="3" t="str">
        <f t="shared" si="2"/>
        <v>x</v>
      </c>
      <c r="M52" s="4">
        <v>1</v>
      </c>
      <c r="N52" s="3" t="str">
        <f t="shared" si="3"/>
        <v>Catar</v>
      </c>
      <c r="O52" s="3" t="str">
        <f t="shared" si="4"/>
        <v>Empate</v>
      </c>
      <c r="P52" s="3"/>
      <c r="Q52" s="3" t="b">
        <f t="shared" si="5"/>
        <v>0</v>
      </c>
      <c r="R52" s="3" t="b">
        <f t="shared" si="6"/>
        <v>0</v>
      </c>
      <c r="S52" s="3" t="b">
        <f t="shared" si="7"/>
        <v>0</v>
      </c>
      <c r="T52" s="3" t="b">
        <f t="shared" si="8"/>
        <v>0</v>
      </c>
      <c r="U52" s="3" t="b">
        <f t="shared" si="9"/>
        <v>1</v>
      </c>
      <c r="V52" s="3"/>
      <c r="W52" s="3" cm="1">
        <f t="array" ref="W52">IF(OR(J52="Brasil",N52="Brasil"),2*_xlfn.IFS(Q52=TRUE,6,R52=TRUE,4,AND(S52=TRUE,T52=FALSE),3,T52=TRUE,2,U52=TRUE,0),_xlfn.IFS(Q52=TRUE,6,R52=TRUE,4,AND(S52=TRUE,T52=FALSE),3,T52=TRUE,2,U52=TRUE,0))</f>
        <v>0</v>
      </c>
      <c r="X52" s="3"/>
      <c r="Y52" s="3"/>
    </row>
    <row r="53" spans="1:25" ht="14.25" customHeight="1" x14ac:dyDescent="0.3">
      <c r="A53" s="3">
        <f>'Tabela de Jogos'!A53</f>
        <v>51</v>
      </c>
      <c r="B53" s="3" t="str">
        <f>'Tabela de Jogos'!B53</f>
        <v>Marrocos</v>
      </c>
      <c r="C53" s="3">
        <f>'Tabela de Jogos'!C53</f>
        <v>4</v>
      </c>
      <c r="D53" s="3" t="str">
        <f>'Tabela de Jogos'!D53</f>
        <v>x</v>
      </c>
      <c r="E53" s="3">
        <f>'Tabela de Jogos'!E53</f>
        <v>2</v>
      </c>
      <c r="F53" s="3" t="str">
        <f>'Tabela de Jogos'!F53</f>
        <v>Haiti</v>
      </c>
      <c r="G53" s="3" t="str">
        <f>'Tabela de Jogos'!G53</f>
        <v>Marrocos</v>
      </c>
      <c r="H53" s="3"/>
      <c r="I53" s="3">
        <f t="shared" ref="I53:J53" si="59">A53</f>
        <v>51</v>
      </c>
      <c r="J53" s="3" t="str">
        <f t="shared" si="59"/>
        <v>Marrocos</v>
      </c>
      <c r="K53" s="4">
        <v>3</v>
      </c>
      <c r="L53" s="3" t="str">
        <f t="shared" si="2"/>
        <v>x</v>
      </c>
      <c r="M53" s="4">
        <v>1</v>
      </c>
      <c r="N53" s="3" t="str">
        <f t="shared" si="3"/>
        <v>Haiti</v>
      </c>
      <c r="O53" s="3" t="str">
        <f t="shared" si="4"/>
        <v>Marrocos</v>
      </c>
      <c r="P53" s="3"/>
      <c r="Q53" s="3" t="b">
        <f t="shared" si="5"/>
        <v>0</v>
      </c>
      <c r="R53" s="3" t="b">
        <f t="shared" si="6"/>
        <v>0</v>
      </c>
      <c r="S53" s="3" t="b">
        <f t="shared" si="7"/>
        <v>1</v>
      </c>
      <c r="T53" s="3" t="b">
        <f t="shared" si="8"/>
        <v>0</v>
      </c>
      <c r="U53" s="3" t="b">
        <f t="shared" si="9"/>
        <v>0</v>
      </c>
      <c r="V53" s="3"/>
      <c r="W53" s="3" cm="1">
        <f t="array" ref="W53">IF(OR(J53="Brasil",N53="Brasil"),2*_xlfn.IFS(Q53=TRUE,6,R53=TRUE,4,AND(S53=TRUE,T53=FALSE),3,T53=TRUE,2,U53=TRUE,0),_xlfn.IFS(Q53=TRUE,6,R53=TRUE,4,AND(S53=TRUE,T53=FALSE),3,T53=TRUE,2,U53=TRUE,0))</f>
        <v>3</v>
      </c>
      <c r="X53" s="3"/>
      <c r="Y53" s="3"/>
    </row>
    <row r="54" spans="1:25" ht="14.25" customHeight="1" x14ac:dyDescent="0.3">
      <c r="A54" s="3">
        <f>'Tabela de Jogos'!A54</f>
        <v>52</v>
      </c>
      <c r="B54" s="3" t="str">
        <f>'Tabela de Jogos'!B54</f>
        <v>Escócia</v>
      </c>
      <c r="C54" s="3">
        <f>'Tabela de Jogos'!C54</f>
        <v>0</v>
      </c>
      <c r="D54" s="3" t="str">
        <f>'Tabela de Jogos'!D54</f>
        <v>x</v>
      </c>
      <c r="E54" s="3">
        <f>'Tabela de Jogos'!E54</f>
        <v>3</v>
      </c>
      <c r="F54" s="3" t="str">
        <f>'Tabela de Jogos'!F54</f>
        <v>Brasil</v>
      </c>
      <c r="G54" s="3" t="str">
        <f>'Tabela de Jogos'!G54</f>
        <v>Brasil</v>
      </c>
      <c r="H54" s="3"/>
      <c r="I54" s="3">
        <f t="shared" ref="I54:J54" si="60">A54</f>
        <v>52</v>
      </c>
      <c r="J54" s="3" t="str">
        <f t="shared" si="60"/>
        <v>Escócia</v>
      </c>
      <c r="K54" s="4">
        <v>0</v>
      </c>
      <c r="L54" s="3" t="str">
        <f t="shared" si="2"/>
        <v>x</v>
      </c>
      <c r="M54" s="4">
        <v>4</v>
      </c>
      <c r="N54" s="3" t="str">
        <f t="shared" si="3"/>
        <v>Brasil</v>
      </c>
      <c r="O54" s="3" t="str">
        <f t="shared" si="4"/>
        <v>Brasil</v>
      </c>
      <c r="P54" s="3"/>
      <c r="Q54" s="3" t="b">
        <f t="shared" si="5"/>
        <v>0</v>
      </c>
      <c r="R54" s="3" t="b">
        <f t="shared" si="6"/>
        <v>0</v>
      </c>
      <c r="S54" s="3" t="b">
        <f t="shared" si="7"/>
        <v>0</v>
      </c>
      <c r="T54" s="3" t="b">
        <f t="shared" si="8"/>
        <v>1</v>
      </c>
      <c r="U54" s="3" t="b">
        <f t="shared" si="9"/>
        <v>0</v>
      </c>
      <c r="V54" s="3"/>
      <c r="W54" s="3" cm="1">
        <f t="array" ref="W54">IF(OR(J54="Brasil",N54="Brasil"),2*_xlfn.IFS(Q54=TRUE,6,R54=TRUE,4,AND(S54=TRUE,T54=FALSE),3,T54=TRUE,2,U54=TRUE,0),_xlfn.IFS(Q54=TRUE,6,R54=TRUE,4,AND(S54=TRUE,T54=FALSE),3,T54=TRUE,2,U54=TRUE,0))</f>
        <v>4</v>
      </c>
      <c r="X54" s="3"/>
      <c r="Y54" s="3"/>
    </row>
    <row r="55" spans="1:25" ht="14.25" customHeight="1" x14ac:dyDescent="0.3">
      <c r="A55" s="3">
        <f>'Tabela de Jogos'!A55</f>
        <v>53</v>
      </c>
      <c r="B55" s="3" t="str">
        <f>'Tabela de Jogos'!B55</f>
        <v>África do Sul</v>
      </c>
      <c r="C55" s="3">
        <f>'Tabela de Jogos'!C55</f>
        <v>1</v>
      </c>
      <c r="D55" s="3" t="str">
        <f>'Tabela de Jogos'!D55</f>
        <v>x</v>
      </c>
      <c r="E55" s="3">
        <f>'Tabela de Jogos'!E55</f>
        <v>0</v>
      </c>
      <c r="F55" s="3" t="str">
        <f>'Tabela de Jogos'!F55</f>
        <v>Coreia do Sul</v>
      </c>
      <c r="G55" s="3" t="str">
        <f>'Tabela de Jogos'!G55</f>
        <v>África do Sul</v>
      </c>
      <c r="H55" s="3"/>
      <c r="I55" s="3">
        <f t="shared" ref="I55:J55" si="61">A55</f>
        <v>53</v>
      </c>
      <c r="J55" s="3" t="str">
        <f t="shared" si="61"/>
        <v>África do Sul</v>
      </c>
      <c r="K55" s="4">
        <v>1</v>
      </c>
      <c r="L55" s="3" t="str">
        <f t="shared" si="2"/>
        <v>x</v>
      </c>
      <c r="M55" s="4">
        <v>3</v>
      </c>
      <c r="N55" s="3" t="str">
        <f t="shared" si="3"/>
        <v>Coreia do Sul</v>
      </c>
      <c r="O55" s="3" t="str">
        <f t="shared" si="4"/>
        <v>Coreia do Sul</v>
      </c>
      <c r="P55" s="3"/>
      <c r="Q55" s="3" t="b">
        <f t="shared" si="5"/>
        <v>0</v>
      </c>
      <c r="R55" s="3" t="b">
        <f t="shared" si="6"/>
        <v>0</v>
      </c>
      <c r="S55" s="3" t="b">
        <f t="shared" si="7"/>
        <v>0</v>
      </c>
      <c r="T55" s="3" t="b">
        <f t="shared" si="8"/>
        <v>0</v>
      </c>
      <c r="U55" s="3" t="b">
        <f t="shared" si="9"/>
        <v>1</v>
      </c>
      <c r="V55" s="3"/>
      <c r="W55" s="3" cm="1">
        <f t="array" ref="W55">IF(OR(J55="Brasil",N55="Brasil"),2*_xlfn.IFS(Q55=TRUE,6,R55=TRUE,4,AND(S55=TRUE,T55=FALSE),3,T55=TRUE,2,U55=TRUE,0),_xlfn.IFS(Q55=TRUE,6,R55=TRUE,4,AND(S55=TRUE,T55=FALSE),3,T55=TRUE,2,U55=TRUE,0))</f>
        <v>0</v>
      </c>
      <c r="X55" s="3"/>
      <c r="Y55" s="3"/>
    </row>
    <row r="56" spans="1:25" ht="14.25" customHeight="1" x14ac:dyDescent="0.3">
      <c r="A56" s="3">
        <f>'Tabela de Jogos'!A56</f>
        <v>54</v>
      </c>
      <c r="B56" s="3" t="str">
        <f>'Tabela de Jogos'!B56</f>
        <v>Tchéquia</v>
      </c>
      <c r="C56" s="3">
        <f>'Tabela de Jogos'!C56</f>
        <v>0</v>
      </c>
      <c r="D56" s="3" t="str">
        <f>'Tabela de Jogos'!D56</f>
        <v>x</v>
      </c>
      <c r="E56" s="3">
        <f>'Tabela de Jogos'!E56</f>
        <v>3</v>
      </c>
      <c r="F56" s="3" t="str">
        <f>'Tabela de Jogos'!F56</f>
        <v>México</v>
      </c>
      <c r="G56" s="3" t="str">
        <f>'Tabela de Jogos'!G56</f>
        <v>México</v>
      </c>
      <c r="H56" s="3"/>
      <c r="I56" s="3">
        <f t="shared" ref="I56:J56" si="62">A56</f>
        <v>54</v>
      </c>
      <c r="J56" s="3" t="str">
        <f t="shared" si="62"/>
        <v>Tchéquia</v>
      </c>
      <c r="K56" s="4">
        <v>0</v>
      </c>
      <c r="L56" s="3" t="str">
        <f t="shared" si="2"/>
        <v>x</v>
      </c>
      <c r="M56" s="4">
        <v>2</v>
      </c>
      <c r="N56" s="3" t="str">
        <f t="shared" si="3"/>
        <v>México</v>
      </c>
      <c r="O56" s="3" t="str">
        <f t="shared" si="4"/>
        <v>México</v>
      </c>
      <c r="P56" s="3"/>
      <c r="Q56" s="3" t="b">
        <f t="shared" si="5"/>
        <v>0</v>
      </c>
      <c r="R56" s="3" t="b">
        <f t="shared" si="6"/>
        <v>0</v>
      </c>
      <c r="S56" s="3" t="b">
        <f t="shared" si="7"/>
        <v>0</v>
      </c>
      <c r="T56" s="3" t="b">
        <f t="shared" si="8"/>
        <v>1</v>
      </c>
      <c r="U56" s="3" t="b">
        <f t="shared" si="9"/>
        <v>0</v>
      </c>
      <c r="V56" s="3"/>
      <c r="W56" s="3" cm="1">
        <f t="array" ref="W56">IF(OR(J56="Brasil",N56="Brasil"),2*_xlfn.IFS(Q56=TRUE,6,R56=TRUE,4,AND(S56=TRUE,T56=FALSE),3,T56=TRUE,2,U56=TRUE,0),_xlfn.IFS(Q56=TRUE,6,R56=TRUE,4,AND(S56=TRUE,T56=FALSE),3,T56=TRUE,2,U56=TRUE,0))</f>
        <v>2</v>
      </c>
      <c r="X56" s="3"/>
      <c r="Y56" s="3"/>
    </row>
    <row r="57" spans="1:25" ht="14.25" customHeight="1" x14ac:dyDescent="0.3">
      <c r="A57" s="3">
        <f>'Tabela de Jogos'!A57</f>
        <v>55</v>
      </c>
      <c r="B57" s="3" t="str">
        <f>'Tabela de Jogos'!B57</f>
        <v>Curaçao</v>
      </c>
      <c r="C57" s="3">
        <f>'Tabela de Jogos'!C57</f>
        <v>0</v>
      </c>
      <c r="D57" s="3" t="str">
        <f>'Tabela de Jogos'!D57</f>
        <v>x</v>
      </c>
      <c r="E57" s="3">
        <f>'Tabela de Jogos'!E57</f>
        <v>2</v>
      </c>
      <c r="F57" s="3" t="str">
        <f>'Tabela de Jogos'!F57</f>
        <v>Costa do Marfim</v>
      </c>
      <c r="G57" s="3" t="str">
        <f>'Tabela de Jogos'!G57</f>
        <v>Costa do Marfim</v>
      </c>
      <c r="H57" s="3"/>
      <c r="I57" s="3">
        <f t="shared" ref="I57:J57" si="63">A57</f>
        <v>55</v>
      </c>
      <c r="J57" s="3" t="str">
        <f t="shared" si="63"/>
        <v>Curaçao</v>
      </c>
      <c r="K57" s="3">
        <v>2</v>
      </c>
      <c r="L57" s="3" t="str">
        <f t="shared" si="2"/>
        <v>x</v>
      </c>
      <c r="M57" s="3">
        <v>3</v>
      </c>
      <c r="N57" s="3" t="str">
        <f t="shared" si="3"/>
        <v>Costa do Marfim</v>
      </c>
      <c r="O57" s="3" t="str">
        <f t="shared" si="4"/>
        <v>Costa do Marfim</v>
      </c>
      <c r="P57" s="3"/>
      <c r="Q57" s="3" t="b">
        <f t="shared" si="5"/>
        <v>0</v>
      </c>
      <c r="R57" s="3" t="b">
        <f t="shared" si="6"/>
        <v>0</v>
      </c>
      <c r="S57" s="3" t="b">
        <f t="shared" si="7"/>
        <v>0</v>
      </c>
      <c r="T57" s="3" t="b">
        <f t="shared" si="8"/>
        <v>1</v>
      </c>
      <c r="U57" s="3" t="b">
        <f t="shared" si="9"/>
        <v>0</v>
      </c>
      <c r="V57" s="3"/>
      <c r="W57" s="3" cm="1">
        <f t="array" ref="W57">IF(OR(J57="Brasil",N57="Brasil"),2*_xlfn.IFS(Q57=TRUE,6,R57=TRUE,4,AND(S57=TRUE,T57=FALSE),3,T57=TRUE,2,U57=TRUE,0),_xlfn.IFS(Q57=TRUE,6,R57=TRUE,4,AND(S57=TRUE,T57=FALSE),3,T57=TRUE,2,U57=TRUE,0))</f>
        <v>2</v>
      </c>
      <c r="X57" s="3"/>
      <c r="Y57" s="3"/>
    </row>
    <row r="58" spans="1:25" ht="14.25" customHeight="1" x14ac:dyDescent="0.3">
      <c r="A58" s="3">
        <f>'Tabela de Jogos'!A58</f>
        <v>56</v>
      </c>
      <c r="B58" s="3" t="str">
        <f>'Tabela de Jogos'!B58</f>
        <v>Equador</v>
      </c>
      <c r="C58" s="3">
        <f>'Tabela de Jogos'!C58</f>
        <v>2</v>
      </c>
      <c r="D58" s="3" t="str">
        <f>'Tabela de Jogos'!D58</f>
        <v>x</v>
      </c>
      <c r="E58" s="3">
        <f>'Tabela de Jogos'!E58</f>
        <v>1</v>
      </c>
      <c r="F58" s="3" t="str">
        <f>'Tabela de Jogos'!F58</f>
        <v>Alemanha</v>
      </c>
      <c r="G58" s="3" t="str">
        <f>'Tabela de Jogos'!G58</f>
        <v>Equador</v>
      </c>
      <c r="H58" s="3"/>
      <c r="I58" s="3">
        <f t="shared" ref="I58:J58" si="64">A58</f>
        <v>56</v>
      </c>
      <c r="J58" s="3" t="str">
        <f t="shared" si="64"/>
        <v>Equador</v>
      </c>
      <c r="K58" s="3">
        <v>1</v>
      </c>
      <c r="L58" s="3" t="str">
        <f t="shared" si="2"/>
        <v>x</v>
      </c>
      <c r="M58" s="3">
        <v>5</v>
      </c>
      <c r="N58" s="3" t="str">
        <f t="shared" si="3"/>
        <v>Alemanha</v>
      </c>
      <c r="O58" s="3" t="str">
        <f t="shared" si="4"/>
        <v>Alemanha</v>
      </c>
      <c r="P58" s="3"/>
      <c r="Q58" s="3" t="b">
        <f t="shared" si="5"/>
        <v>0</v>
      </c>
      <c r="R58" s="3" t="b">
        <f t="shared" si="6"/>
        <v>0</v>
      </c>
      <c r="S58" s="3" t="b">
        <f t="shared" si="7"/>
        <v>0</v>
      </c>
      <c r="T58" s="3" t="b">
        <f t="shared" si="8"/>
        <v>0</v>
      </c>
      <c r="U58" s="3" t="b">
        <f t="shared" si="9"/>
        <v>1</v>
      </c>
      <c r="V58" s="3"/>
      <c r="W58" s="3" cm="1">
        <f t="array" ref="W58">IF(OR(J58="Brasil",N58="Brasil"),2*_xlfn.IFS(Q58=TRUE,6,R58=TRUE,4,AND(S58=TRUE,T58=FALSE),3,T58=TRUE,2,U58=TRUE,0),_xlfn.IFS(Q58=TRUE,6,R58=TRUE,4,AND(S58=TRUE,T58=FALSE),3,T58=TRUE,2,U58=TRUE,0))</f>
        <v>0</v>
      </c>
      <c r="X58" s="3"/>
      <c r="Y58" s="3"/>
    </row>
    <row r="59" spans="1:25" ht="14.25" customHeight="1" x14ac:dyDescent="0.3">
      <c r="A59" s="3">
        <f>'Tabela de Jogos'!A59</f>
        <v>57</v>
      </c>
      <c r="B59" s="3" t="str">
        <f>'Tabela de Jogos'!B59</f>
        <v>Tunísia</v>
      </c>
      <c r="C59" s="3">
        <f>'Tabela de Jogos'!C59</f>
        <v>1</v>
      </c>
      <c r="D59" s="3" t="str">
        <f>'Tabela de Jogos'!D59</f>
        <v>x</v>
      </c>
      <c r="E59" s="3">
        <f>'Tabela de Jogos'!E59</f>
        <v>3</v>
      </c>
      <c r="F59" s="3" t="str">
        <f>'Tabela de Jogos'!F59</f>
        <v>Holanda</v>
      </c>
      <c r="G59" s="3" t="str">
        <f>'Tabela de Jogos'!G59</f>
        <v>Holanda</v>
      </c>
      <c r="H59" s="3"/>
      <c r="I59" s="3">
        <f t="shared" ref="I59:J59" si="65">A59</f>
        <v>57</v>
      </c>
      <c r="J59" s="3" t="str">
        <f t="shared" si="65"/>
        <v>Tunísia</v>
      </c>
      <c r="K59" s="3">
        <v>1</v>
      </c>
      <c r="L59" s="3" t="str">
        <f t="shared" si="2"/>
        <v>x</v>
      </c>
      <c r="M59" s="3">
        <v>2</v>
      </c>
      <c r="N59" s="3" t="str">
        <f t="shared" si="3"/>
        <v>Holanda</v>
      </c>
      <c r="O59" s="3" t="str">
        <f t="shared" si="4"/>
        <v>Holanda</v>
      </c>
      <c r="P59" s="3"/>
      <c r="Q59" s="3" t="b">
        <f t="shared" si="5"/>
        <v>0</v>
      </c>
      <c r="R59" s="3" t="b">
        <f t="shared" si="6"/>
        <v>0</v>
      </c>
      <c r="S59" s="3" t="b">
        <f t="shared" si="7"/>
        <v>0</v>
      </c>
      <c r="T59" s="3" t="b">
        <f t="shared" si="8"/>
        <v>1</v>
      </c>
      <c r="U59" s="3" t="b">
        <f t="shared" si="9"/>
        <v>0</v>
      </c>
      <c r="V59" s="3"/>
      <c r="W59" s="3" cm="1">
        <f t="array" ref="W59">IF(OR(J59="Brasil",N59="Brasil"),2*_xlfn.IFS(Q59=TRUE,6,R59=TRUE,4,AND(S59=TRUE,T59=FALSE),3,T59=TRUE,2,U59=TRUE,0),_xlfn.IFS(Q59=TRUE,6,R59=TRUE,4,AND(S59=TRUE,T59=FALSE),3,T59=TRUE,2,U59=TRUE,0))</f>
        <v>2</v>
      </c>
      <c r="X59" s="3"/>
      <c r="Y59" s="3"/>
    </row>
    <row r="60" spans="1:25" ht="14.25" customHeight="1" x14ac:dyDescent="0.3">
      <c r="A60" s="3">
        <f>'Tabela de Jogos'!A60</f>
        <v>58</v>
      </c>
      <c r="B60" s="3" t="str">
        <f>'Tabela de Jogos'!B60</f>
        <v>Japão</v>
      </c>
      <c r="C60" s="3">
        <f>'Tabela de Jogos'!C60</f>
        <v>1</v>
      </c>
      <c r="D60" s="3" t="str">
        <f>'Tabela de Jogos'!D60</f>
        <v>x</v>
      </c>
      <c r="E60" s="3">
        <f>'Tabela de Jogos'!E60</f>
        <v>1</v>
      </c>
      <c r="F60" s="3" t="str">
        <f>'Tabela de Jogos'!F60</f>
        <v>Suécia</v>
      </c>
      <c r="G60" s="3" t="str">
        <f>'Tabela de Jogos'!G60</f>
        <v>Empate</v>
      </c>
      <c r="H60" s="3"/>
      <c r="I60" s="3">
        <f t="shared" ref="I60:J60" si="66">A60</f>
        <v>58</v>
      </c>
      <c r="J60" s="3" t="str">
        <f t="shared" si="66"/>
        <v>Japão</v>
      </c>
      <c r="K60" s="3">
        <v>2</v>
      </c>
      <c r="L60" s="3" t="str">
        <f>D60</f>
        <v>x</v>
      </c>
      <c r="M60" s="3">
        <v>1</v>
      </c>
      <c r="N60" s="3" t="str">
        <f t="shared" si="3"/>
        <v>Suécia</v>
      </c>
      <c r="O60" s="3" t="str">
        <f t="shared" si="4"/>
        <v>Japão</v>
      </c>
      <c r="P60" s="3"/>
      <c r="Q60" s="3" t="b">
        <f t="shared" si="5"/>
        <v>0</v>
      </c>
      <c r="R60" s="3" t="b">
        <f t="shared" si="6"/>
        <v>0</v>
      </c>
      <c r="S60" s="3" t="b">
        <f t="shared" si="7"/>
        <v>0</v>
      </c>
      <c r="T60" s="3" t="b">
        <f t="shared" si="8"/>
        <v>0</v>
      </c>
      <c r="U60" s="3" t="b">
        <f t="shared" si="9"/>
        <v>1</v>
      </c>
      <c r="V60" s="3"/>
      <c r="W60" s="3" cm="1">
        <f t="array" ref="W60">IF(OR(J60="Brasil",N60="Brasil"),2*_xlfn.IFS(Q60=TRUE,6,R60=TRUE,4,AND(S60=TRUE,T60=FALSE),3,T60=TRUE,2,U60=TRUE,0),_xlfn.IFS(Q60=TRUE,6,R60=TRUE,4,AND(S60=TRUE,T60=FALSE),3,T60=TRUE,2,U60=TRUE,0))</f>
        <v>0</v>
      </c>
      <c r="X60" s="3"/>
      <c r="Y60" s="3"/>
    </row>
    <row r="61" spans="1:25" ht="14.25" customHeight="1" x14ac:dyDescent="0.3">
      <c r="A61" s="3">
        <f>'Tabela de Jogos'!A61</f>
        <v>59</v>
      </c>
      <c r="B61" s="3" t="str">
        <f>'Tabela de Jogos'!B61</f>
        <v>Turquia</v>
      </c>
      <c r="C61" s="3">
        <f>'Tabela de Jogos'!C61</f>
        <v>0</v>
      </c>
      <c r="D61" s="3" t="str">
        <f>'Tabela de Jogos'!D61</f>
        <v>x</v>
      </c>
      <c r="E61" s="3">
        <f>'Tabela de Jogos'!E61</f>
        <v>0</v>
      </c>
      <c r="F61" s="3" t="str">
        <f>'Tabela de Jogos'!F61</f>
        <v>EUA</v>
      </c>
      <c r="G61" s="3" t="str">
        <f>'Tabela de Jogos'!G61</f>
        <v>-</v>
      </c>
      <c r="H61" s="3"/>
      <c r="I61" s="3">
        <f t="shared" ref="I61:J61" si="67">A61</f>
        <v>59</v>
      </c>
      <c r="J61" s="3" t="str">
        <f t="shared" si="67"/>
        <v>Turquia</v>
      </c>
      <c r="K61" s="3">
        <v>1</v>
      </c>
      <c r="L61" s="3" t="str">
        <f t="shared" si="2"/>
        <v>x</v>
      </c>
      <c r="M61" s="3">
        <v>3</v>
      </c>
      <c r="N61" s="3" t="str">
        <f t="shared" si="3"/>
        <v>EUA</v>
      </c>
      <c r="O61" s="3" t="str">
        <f t="shared" si="4"/>
        <v>EUA</v>
      </c>
      <c r="P61" s="3"/>
      <c r="Q61" s="3" t="b">
        <f t="shared" si="5"/>
        <v>0</v>
      </c>
      <c r="R61" s="3" t="b">
        <f t="shared" si="6"/>
        <v>0</v>
      </c>
      <c r="S61" s="3" t="b">
        <f t="shared" si="7"/>
        <v>0</v>
      </c>
      <c r="T61" s="3" t="b">
        <f t="shared" si="8"/>
        <v>0</v>
      </c>
      <c r="U61" s="3" t="b">
        <f t="shared" si="9"/>
        <v>1</v>
      </c>
      <c r="V61" s="3"/>
      <c r="W61" s="3" cm="1">
        <f t="array" ref="W61">IF(OR(J61="Brasil",N61="Brasil"),2*_xlfn.IFS(Q61=TRUE,6,R61=TRUE,4,AND(S61=TRUE,T61=FALSE),3,T61=TRUE,2,U61=TRUE,0),_xlfn.IFS(Q61=TRUE,6,R61=TRUE,4,AND(S61=TRUE,T61=FALSE),3,T61=TRUE,2,U61=TRUE,0))</f>
        <v>0</v>
      </c>
      <c r="X61" s="3"/>
      <c r="Y61" s="3"/>
    </row>
    <row r="62" spans="1:25" ht="14.25" customHeight="1" x14ac:dyDescent="0.3">
      <c r="A62" s="3">
        <f>'Tabela de Jogos'!A62</f>
        <v>60</v>
      </c>
      <c r="B62" s="3" t="str">
        <f>'Tabela de Jogos'!B62</f>
        <v>Paraguai</v>
      </c>
      <c r="C62" s="3">
        <f>'Tabela de Jogos'!C62</f>
        <v>0</v>
      </c>
      <c r="D62" s="3" t="str">
        <f>'Tabela de Jogos'!D62</f>
        <v>x</v>
      </c>
      <c r="E62" s="3">
        <f>'Tabela de Jogos'!E62</f>
        <v>0</v>
      </c>
      <c r="F62" s="3" t="str">
        <f>'Tabela de Jogos'!F62</f>
        <v>Austrália</v>
      </c>
      <c r="G62" s="3" t="str">
        <f>'Tabela de Jogos'!G62</f>
        <v>-</v>
      </c>
      <c r="H62" s="3"/>
      <c r="I62" s="3">
        <f t="shared" ref="I62:J62" si="68">A62</f>
        <v>60</v>
      </c>
      <c r="J62" s="3" t="str">
        <f t="shared" si="68"/>
        <v>Paraguai</v>
      </c>
      <c r="K62" s="3">
        <v>2</v>
      </c>
      <c r="L62" s="3" t="str">
        <f t="shared" si="2"/>
        <v>x</v>
      </c>
      <c r="M62" s="3">
        <v>2</v>
      </c>
      <c r="N62" s="3" t="str">
        <f t="shared" si="3"/>
        <v>Austrália</v>
      </c>
      <c r="O62" s="3" t="str">
        <f t="shared" si="4"/>
        <v>Empate</v>
      </c>
      <c r="P62" s="3"/>
      <c r="Q62" s="3" t="b">
        <f t="shared" si="5"/>
        <v>0</v>
      </c>
      <c r="R62" s="3" t="b">
        <f t="shared" si="6"/>
        <v>0</v>
      </c>
      <c r="S62" s="3" t="b">
        <f t="shared" si="7"/>
        <v>0</v>
      </c>
      <c r="T62" s="3" t="b">
        <f t="shared" si="8"/>
        <v>0</v>
      </c>
      <c r="U62" s="3" t="b">
        <f t="shared" si="9"/>
        <v>1</v>
      </c>
      <c r="V62" s="3"/>
      <c r="W62" s="3" cm="1">
        <f t="array" ref="W62">IF(OR(J62="Brasil",N62="Brasil"),2*_xlfn.IFS(Q62=TRUE,6,R62=TRUE,4,AND(S62=TRUE,T62=FALSE),3,T62=TRUE,2,U62=TRUE,0),_xlfn.IFS(Q62=TRUE,6,R62=TRUE,4,AND(S62=TRUE,T62=FALSE),3,T62=TRUE,2,U62=TRUE,0))</f>
        <v>0</v>
      </c>
      <c r="X62" s="3"/>
      <c r="Y62" s="3"/>
    </row>
    <row r="63" spans="1:25" ht="14.25" customHeight="1" x14ac:dyDescent="0.3">
      <c r="A63" s="3">
        <f>'Tabela de Jogos'!A63</f>
        <v>61</v>
      </c>
      <c r="B63" s="3" t="str">
        <f>'Tabela de Jogos'!B63</f>
        <v>Noruega</v>
      </c>
      <c r="C63" s="3">
        <f>'Tabela de Jogos'!C63</f>
        <v>0</v>
      </c>
      <c r="D63" s="3" t="str">
        <f>'Tabela de Jogos'!D63</f>
        <v>x</v>
      </c>
      <c r="E63" s="3">
        <f>'Tabela de Jogos'!E63</f>
        <v>0</v>
      </c>
      <c r="F63" s="3" t="str">
        <f>'Tabela de Jogos'!F63</f>
        <v>França</v>
      </c>
      <c r="G63" s="3" t="str">
        <f>'Tabela de Jogos'!G63</f>
        <v>-</v>
      </c>
      <c r="H63" s="3"/>
      <c r="I63" s="3">
        <f t="shared" ref="I63:J63" si="69">A63</f>
        <v>61</v>
      </c>
      <c r="J63" s="3" t="str">
        <f t="shared" si="69"/>
        <v>Noruega</v>
      </c>
      <c r="K63" s="3"/>
      <c r="L63" s="3" t="str">
        <f t="shared" si="2"/>
        <v>x</v>
      </c>
      <c r="M63" s="3"/>
      <c r="N63" s="3" t="str">
        <f t="shared" si="3"/>
        <v>França</v>
      </c>
      <c r="O63" s="3" t="str">
        <f t="shared" si="4"/>
        <v>-</v>
      </c>
      <c r="P63" s="3"/>
      <c r="Q63" s="3" t="b">
        <f t="shared" si="5"/>
        <v>0</v>
      </c>
      <c r="R63" s="3" t="b">
        <f t="shared" si="6"/>
        <v>0</v>
      </c>
      <c r="S63" s="3" t="b">
        <f t="shared" si="7"/>
        <v>0</v>
      </c>
      <c r="T63" s="3" t="b">
        <f t="shared" si="8"/>
        <v>0</v>
      </c>
      <c r="U63" s="3" t="b">
        <f t="shared" si="9"/>
        <v>1</v>
      </c>
      <c r="V63" s="3"/>
      <c r="W63" s="3" cm="1">
        <f t="array" ref="W63">IF(OR(J63="Brasil",N63="Brasil"),2*_xlfn.IFS(Q63=TRUE,6,R63=TRUE,4,AND(S63=TRUE,T63=FALSE),3,T63=TRUE,2,U63=TRUE,0),_xlfn.IFS(Q63=TRUE,6,R63=TRUE,4,AND(S63=TRUE,T63=FALSE),3,T63=TRUE,2,U63=TRUE,0))</f>
        <v>0</v>
      </c>
      <c r="X63" s="3"/>
      <c r="Y63" s="3"/>
    </row>
    <row r="64" spans="1:25" ht="14.25" customHeight="1" x14ac:dyDescent="0.3">
      <c r="A64" s="3">
        <f>'Tabela de Jogos'!A64</f>
        <v>62</v>
      </c>
      <c r="B64" s="3" t="str">
        <f>'Tabela de Jogos'!B64</f>
        <v>Senegal</v>
      </c>
      <c r="C64" s="3">
        <f>'Tabela de Jogos'!C64</f>
        <v>0</v>
      </c>
      <c r="D64" s="3" t="str">
        <f>'Tabela de Jogos'!D64</f>
        <v>x</v>
      </c>
      <c r="E64" s="3">
        <f>'Tabela de Jogos'!E64</f>
        <v>0</v>
      </c>
      <c r="F64" s="3" t="str">
        <f>'Tabela de Jogos'!F64</f>
        <v>Iraque</v>
      </c>
      <c r="G64" s="3" t="str">
        <f>'Tabela de Jogos'!G64</f>
        <v>-</v>
      </c>
      <c r="H64" s="3"/>
      <c r="I64" s="3">
        <f t="shared" ref="I64:J64" si="70">A64</f>
        <v>62</v>
      </c>
      <c r="J64" s="3" t="str">
        <f t="shared" si="70"/>
        <v>Senegal</v>
      </c>
      <c r="K64" s="3"/>
      <c r="L64" s="3" t="str">
        <f t="shared" si="2"/>
        <v>x</v>
      </c>
      <c r="M64" s="3"/>
      <c r="N64" s="3" t="str">
        <f t="shared" si="3"/>
        <v>Iraque</v>
      </c>
      <c r="O64" s="3" t="str">
        <f t="shared" si="4"/>
        <v>-</v>
      </c>
      <c r="P64" s="3"/>
      <c r="Q64" s="3" t="b">
        <f t="shared" si="5"/>
        <v>0</v>
      </c>
      <c r="R64" s="3" t="b">
        <f t="shared" si="6"/>
        <v>0</v>
      </c>
      <c r="S64" s="3" t="b">
        <f t="shared" si="7"/>
        <v>0</v>
      </c>
      <c r="T64" s="3" t="b">
        <f t="shared" si="8"/>
        <v>0</v>
      </c>
      <c r="U64" s="3" t="b">
        <f t="shared" si="9"/>
        <v>1</v>
      </c>
      <c r="V64" s="3"/>
      <c r="W64" s="3" cm="1">
        <f t="array" ref="W64">IF(OR(J64="Brasil",N64="Brasil"),2*_xlfn.IFS(Q64=TRUE,6,R64=TRUE,4,AND(S64=TRUE,T64=FALSE),3,T64=TRUE,2,U64=TRUE,0),_xlfn.IFS(Q64=TRUE,6,R64=TRUE,4,AND(S64=TRUE,T64=FALSE),3,T64=TRUE,2,U64=TRUE,0))</f>
        <v>0</v>
      </c>
      <c r="X64" s="3"/>
      <c r="Y64" s="3"/>
    </row>
    <row r="65" spans="1:25" ht="14.25" customHeight="1" x14ac:dyDescent="0.3">
      <c r="A65" s="3">
        <f>'Tabela de Jogos'!A65</f>
        <v>63</v>
      </c>
      <c r="B65" s="3" t="str">
        <f>'Tabela de Jogos'!B65</f>
        <v>Cabo Verde</v>
      </c>
      <c r="C65" s="3">
        <f>'Tabela de Jogos'!C65</f>
        <v>0</v>
      </c>
      <c r="D65" s="3" t="str">
        <f>'Tabela de Jogos'!D65</f>
        <v>x</v>
      </c>
      <c r="E65" s="3">
        <f>'Tabela de Jogos'!E65</f>
        <v>0</v>
      </c>
      <c r="F65" s="3" t="str">
        <f>'Tabela de Jogos'!F65</f>
        <v>Arábia Saudita</v>
      </c>
      <c r="G65" s="3" t="str">
        <f>'Tabela de Jogos'!G65</f>
        <v>-</v>
      </c>
      <c r="H65" s="3"/>
      <c r="I65" s="3">
        <f t="shared" ref="I65:J65" si="71">A65</f>
        <v>63</v>
      </c>
      <c r="J65" s="3" t="str">
        <f t="shared" si="71"/>
        <v>Cabo Verde</v>
      </c>
      <c r="K65" s="3"/>
      <c r="L65" s="3" t="str">
        <f t="shared" si="2"/>
        <v>x</v>
      </c>
      <c r="M65" s="3"/>
      <c r="N65" s="3" t="str">
        <f t="shared" si="3"/>
        <v>Arábia Saudita</v>
      </c>
      <c r="O65" s="3" t="str">
        <f t="shared" si="4"/>
        <v>-</v>
      </c>
      <c r="P65" s="3"/>
      <c r="Q65" s="3" t="b">
        <f t="shared" si="5"/>
        <v>0</v>
      </c>
      <c r="R65" s="3" t="b">
        <f t="shared" si="6"/>
        <v>0</v>
      </c>
      <c r="S65" s="3" t="b">
        <f t="shared" si="7"/>
        <v>0</v>
      </c>
      <c r="T65" s="3" t="b">
        <f t="shared" si="8"/>
        <v>0</v>
      </c>
      <c r="U65" s="3" t="b">
        <f t="shared" si="9"/>
        <v>1</v>
      </c>
      <c r="V65" s="3"/>
      <c r="W65" s="3" cm="1">
        <f t="array" ref="W65">IF(OR(J65="Brasil",N65="Brasil"),2*_xlfn.IFS(Q65=TRUE,6,R65=TRUE,4,AND(S65=TRUE,T65=FALSE),3,T65=TRUE,2,U65=TRUE,0),_xlfn.IFS(Q65=TRUE,6,R65=TRUE,4,AND(S65=TRUE,T65=FALSE),3,T65=TRUE,2,U65=TRUE,0))</f>
        <v>0</v>
      </c>
      <c r="X65" s="3"/>
      <c r="Y65" s="3"/>
    </row>
    <row r="66" spans="1:25" ht="14.25" customHeight="1" x14ac:dyDescent="0.3">
      <c r="A66" s="3">
        <f>'Tabela de Jogos'!A66</f>
        <v>64</v>
      </c>
      <c r="B66" s="3" t="str">
        <f>'Tabela de Jogos'!B66</f>
        <v>Uruguai</v>
      </c>
      <c r="C66" s="3">
        <f>'Tabela de Jogos'!C66</f>
        <v>0</v>
      </c>
      <c r="D66" s="3" t="str">
        <f>'Tabela de Jogos'!D66</f>
        <v>x</v>
      </c>
      <c r="E66" s="3">
        <f>'Tabela de Jogos'!E66</f>
        <v>0</v>
      </c>
      <c r="F66" s="3" t="str">
        <f>'Tabela de Jogos'!F66</f>
        <v>Espanha</v>
      </c>
      <c r="G66" s="3" t="str">
        <f>'Tabela de Jogos'!G66</f>
        <v>-</v>
      </c>
      <c r="H66" s="3"/>
      <c r="I66" s="3">
        <f t="shared" ref="I66:J66" si="72">A66</f>
        <v>64</v>
      </c>
      <c r="J66" s="3" t="str">
        <f t="shared" si="72"/>
        <v>Uruguai</v>
      </c>
      <c r="K66" s="3"/>
      <c r="L66" s="3" t="str">
        <f t="shared" si="2"/>
        <v>x</v>
      </c>
      <c r="M66" s="3"/>
      <c r="N66" s="3" t="str">
        <f t="shared" si="3"/>
        <v>Espanha</v>
      </c>
      <c r="O66" s="3" t="str">
        <f t="shared" si="4"/>
        <v>-</v>
      </c>
      <c r="P66" s="3"/>
      <c r="Q66" s="3" t="b">
        <f t="shared" si="5"/>
        <v>0</v>
      </c>
      <c r="R66" s="3" t="b">
        <f t="shared" si="6"/>
        <v>0</v>
      </c>
      <c r="S66" s="3" t="b">
        <f t="shared" si="7"/>
        <v>0</v>
      </c>
      <c r="T66" s="3" t="b">
        <f t="shared" si="8"/>
        <v>0</v>
      </c>
      <c r="U66" s="3" t="b">
        <f t="shared" si="9"/>
        <v>1</v>
      </c>
      <c r="V66" s="3"/>
      <c r="W66" s="3" cm="1">
        <f t="array" ref="W66">IF(OR(J66="Brasil",N66="Brasil"),2*_xlfn.IFS(Q66=TRUE,6,R66=TRUE,4,AND(S66=TRUE,T66=FALSE),3,T66=TRUE,2,U66=TRUE,0),_xlfn.IFS(Q66=TRUE,6,R66=TRUE,4,AND(S66=TRUE,T66=FALSE),3,T66=TRUE,2,U66=TRUE,0))</f>
        <v>0</v>
      </c>
      <c r="X66" s="3"/>
      <c r="Y66" s="3"/>
    </row>
    <row r="67" spans="1:25" ht="14.25" customHeight="1" x14ac:dyDescent="0.3">
      <c r="A67" s="3">
        <f>'Tabela de Jogos'!A67</f>
        <v>65</v>
      </c>
      <c r="B67" s="3" t="str">
        <f>'Tabela de Jogos'!B67</f>
        <v>Nova Zelândia</v>
      </c>
      <c r="C67" s="3">
        <f>'Tabela de Jogos'!C67</f>
        <v>0</v>
      </c>
      <c r="D67" s="3" t="str">
        <f>'Tabela de Jogos'!D67</f>
        <v>x</v>
      </c>
      <c r="E67" s="3">
        <f>'Tabela de Jogos'!E67</f>
        <v>0</v>
      </c>
      <c r="F67" s="3" t="str">
        <f>'Tabela de Jogos'!F67</f>
        <v>Bélgica</v>
      </c>
      <c r="G67" s="3" t="str">
        <f>'Tabela de Jogos'!G67</f>
        <v>-</v>
      </c>
      <c r="H67" s="3"/>
      <c r="I67" s="3">
        <f t="shared" ref="I67:J67" si="73">A67</f>
        <v>65</v>
      </c>
      <c r="J67" s="3" t="str">
        <f t="shared" si="73"/>
        <v>Nova Zelândia</v>
      </c>
      <c r="K67" s="3"/>
      <c r="L67" s="3" t="str">
        <f t="shared" si="2"/>
        <v>x</v>
      </c>
      <c r="M67" s="3"/>
      <c r="N67" s="3" t="str">
        <f t="shared" si="3"/>
        <v>Bélgica</v>
      </c>
      <c r="O67" s="3" t="str">
        <f t="shared" si="4"/>
        <v>-</v>
      </c>
      <c r="P67" s="3"/>
      <c r="Q67" s="3" t="b">
        <f t="shared" si="5"/>
        <v>0</v>
      </c>
      <c r="R67" s="3" t="b">
        <f t="shared" si="6"/>
        <v>0</v>
      </c>
      <c r="S67" s="3" t="b">
        <f t="shared" si="7"/>
        <v>0</v>
      </c>
      <c r="T67" s="3" t="b">
        <f t="shared" si="8"/>
        <v>0</v>
      </c>
      <c r="U67" s="3" t="b">
        <f t="shared" si="9"/>
        <v>1</v>
      </c>
      <c r="V67" s="3"/>
      <c r="W67" s="3" cm="1">
        <f t="array" ref="W67">IF(OR(J67="Brasil",N67="Brasil"),2*_xlfn.IFS(Q67=TRUE,6,R67=TRUE,4,AND(S67=TRUE,T67=FALSE),3,T67=TRUE,2,U67=TRUE,0),_xlfn.IFS(Q67=TRUE,6,R67=TRUE,4,AND(S67=TRUE,T67=FALSE),3,T67=TRUE,2,U67=TRUE,0))</f>
        <v>0</v>
      </c>
      <c r="X67" s="3"/>
      <c r="Y67" s="3"/>
    </row>
    <row r="68" spans="1:25" ht="14.25" customHeight="1" x14ac:dyDescent="0.3">
      <c r="A68" s="3">
        <f>'Tabela de Jogos'!A68</f>
        <v>66</v>
      </c>
      <c r="B68" s="3" t="str">
        <f>'Tabela de Jogos'!B68</f>
        <v>Egito</v>
      </c>
      <c r="C68" s="3">
        <f>'Tabela de Jogos'!C68</f>
        <v>0</v>
      </c>
      <c r="D68" s="3" t="str">
        <f>'Tabela de Jogos'!D68</f>
        <v>x</v>
      </c>
      <c r="E68" s="3">
        <f>'Tabela de Jogos'!E68</f>
        <v>0</v>
      </c>
      <c r="F68" s="3" t="str">
        <f>'Tabela de Jogos'!F68</f>
        <v>Irã</v>
      </c>
      <c r="G68" s="3" t="str">
        <f>'Tabela de Jogos'!G68</f>
        <v>-</v>
      </c>
      <c r="H68" s="3"/>
      <c r="I68" s="3">
        <f t="shared" ref="I68:J68" si="74">A68</f>
        <v>66</v>
      </c>
      <c r="J68" s="3" t="str">
        <f t="shared" si="74"/>
        <v>Egito</v>
      </c>
      <c r="K68" s="3"/>
      <c r="L68" s="3" t="str">
        <f t="shared" si="2"/>
        <v>x</v>
      </c>
      <c r="M68" s="3"/>
      <c r="N68" s="3" t="str">
        <f t="shared" si="3"/>
        <v>Irã</v>
      </c>
      <c r="O68" s="3" t="str">
        <f t="shared" si="4"/>
        <v>-</v>
      </c>
      <c r="P68" s="3"/>
      <c r="Q68" s="3" t="b">
        <f t="shared" si="5"/>
        <v>0</v>
      </c>
      <c r="R68" s="3" t="b">
        <f t="shared" si="6"/>
        <v>0</v>
      </c>
      <c r="S68" s="3" t="b">
        <f t="shared" si="7"/>
        <v>0</v>
      </c>
      <c r="T68" s="3" t="b">
        <f t="shared" si="8"/>
        <v>0</v>
      </c>
      <c r="U68" s="3" t="b">
        <f t="shared" si="9"/>
        <v>1</v>
      </c>
      <c r="V68" s="3"/>
      <c r="W68" s="3" cm="1">
        <f t="array" ref="W68">IF(OR(J68="Brasil",N68="Brasil"),2*_xlfn.IFS(Q68=TRUE,6,R68=TRUE,4,AND(S68=TRUE,T68=FALSE),3,T68=TRUE,2,U68=TRUE,0),_xlfn.IFS(Q68=TRUE,6,R68=TRUE,4,AND(S68=TRUE,T68=FALSE),3,T68=TRUE,2,U68=TRUE,0))</f>
        <v>0</v>
      </c>
      <c r="X68" s="3"/>
      <c r="Y68" s="3"/>
    </row>
    <row r="69" spans="1:25" ht="14.25" customHeight="1" x14ac:dyDescent="0.3">
      <c r="A69" s="3">
        <f>'Tabela de Jogos'!A69</f>
        <v>67</v>
      </c>
      <c r="B69" s="3" t="str">
        <f>'Tabela de Jogos'!B69</f>
        <v>Panamá</v>
      </c>
      <c r="C69" s="3">
        <f>'Tabela de Jogos'!C69</f>
        <v>0</v>
      </c>
      <c r="D69" s="3" t="str">
        <f>'Tabela de Jogos'!D69</f>
        <v>x</v>
      </c>
      <c r="E69" s="3">
        <f>'Tabela de Jogos'!E69</f>
        <v>0</v>
      </c>
      <c r="F69" s="3" t="str">
        <f>'Tabela de Jogos'!F69</f>
        <v>Inglaterra</v>
      </c>
      <c r="G69" s="3" t="str">
        <f>'Tabela de Jogos'!G69</f>
        <v>-</v>
      </c>
      <c r="H69" s="3"/>
      <c r="I69" s="3">
        <f t="shared" ref="I69:J69" si="75">A69</f>
        <v>67</v>
      </c>
      <c r="J69" s="3" t="str">
        <f t="shared" si="75"/>
        <v>Panamá</v>
      </c>
      <c r="K69" s="3"/>
      <c r="L69" s="3" t="str">
        <f t="shared" si="2"/>
        <v>x</v>
      </c>
      <c r="M69" s="3"/>
      <c r="N69" s="3" t="str">
        <f t="shared" si="3"/>
        <v>Inglaterra</v>
      </c>
      <c r="O69" s="3" t="str">
        <f t="shared" si="4"/>
        <v>-</v>
      </c>
      <c r="P69" s="3"/>
      <c r="Q69" s="3" t="b">
        <f t="shared" si="5"/>
        <v>0</v>
      </c>
      <c r="R69" s="3" t="b">
        <f t="shared" si="6"/>
        <v>0</v>
      </c>
      <c r="S69" s="3" t="b">
        <f t="shared" si="7"/>
        <v>0</v>
      </c>
      <c r="T69" s="3" t="b">
        <f t="shared" si="8"/>
        <v>0</v>
      </c>
      <c r="U69" s="3" t="b">
        <f t="shared" si="9"/>
        <v>1</v>
      </c>
      <c r="V69" s="3"/>
      <c r="W69" s="3" cm="1">
        <f t="array" ref="W69">IF(OR(J69="Brasil",N69="Brasil"),2*_xlfn.IFS(Q69=TRUE,6,R69=TRUE,4,AND(S69=TRUE,T69=FALSE),3,T69=TRUE,2,U69=TRUE,0),_xlfn.IFS(Q69=TRUE,6,R69=TRUE,4,AND(S69=TRUE,T69=FALSE),3,T69=TRUE,2,U69=TRUE,0))</f>
        <v>0</v>
      </c>
      <c r="X69" s="3"/>
      <c r="Y69" s="3"/>
    </row>
    <row r="70" spans="1:25" ht="14.25" customHeight="1" x14ac:dyDescent="0.3">
      <c r="A70" s="3">
        <f>'Tabela de Jogos'!A70</f>
        <v>68</v>
      </c>
      <c r="B70" s="3" t="str">
        <f>'Tabela de Jogos'!B70</f>
        <v>Croácia</v>
      </c>
      <c r="C70" s="3">
        <f>'Tabela de Jogos'!C70</f>
        <v>0</v>
      </c>
      <c r="D70" s="3" t="str">
        <f>'Tabela de Jogos'!D70</f>
        <v>x</v>
      </c>
      <c r="E70" s="3">
        <f>'Tabela de Jogos'!E70</f>
        <v>0</v>
      </c>
      <c r="F70" s="3" t="str">
        <f>'Tabela de Jogos'!F70</f>
        <v>Gana</v>
      </c>
      <c r="G70" s="3" t="str">
        <f>'Tabela de Jogos'!G70</f>
        <v>-</v>
      </c>
      <c r="H70" s="3"/>
      <c r="I70" s="3">
        <f t="shared" ref="I70:J70" si="76">A70</f>
        <v>68</v>
      </c>
      <c r="J70" s="3" t="str">
        <f t="shared" si="76"/>
        <v>Croácia</v>
      </c>
      <c r="K70" s="3"/>
      <c r="L70" s="3" t="str">
        <f t="shared" si="2"/>
        <v>x</v>
      </c>
      <c r="M70" s="3"/>
      <c r="N70" s="3" t="str">
        <f t="shared" si="3"/>
        <v>Gana</v>
      </c>
      <c r="O70" s="3" t="str">
        <f t="shared" si="4"/>
        <v>-</v>
      </c>
      <c r="P70" s="3"/>
      <c r="Q70" s="3" t="b">
        <f t="shared" si="5"/>
        <v>0</v>
      </c>
      <c r="R70" s="3" t="b">
        <f t="shared" si="6"/>
        <v>0</v>
      </c>
      <c r="S70" s="3" t="b">
        <f t="shared" si="7"/>
        <v>0</v>
      </c>
      <c r="T70" s="3" t="b">
        <f t="shared" si="8"/>
        <v>0</v>
      </c>
      <c r="U70" s="3" t="b">
        <f t="shared" si="9"/>
        <v>1</v>
      </c>
      <c r="V70" s="3"/>
      <c r="W70" s="3" cm="1">
        <f t="array" ref="W70">IF(OR(J70="Brasil",N70="Brasil"),2*_xlfn.IFS(Q70=TRUE,6,R70=TRUE,4,AND(S70=TRUE,T70=FALSE),3,T70=TRUE,2,U70=TRUE,0),_xlfn.IFS(Q70=TRUE,6,R70=TRUE,4,AND(S70=TRUE,T70=FALSE),3,T70=TRUE,2,U70=TRUE,0))</f>
        <v>0</v>
      </c>
      <c r="X70" s="3"/>
      <c r="Y70" s="3"/>
    </row>
    <row r="71" spans="1:25" ht="14.25" customHeight="1" x14ac:dyDescent="0.3">
      <c r="A71" s="3">
        <f>'Tabela de Jogos'!A71</f>
        <v>69</v>
      </c>
      <c r="B71" s="3" t="str">
        <f>'Tabela de Jogos'!B71</f>
        <v>Colômbia</v>
      </c>
      <c r="C71" s="3">
        <f>'Tabela de Jogos'!C71</f>
        <v>0</v>
      </c>
      <c r="D71" s="3" t="str">
        <f>'Tabela de Jogos'!D71</f>
        <v>x</v>
      </c>
      <c r="E71" s="3">
        <f>'Tabela de Jogos'!E71</f>
        <v>0</v>
      </c>
      <c r="F71" s="3" t="str">
        <f>'Tabela de Jogos'!F71</f>
        <v>Portugal</v>
      </c>
      <c r="G71" s="3" t="str">
        <f>'Tabela de Jogos'!G71</f>
        <v>-</v>
      </c>
      <c r="H71" s="3"/>
      <c r="I71" s="3">
        <f t="shared" ref="I71:J71" si="77">A71</f>
        <v>69</v>
      </c>
      <c r="J71" s="3" t="str">
        <f t="shared" si="77"/>
        <v>Colômbia</v>
      </c>
      <c r="K71" s="3"/>
      <c r="L71" s="3" t="str">
        <f t="shared" si="2"/>
        <v>x</v>
      </c>
      <c r="M71" s="3"/>
      <c r="N71" s="3" t="str">
        <f t="shared" si="3"/>
        <v>Portugal</v>
      </c>
      <c r="O71" s="3" t="str">
        <f t="shared" si="4"/>
        <v>-</v>
      </c>
      <c r="P71" s="3"/>
      <c r="Q71" s="3" t="b">
        <f t="shared" si="5"/>
        <v>0</v>
      </c>
      <c r="R71" s="3" t="b">
        <f t="shared" si="6"/>
        <v>0</v>
      </c>
      <c r="S71" s="3" t="b">
        <f t="shared" si="7"/>
        <v>0</v>
      </c>
      <c r="T71" s="3" t="b">
        <f t="shared" si="8"/>
        <v>0</v>
      </c>
      <c r="U71" s="3" t="b">
        <f t="shared" si="9"/>
        <v>1</v>
      </c>
      <c r="V71" s="3"/>
      <c r="W71" s="3" cm="1">
        <f t="array" ref="W71">IF(OR(J71="Brasil",N71="Brasil"),2*_xlfn.IFS(Q71=TRUE,6,R71=TRUE,4,AND(S71=TRUE,T71=FALSE),3,T71=TRUE,2,U71=TRUE,0),_xlfn.IFS(Q71=TRUE,6,R71=TRUE,4,AND(S71=TRUE,T71=FALSE),3,T71=TRUE,2,U71=TRUE,0))</f>
        <v>0</v>
      </c>
      <c r="X71" s="3"/>
      <c r="Y71" s="3"/>
    </row>
    <row r="72" spans="1:25" ht="14.25" customHeight="1" x14ac:dyDescent="0.3">
      <c r="A72" s="3">
        <f>'Tabela de Jogos'!A72</f>
        <v>70</v>
      </c>
      <c r="B72" s="3" t="str">
        <f>'Tabela de Jogos'!B72</f>
        <v>RD Congo</v>
      </c>
      <c r="C72" s="3">
        <f>'Tabela de Jogos'!C72</f>
        <v>0</v>
      </c>
      <c r="D72" s="3" t="str">
        <f>'Tabela de Jogos'!D72</f>
        <v>x</v>
      </c>
      <c r="E72" s="3">
        <f>'Tabela de Jogos'!E72</f>
        <v>0</v>
      </c>
      <c r="F72" s="3" t="str">
        <f>'Tabela de Jogos'!F72</f>
        <v>Uzbequistão</v>
      </c>
      <c r="G72" s="3" t="str">
        <f>'Tabela de Jogos'!G72</f>
        <v>-</v>
      </c>
      <c r="H72" s="3"/>
      <c r="I72" s="3">
        <f t="shared" ref="I72:J72" si="78">A72</f>
        <v>70</v>
      </c>
      <c r="J72" s="3" t="str">
        <f t="shared" si="78"/>
        <v>RD Congo</v>
      </c>
      <c r="K72" s="3"/>
      <c r="L72" s="3" t="str">
        <f t="shared" si="2"/>
        <v>x</v>
      </c>
      <c r="M72" s="3"/>
      <c r="N72" s="3" t="str">
        <f t="shared" si="3"/>
        <v>Uzbequistão</v>
      </c>
      <c r="O72" s="3" t="str">
        <f t="shared" si="4"/>
        <v>-</v>
      </c>
      <c r="P72" s="3"/>
      <c r="Q72" s="3" t="b">
        <f t="shared" si="5"/>
        <v>0</v>
      </c>
      <c r="R72" s="3" t="b">
        <f t="shared" si="6"/>
        <v>0</v>
      </c>
      <c r="S72" s="3" t="b">
        <f t="shared" si="7"/>
        <v>0</v>
      </c>
      <c r="T72" s="3" t="b">
        <f t="shared" si="8"/>
        <v>0</v>
      </c>
      <c r="U72" s="3" t="b">
        <f t="shared" si="9"/>
        <v>1</v>
      </c>
      <c r="V72" s="3"/>
      <c r="W72" s="3" cm="1">
        <f t="array" ref="W72">IF(OR(J72="Brasil",N72="Brasil"),2*_xlfn.IFS(Q72=TRUE,6,R72=TRUE,4,AND(S72=TRUE,T72=FALSE),3,T72=TRUE,2,U72=TRUE,0),_xlfn.IFS(Q72=TRUE,6,R72=TRUE,4,AND(S72=TRUE,T72=FALSE),3,T72=TRUE,2,U72=TRUE,0))</f>
        <v>0</v>
      </c>
      <c r="X72" s="3"/>
      <c r="Y72" s="3"/>
    </row>
    <row r="73" spans="1:25" ht="14.25" customHeight="1" x14ac:dyDescent="0.3">
      <c r="A73" s="3">
        <f>'Tabela de Jogos'!A73</f>
        <v>71</v>
      </c>
      <c r="B73" s="3" t="str">
        <f>'Tabela de Jogos'!B73</f>
        <v>Argélia</v>
      </c>
      <c r="C73" s="3">
        <f>'Tabela de Jogos'!C73</f>
        <v>0</v>
      </c>
      <c r="D73" s="3" t="str">
        <f>'Tabela de Jogos'!D73</f>
        <v>x</v>
      </c>
      <c r="E73" s="3">
        <f>'Tabela de Jogos'!E73</f>
        <v>0</v>
      </c>
      <c r="F73" s="3" t="str">
        <f>'Tabela de Jogos'!F73</f>
        <v>Áustria</v>
      </c>
      <c r="G73" s="3" t="str">
        <f>'Tabela de Jogos'!G73</f>
        <v>-</v>
      </c>
      <c r="H73" s="3"/>
      <c r="I73" s="3">
        <f t="shared" ref="I73:J73" si="79">A73</f>
        <v>71</v>
      </c>
      <c r="J73" s="3" t="str">
        <f t="shared" si="79"/>
        <v>Argélia</v>
      </c>
      <c r="K73" s="3"/>
      <c r="L73" s="3" t="str">
        <f t="shared" si="2"/>
        <v>x</v>
      </c>
      <c r="M73" s="3"/>
      <c r="N73" s="3" t="str">
        <f t="shared" si="3"/>
        <v>Áustria</v>
      </c>
      <c r="O73" s="3" t="str">
        <f t="shared" si="4"/>
        <v>-</v>
      </c>
      <c r="P73" s="3"/>
      <c r="Q73" s="3" t="b">
        <f t="shared" si="5"/>
        <v>0</v>
      </c>
      <c r="R73" s="3" t="b">
        <f t="shared" si="6"/>
        <v>0</v>
      </c>
      <c r="S73" s="3" t="b">
        <f t="shared" si="7"/>
        <v>0</v>
      </c>
      <c r="T73" s="3" t="b">
        <f t="shared" si="8"/>
        <v>0</v>
      </c>
      <c r="U73" s="3" t="b">
        <f t="shared" si="9"/>
        <v>1</v>
      </c>
      <c r="V73" s="3"/>
      <c r="W73" s="3" cm="1">
        <f t="array" ref="W73">IF(OR(J73="Brasil",N73="Brasil"),2*_xlfn.IFS(Q73=TRUE,6,R73=TRUE,4,AND(S73=TRUE,T73=FALSE),3,T73=TRUE,2,U73=TRUE,0),_xlfn.IFS(Q73=TRUE,6,R73=TRUE,4,AND(S73=TRUE,T73=FALSE),3,T73=TRUE,2,U73=TRUE,0))</f>
        <v>0</v>
      </c>
      <c r="X73" s="3"/>
      <c r="Y73" s="3"/>
    </row>
    <row r="74" spans="1:25" ht="14.25" customHeight="1" x14ac:dyDescent="0.3">
      <c r="A74" s="3">
        <f>'Tabela de Jogos'!A74</f>
        <v>72</v>
      </c>
      <c r="B74" s="3" t="str">
        <f>'Tabela de Jogos'!B74</f>
        <v>Jordânia</v>
      </c>
      <c r="C74" s="3">
        <f>'Tabela de Jogos'!C74</f>
        <v>0</v>
      </c>
      <c r="D74" s="3" t="str">
        <f>'Tabela de Jogos'!D74</f>
        <v>x</v>
      </c>
      <c r="E74" s="3">
        <f>'Tabela de Jogos'!E74</f>
        <v>0</v>
      </c>
      <c r="F74" s="3" t="str">
        <f>'Tabela de Jogos'!F74</f>
        <v>Argentina</v>
      </c>
      <c r="G74" s="3" t="str">
        <f>'Tabela de Jogos'!G74</f>
        <v>-</v>
      </c>
      <c r="H74" s="3"/>
      <c r="I74" s="3">
        <f t="shared" ref="I74:J74" si="80">A74</f>
        <v>72</v>
      </c>
      <c r="J74" s="3" t="str">
        <f t="shared" si="80"/>
        <v>Jordânia</v>
      </c>
      <c r="K74" s="3"/>
      <c r="L74" s="3" t="str">
        <f t="shared" si="2"/>
        <v>x</v>
      </c>
      <c r="M74" s="3"/>
      <c r="N74" s="3" t="str">
        <f t="shared" si="3"/>
        <v>Argentina</v>
      </c>
      <c r="O74" s="3" t="str">
        <f t="shared" si="4"/>
        <v>-</v>
      </c>
      <c r="P74" s="3"/>
      <c r="Q74" s="3" t="b">
        <f t="shared" si="5"/>
        <v>0</v>
      </c>
      <c r="R74" s="3" t="b">
        <f t="shared" si="6"/>
        <v>0</v>
      </c>
      <c r="S74" s="3" t="b">
        <f t="shared" si="7"/>
        <v>0</v>
      </c>
      <c r="T74" s="3" t="b">
        <f t="shared" si="8"/>
        <v>0</v>
      </c>
      <c r="U74" s="3" t="b">
        <f t="shared" si="9"/>
        <v>1</v>
      </c>
      <c r="V74" s="3"/>
      <c r="W74" s="3" cm="1">
        <f t="array" ref="W74">IF(OR(J74="Brasil",N74="Brasil"),2*_xlfn.IFS(Q74=TRUE,6,R74=TRUE,4,AND(S74=TRUE,T74=FALSE),3,T74=TRUE,2,U74=TRUE,0),_xlfn.IFS(Q74=TRUE,6,R74=TRUE,4,AND(S74=TRUE,T74=FALSE),3,T74=TRUE,2,U74=TRUE,0))</f>
        <v>0</v>
      </c>
      <c r="X74" s="3"/>
      <c r="Y74" s="3"/>
    </row>
    <row r="75" spans="1:25" ht="14.25" customHeight="1" x14ac:dyDescent="0.3">
      <c r="A75" s="3">
        <f>'Tabela de Jogos'!A75</f>
        <v>73</v>
      </c>
      <c r="B75" s="3">
        <f>'Tabela de Jogos'!B75</f>
        <v>0</v>
      </c>
      <c r="C75" s="3">
        <f>'Tabela de Jogos'!C75</f>
        <v>0</v>
      </c>
      <c r="D75" s="3" t="str">
        <f>'Tabela de Jogos'!D75</f>
        <v>x</v>
      </c>
      <c r="E75" s="3">
        <f>'Tabela de Jogos'!E75</f>
        <v>0</v>
      </c>
      <c r="F75" s="3">
        <f>'Tabela de Jogos'!F75</f>
        <v>0</v>
      </c>
      <c r="G75" s="3" t="str">
        <f>'Tabela de Jogos'!G75</f>
        <v>-</v>
      </c>
      <c r="H75" s="3"/>
      <c r="I75" s="3">
        <f t="shared" ref="I75:J75" si="81">A75</f>
        <v>73</v>
      </c>
      <c r="J75" s="3">
        <f t="shared" si="81"/>
        <v>0</v>
      </c>
      <c r="K75" s="3"/>
      <c r="L75" s="3" t="str">
        <f t="shared" si="2"/>
        <v>x</v>
      </c>
      <c r="M75" s="3"/>
      <c r="N75" s="3">
        <f t="shared" si="3"/>
        <v>0</v>
      </c>
      <c r="O75" s="3" t="str">
        <f t="shared" si="4"/>
        <v>-</v>
      </c>
      <c r="P75" s="3"/>
      <c r="Q75" s="3" t="b">
        <f t="shared" si="5"/>
        <v>0</v>
      </c>
      <c r="R75" s="3" t="b">
        <f t="shared" si="6"/>
        <v>0</v>
      </c>
      <c r="S75" s="3" t="b">
        <f t="shared" si="7"/>
        <v>0</v>
      </c>
      <c r="T75" s="3" t="b">
        <f t="shared" si="8"/>
        <v>0</v>
      </c>
      <c r="U75" s="3" t="b">
        <f t="shared" si="9"/>
        <v>1</v>
      </c>
      <c r="V75" s="3"/>
      <c r="W75" s="3" cm="1">
        <f t="array" ref="W75">IF(OR(J75="Brasil",N75="Brasil"),2*_xlfn.IFS(Q75=TRUE,6,R75=TRUE,4,AND(S75=TRUE,T75=FALSE),3,T75=TRUE,2,U75=TRUE,0),_xlfn.IFS(Q75=TRUE,6,R75=TRUE,4,AND(S75=TRUE,T75=FALSE),3,T75=TRUE,2,U75=TRUE,0))</f>
        <v>0</v>
      </c>
      <c r="X75" s="3"/>
      <c r="Y75" s="3"/>
    </row>
    <row r="76" spans="1:25" ht="14.25" customHeight="1" x14ac:dyDescent="0.3">
      <c r="A76" s="3">
        <f>'Tabela de Jogos'!A76</f>
        <v>74</v>
      </c>
      <c r="B76" s="3">
        <f>'Tabela de Jogos'!B76</f>
        <v>0</v>
      </c>
      <c r="C76" s="3">
        <f>'Tabela de Jogos'!C76</f>
        <v>0</v>
      </c>
      <c r="D76" s="3" t="str">
        <f>'Tabela de Jogos'!D76</f>
        <v>x</v>
      </c>
      <c r="E76" s="3">
        <f>'Tabela de Jogos'!E76</f>
        <v>0</v>
      </c>
      <c r="F76" s="3">
        <f>'Tabela de Jogos'!F76</f>
        <v>0</v>
      </c>
      <c r="G76" s="3" t="str">
        <f>'Tabela de Jogos'!G76</f>
        <v>-</v>
      </c>
      <c r="H76" s="3"/>
      <c r="I76" s="3">
        <f t="shared" ref="I76:J76" si="82">A76</f>
        <v>74</v>
      </c>
      <c r="J76" s="3">
        <f t="shared" si="82"/>
        <v>0</v>
      </c>
      <c r="K76" s="3"/>
      <c r="L76" s="3" t="str">
        <f t="shared" si="2"/>
        <v>x</v>
      </c>
      <c r="M76" s="3"/>
      <c r="N76" s="3">
        <f t="shared" si="3"/>
        <v>0</v>
      </c>
      <c r="O76" s="3" t="str">
        <f t="shared" si="4"/>
        <v>-</v>
      </c>
      <c r="P76" s="3"/>
      <c r="Q76" s="3" t="b">
        <f t="shared" si="5"/>
        <v>0</v>
      </c>
      <c r="R76" s="3" t="b">
        <f t="shared" si="6"/>
        <v>0</v>
      </c>
      <c r="S76" s="3" t="b">
        <f t="shared" si="7"/>
        <v>0</v>
      </c>
      <c r="T76" s="3" t="b">
        <f t="shared" si="8"/>
        <v>0</v>
      </c>
      <c r="U76" s="3" t="b">
        <f t="shared" si="9"/>
        <v>1</v>
      </c>
      <c r="V76" s="3"/>
      <c r="W76" s="3" cm="1">
        <f t="array" ref="W76">IF(OR(J76="Brasil",N76="Brasil"),2*_xlfn.IFS(Q76=TRUE,6,R76=TRUE,4,AND(S76=TRUE,T76=FALSE),3,T76=TRUE,2,U76=TRUE,0),_xlfn.IFS(Q76=TRUE,6,R76=TRUE,4,AND(S76=TRUE,T76=FALSE),3,T76=TRUE,2,U76=TRUE,0))</f>
        <v>0</v>
      </c>
      <c r="X76" s="3"/>
      <c r="Y76" s="3"/>
    </row>
    <row r="77" spans="1:25" ht="14.25" customHeight="1" x14ac:dyDescent="0.3">
      <c r="A77" s="3">
        <f>'Tabela de Jogos'!A77</f>
        <v>75</v>
      </c>
      <c r="B77" s="3">
        <f>'Tabela de Jogos'!B77</f>
        <v>0</v>
      </c>
      <c r="C77" s="3">
        <f>'Tabela de Jogos'!C77</f>
        <v>0</v>
      </c>
      <c r="D77" s="3" t="str">
        <f>'Tabela de Jogos'!D77</f>
        <v>x</v>
      </c>
      <c r="E77" s="3">
        <f>'Tabela de Jogos'!E77</f>
        <v>0</v>
      </c>
      <c r="F77" s="3">
        <f>'Tabela de Jogos'!F77</f>
        <v>0</v>
      </c>
      <c r="G77" s="3" t="str">
        <f>'Tabela de Jogos'!G77</f>
        <v>-</v>
      </c>
      <c r="H77" s="3"/>
      <c r="I77" s="3">
        <f t="shared" ref="I77:J77" si="83">A77</f>
        <v>75</v>
      </c>
      <c r="J77" s="3">
        <f t="shared" si="83"/>
        <v>0</v>
      </c>
      <c r="K77" s="3"/>
      <c r="L77" s="3" t="str">
        <f t="shared" si="2"/>
        <v>x</v>
      </c>
      <c r="M77" s="3"/>
      <c r="N77" s="3">
        <f t="shared" si="3"/>
        <v>0</v>
      </c>
      <c r="O77" s="3" t="str">
        <f t="shared" si="4"/>
        <v>-</v>
      </c>
      <c r="P77" s="3"/>
      <c r="Q77" s="3" t="b">
        <f t="shared" si="5"/>
        <v>0</v>
      </c>
      <c r="R77" s="3" t="b">
        <f t="shared" si="6"/>
        <v>0</v>
      </c>
      <c r="S77" s="3" t="b">
        <f t="shared" si="7"/>
        <v>0</v>
      </c>
      <c r="T77" s="3" t="b">
        <f t="shared" si="8"/>
        <v>0</v>
      </c>
      <c r="U77" s="3" t="b">
        <f t="shared" si="9"/>
        <v>1</v>
      </c>
      <c r="V77" s="3"/>
      <c r="W77" s="3" cm="1">
        <f t="array" ref="W77">IF(OR(J77="Brasil",N77="Brasil"),2*_xlfn.IFS(Q77=TRUE,6,R77=TRUE,4,AND(S77=TRUE,T77=FALSE),3,T77=TRUE,2,U77=TRUE,0),_xlfn.IFS(Q77=TRUE,6,R77=TRUE,4,AND(S77=TRUE,T77=FALSE),3,T77=TRUE,2,U77=TRUE,0))</f>
        <v>0</v>
      </c>
      <c r="X77" s="3"/>
      <c r="Y77" s="3"/>
    </row>
    <row r="78" spans="1:25" ht="14.25" customHeight="1" x14ac:dyDescent="0.3">
      <c r="A78" s="3">
        <f>'Tabela de Jogos'!A78</f>
        <v>76</v>
      </c>
      <c r="B78" s="3">
        <f>'Tabela de Jogos'!B78</f>
        <v>0</v>
      </c>
      <c r="C78" s="3">
        <f>'Tabela de Jogos'!C78</f>
        <v>0</v>
      </c>
      <c r="D78" s="3" t="str">
        <f>'Tabela de Jogos'!D78</f>
        <v>x</v>
      </c>
      <c r="E78" s="3">
        <f>'Tabela de Jogos'!E78</f>
        <v>0</v>
      </c>
      <c r="F78" s="3">
        <f>'Tabela de Jogos'!F78</f>
        <v>0</v>
      </c>
      <c r="G78" s="3" t="str">
        <f>'Tabela de Jogos'!G78</f>
        <v>-</v>
      </c>
      <c r="H78" s="3"/>
      <c r="I78" s="3">
        <f t="shared" ref="I78:J78" si="84">A78</f>
        <v>76</v>
      </c>
      <c r="J78" s="3">
        <f t="shared" si="84"/>
        <v>0</v>
      </c>
      <c r="K78" s="3"/>
      <c r="L78" s="3" t="str">
        <f t="shared" si="2"/>
        <v>x</v>
      </c>
      <c r="M78" s="3"/>
      <c r="N78" s="3">
        <f t="shared" si="3"/>
        <v>0</v>
      </c>
      <c r="O78" s="3" t="str">
        <f t="shared" si="4"/>
        <v>-</v>
      </c>
      <c r="P78" s="3"/>
      <c r="Q78" s="3" t="b">
        <f t="shared" si="5"/>
        <v>0</v>
      </c>
      <c r="R78" s="3" t="b">
        <f t="shared" si="6"/>
        <v>0</v>
      </c>
      <c r="S78" s="3" t="b">
        <f t="shared" si="7"/>
        <v>0</v>
      </c>
      <c r="T78" s="3" t="b">
        <f t="shared" si="8"/>
        <v>0</v>
      </c>
      <c r="U78" s="3" t="b">
        <f t="shared" si="9"/>
        <v>1</v>
      </c>
      <c r="V78" s="3"/>
      <c r="W78" s="3" cm="1">
        <f t="array" ref="W78">IF(OR(J78="Brasil",N78="Brasil"),2*_xlfn.IFS(Q78=TRUE,6,R78=TRUE,4,AND(S78=TRUE,T78=FALSE),3,T78=TRUE,2,U78=TRUE,0),_xlfn.IFS(Q78=TRUE,6,R78=TRUE,4,AND(S78=TRUE,T78=FALSE),3,T78=TRUE,2,U78=TRUE,0))</f>
        <v>0</v>
      </c>
      <c r="X78" s="3"/>
      <c r="Y78" s="3"/>
    </row>
    <row r="79" spans="1:25" ht="14.25" customHeight="1" x14ac:dyDescent="0.3">
      <c r="A79" s="3">
        <f>'Tabela de Jogos'!A79</f>
        <v>77</v>
      </c>
      <c r="B79" s="3">
        <f>'Tabela de Jogos'!B79</f>
        <v>0</v>
      </c>
      <c r="C79" s="3">
        <f>'Tabela de Jogos'!C79</f>
        <v>0</v>
      </c>
      <c r="D79" s="3" t="str">
        <f>'Tabela de Jogos'!D79</f>
        <v>x</v>
      </c>
      <c r="E79" s="3">
        <f>'Tabela de Jogos'!E79</f>
        <v>0</v>
      </c>
      <c r="F79" s="3">
        <f>'Tabela de Jogos'!F79</f>
        <v>0</v>
      </c>
      <c r="G79" s="3" t="str">
        <f>'Tabela de Jogos'!G79</f>
        <v>-</v>
      </c>
      <c r="H79" s="3"/>
      <c r="I79" s="3">
        <f t="shared" ref="I79:J79" si="85">A79</f>
        <v>77</v>
      </c>
      <c r="J79" s="3">
        <f t="shared" si="85"/>
        <v>0</v>
      </c>
      <c r="K79" s="3"/>
      <c r="L79" s="3" t="str">
        <f t="shared" si="2"/>
        <v>x</v>
      </c>
      <c r="M79" s="3"/>
      <c r="N79" s="3">
        <f t="shared" si="3"/>
        <v>0</v>
      </c>
      <c r="O79" s="3" t="str">
        <f t="shared" si="4"/>
        <v>-</v>
      </c>
      <c r="P79" s="3"/>
      <c r="Q79" s="3" t="b">
        <f t="shared" si="5"/>
        <v>0</v>
      </c>
      <c r="R79" s="3" t="b">
        <f t="shared" si="6"/>
        <v>0</v>
      </c>
      <c r="S79" s="3" t="b">
        <f t="shared" si="7"/>
        <v>0</v>
      </c>
      <c r="T79" s="3" t="b">
        <f t="shared" si="8"/>
        <v>0</v>
      </c>
      <c r="U79" s="3" t="b">
        <f t="shared" si="9"/>
        <v>1</v>
      </c>
      <c r="V79" s="3"/>
      <c r="W79" s="3" cm="1">
        <f t="array" ref="W79">IF(OR(J79="Brasil",N79="Brasil"),2*_xlfn.IFS(Q79=TRUE,6,R79=TRUE,4,AND(S79=TRUE,T79=FALSE),3,T79=TRUE,2,U79=TRUE,0),_xlfn.IFS(Q79=TRUE,6,R79=TRUE,4,AND(S79=TRUE,T79=FALSE),3,T79=TRUE,2,U79=TRUE,0))</f>
        <v>0</v>
      </c>
      <c r="X79" s="3"/>
      <c r="Y79" s="3"/>
    </row>
    <row r="80" spans="1:25" ht="14.25" customHeight="1" x14ac:dyDescent="0.3">
      <c r="A80" s="3">
        <f>'Tabela de Jogos'!A80</f>
        <v>78</v>
      </c>
      <c r="B80" s="3">
        <f>'Tabela de Jogos'!B80</f>
        <v>0</v>
      </c>
      <c r="C80" s="3">
        <f>'Tabela de Jogos'!C80</f>
        <v>0</v>
      </c>
      <c r="D80" s="3" t="str">
        <f>'Tabela de Jogos'!D80</f>
        <v>x</v>
      </c>
      <c r="E80" s="3">
        <f>'Tabela de Jogos'!E80</f>
        <v>0</v>
      </c>
      <c r="F80" s="3">
        <f>'Tabela de Jogos'!F80</f>
        <v>0</v>
      </c>
      <c r="G80" s="3" t="str">
        <f>'Tabela de Jogos'!G80</f>
        <v>-</v>
      </c>
      <c r="H80" s="3"/>
      <c r="I80" s="3">
        <f t="shared" ref="I80:J80" si="86">A80</f>
        <v>78</v>
      </c>
      <c r="J80" s="3">
        <f t="shared" si="86"/>
        <v>0</v>
      </c>
      <c r="K80" s="3"/>
      <c r="L80" s="3" t="str">
        <f t="shared" si="2"/>
        <v>x</v>
      </c>
      <c r="M80" s="3"/>
      <c r="N80" s="3">
        <f t="shared" si="3"/>
        <v>0</v>
      </c>
      <c r="O80" s="3" t="str">
        <f t="shared" si="4"/>
        <v>-</v>
      </c>
      <c r="P80" s="3"/>
      <c r="Q80" s="3" t="b">
        <f t="shared" si="5"/>
        <v>0</v>
      </c>
      <c r="R80" s="3" t="b">
        <f t="shared" si="6"/>
        <v>0</v>
      </c>
      <c r="S80" s="3" t="b">
        <f t="shared" si="7"/>
        <v>0</v>
      </c>
      <c r="T80" s="3" t="b">
        <f t="shared" si="8"/>
        <v>0</v>
      </c>
      <c r="U80" s="3" t="b">
        <f t="shared" si="9"/>
        <v>1</v>
      </c>
      <c r="V80" s="3"/>
      <c r="W80" s="3" cm="1">
        <f t="array" ref="W80">IF(OR(J80="Brasil",N80="Brasil"),2*_xlfn.IFS(Q80=TRUE,6,R80=TRUE,4,AND(S80=TRUE,T80=FALSE),3,T80=TRUE,2,U80=TRUE,0),_xlfn.IFS(Q80=TRUE,6,R80=TRUE,4,AND(S80=TRUE,T80=FALSE),3,T80=TRUE,2,U80=TRUE,0))</f>
        <v>0</v>
      </c>
      <c r="X80" s="3"/>
      <c r="Y80" s="3"/>
    </row>
    <row r="81" spans="1:25" ht="14.25" customHeight="1" x14ac:dyDescent="0.3">
      <c r="A81" s="3">
        <f>'Tabela de Jogos'!A81</f>
        <v>79</v>
      </c>
      <c r="B81" s="3">
        <f>'Tabela de Jogos'!B81</f>
        <v>0</v>
      </c>
      <c r="C81" s="3">
        <f>'Tabela de Jogos'!C81</f>
        <v>0</v>
      </c>
      <c r="D81" s="3" t="str">
        <f>'Tabela de Jogos'!D81</f>
        <v>x</v>
      </c>
      <c r="E81" s="3">
        <f>'Tabela de Jogos'!E81</f>
        <v>0</v>
      </c>
      <c r="F81" s="3">
        <f>'Tabela de Jogos'!F81</f>
        <v>0</v>
      </c>
      <c r="G81" s="3" t="str">
        <f>'Tabela de Jogos'!G81</f>
        <v>-</v>
      </c>
      <c r="H81" s="3"/>
      <c r="I81" s="3">
        <f t="shared" ref="I81:J81" si="87">A81</f>
        <v>79</v>
      </c>
      <c r="J81" s="3">
        <f t="shared" si="87"/>
        <v>0</v>
      </c>
      <c r="K81" s="3"/>
      <c r="L81" s="3" t="str">
        <f t="shared" si="2"/>
        <v>x</v>
      </c>
      <c r="M81" s="3"/>
      <c r="N81" s="3">
        <f t="shared" si="3"/>
        <v>0</v>
      </c>
      <c r="O81" s="3" t="str">
        <f t="shared" si="4"/>
        <v>-</v>
      </c>
      <c r="P81" s="3"/>
      <c r="Q81" s="3" t="b">
        <f t="shared" si="5"/>
        <v>0</v>
      </c>
      <c r="R81" s="3" t="b">
        <f t="shared" si="6"/>
        <v>0</v>
      </c>
      <c r="S81" s="3" t="b">
        <f t="shared" si="7"/>
        <v>0</v>
      </c>
      <c r="T81" s="3" t="b">
        <f t="shared" si="8"/>
        <v>0</v>
      </c>
      <c r="U81" s="3" t="b">
        <f t="shared" si="9"/>
        <v>1</v>
      </c>
      <c r="V81" s="3"/>
      <c r="W81" s="3" cm="1">
        <f t="array" ref="W81">IF(OR(J81="Brasil",N81="Brasil"),2*_xlfn.IFS(Q81=TRUE,6,R81=TRUE,4,AND(S81=TRUE,T81=FALSE),3,T81=TRUE,2,U81=TRUE,0),_xlfn.IFS(Q81=TRUE,6,R81=TRUE,4,AND(S81=TRUE,T81=FALSE),3,T81=TRUE,2,U81=TRUE,0))</f>
        <v>0</v>
      </c>
      <c r="X81" s="3"/>
      <c r="Y81" s="3"/>
    </row>
    <row r="82" spans="1:25" ht="14.25" customHeight="1" x14ac:dyDescent="0.3">
      <c r="A82" s="3">
        <f>'Tabela de Jogos'!A82</f>
        <v>80</v>
      </c>
      <c r="B82" s="3">
        <f>'Tabela de Jogos'!B82</f>
        <v>0</v>
      </c>
      <c r="C82" s="3">
        <f>'Tabela de Jogos'!C82</f>
        <v>0</v>
      </c>
      <c r="D82" s="3" t="str">
        <f>'Tabela de Jogos'!D82</f>
        <v>x</v>
      </c>
      <c r="E82" s="3">
        <f>'Tabela de Jogos'!E82</f>
        <v>0</v>
      </c>
      <c r="F82" s="3">
        <f>'Tabela de Jogos'!F82</f>
        <v>0</v>
      </c>
      <c r="G82" s="3" t="str">
        <f>'Tabela de Jogos'!G82</f>
        <v>-</v>
      </c>
      <c r="H82" s="3"/>
      <c r="I82" s="3">
        <f t="shared" ref="I82:J82" si="88">A82</f>
        <v>80</v>
      </c>
      <c r="J82" s="3">
        <f t="shared" si="88"/>
        <v>0</v>
      </c>
      <c r="K82" s="3"/>
      <c r="L82" s="3" t="str">
        <f t="shared" si="2"/>
        <v>x</v>
      </c>
      <c r="M82" s="3"/>
      <c r="N82" s="3">
        <f t="shared" si="3"/>
        <v>0</v>
      </c>
      <c r="O82" s="3" t="str">
        <f t="shared" si="4"/>
        <v>-</v>
      </c>
      <c r="P82" s="3"/>
      <c r="Q82" s="3" t="b">
        <f t="shared" si="5"/>
        <v>0</v>
      </c>
      <c r="R82" s="3" t="b">
        <f t="shared" si="6"/>
        <v>0</v>
      </c>
      <c r="S82" s="3" t="b">
        <f t="shared" si="7"/>
        <v>0</v>
      </c>
      <c r="T82" s="3" t="b">
        <f t="shared" si="8"/>
        <v>0</v>
      </c>
      <c r="U82" s="3" t="b">
        <f t="shared" si="9"/>
        <v>1</v>
      </c>
      <c r="V82" s="3"/>
      <c r="W82" s="3" cm="1">
        <f t="array" ref="W82">IF(OR(J82="Brasil",N82="Brasil"),2*_xlfn.IFS(Q82=TRUE,6,R82=TRUE,4,AND(S82=TRUE,T82=FALSE),3,T82=TRUE,2,U82=TRUE,0),_xlfn.IFS(Q82=TRUE,6,R82=TRUE,4,AND(S82=TRUE,T82=FALSE),3,T82=TRUE,2,U82=TRUE,0))</f>
        <v>0</v>
      </c>
      <c r="X82" s="3"/>
      <c r="Y82" s="3"/>
    </row>
    <row r="83" spans="1:25" ht="14.25" customHeight="1" x14ac:dyDescent="0.3">
      <c r="A83" s="3">
        <f>'Tabela de Jogos'!A83</f>
        <v>81</v>
      </c>
      <c r="B83" s="3">
        <f>'Tabela de Jogos'!B83</f>
        <v>0</v>
      </c>
      <c r="C83" s="3">
        <f>'Tabela de Jogos'!C83</f>
        <v>0</v>
      </c>
      <c r="D83" s="3" t="str">
        <f>'Tabela de Jogos'!D83</f>
        <v>x</v>
      </c>
      <c r="E83" s="3">
        <f>'Tabela de Jogos'!E83</f>
        <v>0</v>
      </c>
      <c r="F83" s="3">
        <f>'Tabela de Jogos'!F83</f>
        <v>0</v>
      </c>
      <c r="G83" s="3" t="str">
        <f>'Tabela de Jogos'!G83</f>
        <v>-</v>
      </c>
      <c r="H83" s="3"/>
      <c r="I83" s="3">
        <f t="shared" ref="I83:J83" si="89">A83</f>
        <v>81</v>
      </c>
      <c r="J83" s="3">
        <f t="shared" si="89"/>
        <v>0</v>
      </c>
      <c r="K83" s="3"/>
      <c r="L83" s="3" t="str">
        <f t="shared" si="2"/>
        <v>x</v>
      </c>
      <c r="M83" s="3"/>
      <c r="N83" s="3">
        <f t="shared" si="3"/>
        <v>0</v>
      </c>
      <c r="O83" s="3" t="str">
        <f t="shared" si="4"/>
        <v>-</v>
      </c>
      <c r="P83" s="3"/>
      <c r="Q83" s="3" t="b">
        <f t="shared" si="5"/>
        <v>0</v>
      </c>
      <c r="R83" s="3" t="b">
        <f t="shared" si="6"/>
        <v>0</v>
      </c>
      <c r="S83" s="3" t="b">
        <f t="shared" si="7"/>
        <v>0</v>
      </c>
      <c r="T83" s="3" t="b">
        <f t="shared" si="8"/>
        <v>0</v>
      </c>
      <c r="U83" s="3" t="b">
        <f t="shared" si="9"/>
        <v>1</v>
      </c>
      <c r="V83" s="3"/>
      <c r="W83" s="3" cm="1">
        <f t="array" ref="W83">IF(OR(J83="Brasil",N83="Brasil"),2*_xlfn.IFS(Q83=TRUE,6,R83=TRUE,4,AND(S83=TRUE,T83=FALSE),3,T83=TRUE,2,U83=TRUE,0),_xlfn.IFS(Q83=TRUE,6,R83=TRUE,4,AND(S83=TRUE,T83=FALSE),3,T83=TRUE,2,U83=TRUE,0))</f>
        <v>0</v>
      </c>
      <c r="X83" s="3"/>
      <c r="Y83" s="3"/>
    </row>
    <row r="84" spans="1:25" ht="14.25" customHeight="1" x14ac:dyDescent="0.3">
      <c r="A84" s="3">
        <f>'Tabela de Jogos'!A84</f>
        <v>82</v>
      </c>
      <c r="B84" s="3">
        <f>'Tabela de Jogos'!B84</f>
        <v>0</v>
      </c>
      <c r="C84" s="3">
        <f>'Tabela de Jogos'!C84</f>
        <v>0</v>
      </c>
      <c r="D84" s="3" t="str">
        <f>'Tabela de Jogos'!D84</f>
        <v>x</v>
      </c>
      <c r="E84" s="3">
        <f>'Tabela de Jogos'!E84</f>
        <v>0</v>
      </c>
      <c r="F84" s="3">
        <f>'Tabela de Jogos'!F84</f>
        <v>0</v>
      </c>
      <c r="G84" s="3" t="str">
        <f>'Tabela de Jogos'!G84</f>
        <v>-</v>
      </c>
      <c r="H84" s="3"/>
      <c r="I84" s="3">
        <f t="shared" ref="I84:J84" si="90">A84</f>
        <v>82</v>
      </c>
      <c r="J84" s="3">
        <f t="shared" si="90"/>
        <v>0</v>
      </c>
      <c r="K84" s="3"/>
      <c r="L84" s="3" t="str">
        <f t="shared" si="2"/>
        <v>x</v>
      </c>
      <c r="M84" s="3"/>
      <c r="N84" s="3">
        <f t="shared" si="3"/>
        <v>0</v>
      </c>
      <c r="O84" s="3" t="str">
        <f t="shared" si="4"/>
        <v>-</v>
      </c>
      <c r="P84" s="3"/>
      <c r="Q84" s="3" t="b">
        <f t="shared" si="5"/>
        <v>0</v>
      </c>
      <c r="R84" s="3" t="b">
        <f t="shared" si="6"/>
        <v>0</v>
      </c>
      <c r="S84" s="3" t="b">
        <f t="shared" si="7"/>
        <v>0</v>
      </c>
      <c r="T84" s="3" t="b">
        <f t="shared" si="8"/>
        <v>0</v>
      </c>
      <c r="U84" s="3" t="b">
        <f t="shared" si="9"/>
        <v>1</v>
      </c>
      <c r="V84" s="3"/>
      <c r="W84" s="3" cm="1">
        <f t="array" ref="W84">IF(OR(J84="Brasil",N84="Brasil"),2*_xlfn.IFS(Q84=TRUE,6,R84=TRUE,4,AND(S84=TRUE,T84=FALSE),3,T84=TRUE,2,U84=TRUE,0),_xlfn.IFS(Q84=TRUE,6,R84=TRUE,4,AND(S84=TRUE,T84=FALSE),3,T84=TRUE,2,U84=TRUE,0))</f>
        <v>0</v>
      </c>
      <c r="X84" s="3"/>
      <c r="Y84" s="3"/>
    </row>
    <row r="85" spans="1:25" ht="14.25" customHeight="1" x14ac:dyDescent="0.3">
      <c r="A85" s="3">
        <f>'Tabela de Jogos'!A85</f>
        <v>83</v>
      </c>
      <c r="B85" s="3">
        <f>'Tabela de Jogos'!B85</f>
        <v>0</v>
      </c>
      <c r="C85" s="3">
        <f>'Tabela de Jogos'!C85</f>
        <v>0</v>
      </c>
      <c r="D85" s="3" t="str">
        <f>'Tabela de Jogos'!D85</f>
        <v>x</v>
      </c>
      <c r="E85" s="3">
        <f>'Tabela de Jogos'!E85</f>
        <v>0</v>
      </c>
      <c r="F85" s="3">
        <f>'Tabela de Jogos'!F85</f>
        <v>0</v>
      </c>
      <c r="G85" s="3" t="str">
        <f>'Tabela de Jogos'!G85</f>
        <v>-</v>
      </c>
      <c r="H85" s="3"/>
      <c r="I85" s="3">
        <f t="shared" ref="I85:J85" si="91">A85</f>
        <v>83</v>
      </c>
      <c r="J85" s="3">
        <f t="shared" si="91"/>
        <v>0</v>
      </c>
      <c r="K85" s="3"/>
      <c r="L85" s="3" t="str">
        <f t="shared" si="2"/>
        <v>x</v>
      </c>
      <c r="M85" s="3"/>
      <c r="N85" s="3">
        <f t="shared" si="3"/>
        <v>0</v>
      </c>
      <c r="O85" s="3" t="str">
        <f t="shared" si="4"/>
        <v>-</v>
      </c>
      <c r="P85" s="3"/>
      <c r="Q85" s="3" t="b">
        <f t="shared" si="5"/>
        <v>0</v>
      </c>
      <c r="R85" s="3" t="b">
        <f t="shared" si="6"/>
        <v>0</v>
      </c>
      <c r="S85" s="3" t="b">
        <f t="shared" si="7"/>
        <v>0</v>
      </c>
      <c r="T85" s="3" t="b">
        <f t="shared" si="8"/>
        <v>0</v>
      </c>
      <c r="U85" s="3" t="b">
        <f t="shared" si="9"/>
        <v>1</v>
      </c>
      <c r="V85" s="3"/>
      <c r="W85" s="3" cm="1">
        <f t="array" ref="W85">IF(OR(J85="Brasil",N85="Brasil"),2*_xlfn.IFS(Q85=TRUE,6,R85=TRUE,4,AND(S85=TRUE,T85=FALSE),3,T85=TRUE,2,U85=TRUE,0),_xlfn.IFS(Q85=TRUE,6,R85=TRUE,4,AND(S85=TRUE,T85=FALSE),3,T85=TRUE,2,U85=TRUE,0))</f>
        <v>0</v>
      </c>
      <c r="X85" s="3"/>
      <c r="Y85" s="3"/>
    </row>
    <row r="86" spans="1:25" ht="14.25" customHeight="1" x14ac:dyDescent="0.3">
      <c r="A86" s="3">
        <f>'Tabela de Jogos'!A86</f>
        <v>84</v>
      </c>
      <c r="B86" s="3">
        <f>'Tabela de Jogos'!B86</f>
        <v>0</v>
      </c>
      <c r="C86" s="3">
        <f>'Tabela de Jogos'!C86</f>
        <v>0</v>
      </c>
      <c r="D86" s="3" t="str">
        <f>'Tabela de Jogos'!D86</f>
        <v>x</v>
      </c>
      <c r="E86" s="3">
        <f>'Tabela de Jogos'!E86</f>
        <v>0</v>
      </c>
      <c r="F86" s="3">
        <f>'Tabela de Jogos'!F86</f>
        <v>0</v>
      </c>
      <c r="G86" s="3" t="str">
        <f>'Tabela de Jogos'!G86</f>
        <v>-</v>
      </c>
      <c r="H86" s="3"/>
      <c r="I86" s="3">
        <f t="shared" ref="I86:J86" si="92">A86</f>
        <v>84</v>
      </c>
      <c r="J86" s="3">
        <f t="shared" si="92"/>
        <v>0</v>
      </c>
      <c r="K86" s="3"/>
      <c r="L86" s="3" t="str">
        <f t="shared" si="2"/>
        <v>x</v>
      </c>
      <c r="M86" s="3"/>
      <c r="N86" s="3">
        <f t="shared" si="3"/>
        <v>0</v>
      </c>
      <c r="O86" s="3" t="str">
        <f t="shared" si="4"/>
        <v>-</v>
      </c>
      <c r="P86" s="3"/>
      <c r="Q86" s="3" t="b">
        <f t="shared" si="5"/>
        <v>0</v>
      </c>
      <c r="R86" s="3" t="b">
        <f t="shared" si="6"/>
        <v>0</v>
      </c>
      <c r="S86" s="3" t="b">
        <f t="shared" si="7"/>
        <v>0</v>
      </c>
      <c r="T86" s="3" t="b">
        <f t="shared" si="8"/>
        <v>0</v>
      </c>
      <c r="U86" s="3" t="b">
        <f t="shared" si="9"/>
        <v>1</v>
      </c>
      <c r="V86" s="3"/>
      <c r="W86" s="3" cm="1">
        <f t="array" ref="W86">IF(OR(J86="Brasil",N86="Brasil"),2*_xlfn.IFS(Q86=TRUE,6,R86=TRUE,4,AND(S86=TRUE,T86=FALSE),3,T86=TRUE,2,U86=TRUE,0),_xlfn.IFS(Q86=TRUE,6,R86=TRUE,4,AND(S86=TRUE,T86=FALSE),3,T86=TRUE,2,U86=TRUE,0))</f>
        <v>0</v>
      </c>
      <c r="X86" s="3"/>
      <c r="Y86" s="3"/>
    </row>
    <row r="87" spans="1:25" ht="14.25" customHeight="1" x14ac:dyDescent="0.3">
      <c r="A87" s="3">
        <f>'Tabela de Jogos'!A87</f>
        <v>85</v>
      </c>
      <c r="B87" s="3">
        <f>'Tabela de Jogos'!B87</f>
        <v>0</v>
      </c>
      <c r="C87" s="3">
        <f>'Tabela de Jogos'!C87</f>
        <v>0</v>
      </c>
      <c r="D87" s="3" t="str">
        <f>'Tabela de Jogos'!D87</f>
        <v>x</v>
      </c>
      <c r="E87" s="3">
        <f>'Tabela de Jogos'!E87</f>
        <v>0</v>
      </c>
      <c r="F87" s="3">
        <f>'Tabela de Jogos'!F87</f>
        <v>0</v>
      </c>
      <c r="G87" s="3" t="str">
        <f>'Tabela de Jogos'!G87</f>
        <v>-</v>
      </c>
      <c r="H87" s="3"/>
      <c r="I87" s="3">
        <f t="shared" ref="I87:J87" si="93">A87</f>
        <v>85</v>
      </c>
      <c r="J87" s="3">
        <f t="shared" si="93"/>
        <v>0</v>
      </c>
      <c r="K87" s="3"/>
      <c r="L87" s="3" t="str">
        <f t="shared" si="2"/>
        <v>x</v>
      </c>
      <c r="M87" s="3"/>
      <c r="N87" s="3">
        <f t="shared" si="3"/>
        <v>0</v>
      </c>
      <c r="O87" s="3" t="str">
        <f t="shared" si="4"/>
        <v>-</v>
      </c>
      <c r="P87" s="3"/>
      <c r="Q87" s="3" t="b">
        <f t="shared" si="5"/>
        <v>0</v>
      </c>
      <c r="R87" s="3" t="b">
        <f t="shared" si="6"/>
        <v>0</v>
      </c>
      <c r="S87" s="3" t="b">
        <f t="shared" si="7"/>
        <v>0</v>
      </c>
      <c r="T87" s="3" t="b">
        <f t="shared" si="8"/>
        <v>0</v>
      </c>
      <c r="U87" s="3" t="b">
        <f t="shared" si="9"/>
        <v>1</v>
      </c>
      <c r="V87" s="3"/>
      <c r="W87" s="3" cm="1">
        <f t="array" ref="W87">IF(OR(J87="Brasil",N87="Brasil"),2*_xlfn.IFS(Q87=TRUE,6,R87=TRUE,4,AND(S87=TRUE,T87=FALSE),3,T87=TRUE,2,U87=TRUE,0),_xlfn.IFS(Q87=TRUE,6,R87=TRUE,4,AND(S87=TRUE,T87=FALSE),3,T87=TRUE,2,U87=TRUE,0))</f>
        <v>0</v>
      </c>
      <c r="X87" s="3"/>
      <c r="Y87" s="3"/>
    </row>
    <row r="88" spans="1:25" ht="14.25" customHeight="1" x14ac:dyDescent="0.3">
      <c r="A88" s="3">
        <f>'Tabela de Jogos'!A88</f>
        <v>86</v>
      </c>
      <c r="B88" s="3">
        <f>'Tabela de Jogos'!B88</f>
        <v>0</v>
      </c>
      <c r="C88" s="3">
        <f>'Tabela de Jogos'!C88</f>
        <v>0</v>
      </c>
      <c r="D88" s="3" t="str">
        <f>'Tabela de Jogos'!D88</f>
        <v>x</v>
      </c>
      <c r="E88" s="3">
        <f>'Tabela de Jogos'!E88</f>
        <v>0</v>
      </c>
      <c r="F88" s="3">
        <f>'Tabela de Jogos'!F88</f>
        <v>0</v>
      </c>
      <c r="G88" s="3" t="str">
        <f>'Tabela de Jogos'!G88</f>
        <v>-</v>
      </c>
      <c r="H88" s="3"/>
      <c r="I88" s="3">
        <f t="shared" ref="I88:J88" si="94">A88</f>
        <v>86</v>
      </c>
      <c r="J88" s="3">
        <f t="shared" si="94"/>
        <v>0</v>
      </c>
      <c r="K88" s="3"/>
      <c r="L88" s="3" t="str">
        <f t="shared" si="2"/>
        <v>x</v>
      </c>
      <c r="M88" s="3"/>
      <c r="N88" s="3">
        <f t="shared" si="3"/>
        <v>0</v>
      </c>
      <c r="O88" s="3" t="str">
        <f t="shared" si="4"/>
        <v>-</v>
      </c>
      <c r="P88" s="3"/>
      <c r="Q88" s="3" t="b">
        <f t="shared" si="5"/>
        <v>0</v>
      </c>
      <c r="R88" s="3" t="b">
        <f t="shared" si="6"/>
        <v>0</v>
      </c>
      <c r="S88" s="3" t="b">
        <f t="shared" si="7"/>
        <v>0</v>
      </c>
      <c r="T88" s="3" t="b">
        <f t="shared" si="8"/>
        <v>0</v>
      </c>
      <c r="U88" s="3" t="b">
        <f t="shared" si="9"/>
        <v>1</v>
      </c>
      <c r="V88" s="3"/>
      <c r="W88" s="3" cm="1">
        <f t="array" ref="W88">IF(OR(J88="Brasil",N88="Brasil"),2*_xlfn.IFS(Q88=TRUE,6,R88=TRUE,4,AND(S88=TRUE,T88=FALSE),3,T88=TRUE,2,U88=TRUE,0),_xlfn.IFS(Q88=TRUE,6,R88=TRUE,4,AND(S88=TRUE,T88=FALSE),3,T88=TRUE,2,U88=TRUE,0))</f>
        <v>0</v>
      </c>
      <c r="X88" s="3"/>
      <c r="Y88" s="3"/>
    </row>
    <row r="89" spans="1:25" ht="14.25" customHeight="1" x14ac:dyDescent="0.3">
      <c r="A89" s="3">
        <f>'Tabela de Jogos'!A89</f>
        <v>87</v>
      </c>
      <c r="B89" s="3">
        <f>'Tabela de Jogos'!B89</f>
        <v>0</v>
      </c>
      <c r="C89" s="3">
        <f>'Tabela de Jogos'!C89</f>
        <v>0</v>
      </c>
      <c r="D89" s="3" t="str">
        <f>'Tabela de Jogos'!D89</f>
        <v>x</v>
      </c>
      <c r="E89" s="3">
        <f>'Tabela de Jogos'!E89</f>
        <v>0</v>
      </c>
      <c r="F89" s="3">
        <f>'Tabela de Jogos'!F89</f>
        <v>0</v>
      </c>
      <c r="G89" s="3" t="str">
        <f>'Tabela de Jogos'!G89</f>
        <v>-</v>
      </c>
      <c r="H89" s="3"/>
      <c r="I89" s="3">
        <f t="shared" ref="I89:J89" si="95">A89</f>
        <v>87</v>
      </c>
      <c r="J89" s="3">
        <f t="shared" si="95"/>
        <v>0</v>
      </c>
      <c r="K89" s="3"/>
      <c r="L89" s="3" t="str">
        <f t="shared" si="2"/>
        <v>x</v>
      </c>
      <c r="M89" s="3"/>
      <c r="N89" s="3">
        <f t="shared" si="3"/>
        <v>0</v>
      </c>
      <c r="O89" s="3" t="str">
        <f t="shared" si="4"/>
        <v>-</v>
      </c>
      <c r="P89" s="3"/>
      <c r="Q89" s="3" t="b">
        <f t="shared" si="5"/>
        <v>0</v>
      </c>
      <c r="R89" s="3" t="b">
        <f t="shared" si="6"/>
        <v>0</v>
      </c>
      <c r="S89" s="3" t="b">
        <f t="shared" si="7"/>
        <v>0</v>
      </c>
      <c r="T89" s="3" t="b">
        <f t="shared" si="8"/>
        <v>0</v>
      </c>
      <c r="U89" s="3" t="b">
        <f t="shared" si="9"/>
        <v>1</v>
      </c>
      <c r="V89" s="3"/>
      <c r="W89" s="3" cm="1">
        <f t="array" ref="W89">IF(OR(J89="Brasil",N89="Brasil"),2*_xlfn.IFS(Q89=TRUE,6,R89=TRUE,4,AND(S89=TRUE,T89=FALSE),3,T89=TRUE,2,U89=TRUE,0),_xlfn.IFS(Q89=TRUE,6,R89=TRUE,4,AND(S89=TRUE,T89=FALSE),3,T89=TRUE,2,U89=TRUE,0))</f>
        <v>0</v>
      </c>
      <c r="X89" s="3"/>
      <c r="Y89" s="3"/>
    </row>
    <row r="90" spans="1:25" ht="14.25" customHeight="1" x14ac:dyDescent="0.3">
      <c r="A90" s="3">
        <f>'Tabela de Jogos'!A90</f>
        <v>88</v>
      </c>
      <c r="B90" s="3">
        <f>'Tabela de Jogos'!B90</f>
        <v>0</v>
      </c>
      <c r="C90" s="3">
        <f>'Tabela de Jogos'!C90</f>
        <v>0</v>
      </c>
      <c r="D90" s="3" t="str">
        <f>'Tabela de Jogos'!D90</f>
        <v>x</v>
      </c>
      <c r="E90" s="3">
        <f>'Tabela de Jogos'!E90</f>
        <v>0</v>
      </c>
      <c r="F90" s="3">
        <f>'Tabela de Jogos'!F90</f>
        <v>0</v>
      </c>
      <c r="G90" s="3" t="str">
        <f>'Tabela de Jogos'!G90</f>
        <v>-</v>
      </c>
      <c r="H90" s="3"/>
      <c r="I90" s="3">
        <f t="shared" ref="I90:J90" si="96">A90</f>
        <v>88</v>
      </c>
      <c r="J90" s="3">
        <f t="shared" si="96"/>
        <v>0</v>
      </c>
      <c r="K90" s="3"/>
      <c r="L90" s="3" t="str">
        <f t="shared" si="2"/>
        <v>x</v>
      </c>
      <c r="M90" s="3"/>
      <c r="N90" s="3">
        <f t="shared" si="3"/>
        <v>0</v>
      </c>
      <c r="O90" s="3" t="str">
        <f t="shared" si="4"/>
        <v>-</v>
      </c>
      <c r="P90" s="3"/>
      <c r="Q90" s="3" t="b">
        <f t="shared" si="5"/>
        <v>0</v>
      </c>
      <c r="R90" s="3" t="b">
        <f t="shared" si="6"/>
        <v>0</v>
      </c>
      <c r="S90" s="3" t="b">
        <f t="shared" si="7"/>
        <v>0</v>
      </c>
      <c r="T90" s="3" t="b">
        <f t="shared" si="8"/>
        <v>0</v>
      </c>
      <c r="U90" s="3" t="b">
        <f t="shared" si="9"/>
        <v>1</v>
      </c>
      <c r="V90" s="3"/>
      <c r="W90" s="3" cm="1">
        <f t="array" ref="W90">IF(OR(J90="Brasil",N90="Brasil"),2*_xlfn.IFS(Q90=TRUE,6,R90=TRUE,4,AND(S90=TRUE,T90=FALSE),3,T90=TRUE,2,U90=TRUE,0),_xlfn.IFS(Q90=TRUE,6,R90=TRUE,4,AND(S90=TRUE,T90=FALSE),3,T90=TRUE,2,U90=TRUE,0))</f>
        <v>0</v>
      </c>
      <c r="X90" s="3"/>
      <c r="Y90" s="3"/>
    </row>
    <row r="91" spans="1:25" ht="14.25" customHeight="1" x14ac:dyDescent="0.3">
      <c r="A91" s="3">
        <f>'Tabela de Jogos'!A91</f>
        <v>89</v>
      </c>
      <c r="B91" s="3">
        <f>'Tabela de Jogos'!B91</f>
        <v>0</v>
      </c>
      <c r="C91" s="3">
        <f>'Tabela de Jogos'!C91</f>
        <v>0</v>
      </c>
      <c r="D91" s="3" t="str">
        <f>'Tabela de Jogos'!D91</f>
        <v>x</v>
      </c>
      <c r="E91" s="3">
        <f>'Tabela de Jogos'!E91</f>
        <v>0</v>
      </c>
      <c r="F91" s="3">
        <f>'Tabela de Jogos'!F91</f>
        <v>0</v>
      </c>
      <c r="G91" s="3" t="str">
        <f>'Tabela de Jogos'!G91</f>
        <v>-</v>
      </c>
      <c r="H91" s="3"/>
      <c r="I91" s="3">
        <f t="shared" ref="I91:J91" si="97">A91</f>
        <v>89</v>
      </c>
      <c r="J91" s="3">
        <f t="shared" si="97"/>
        <v>0</v>
      </c>
      <c r="K91" s="3"/>
      <c r="L91" s="3" t="str">
        <f t="shared" si="2"/>
        <v>x</v>
      </c>
      <c r="M91" s="3"/>
      <c r="N91" s="3">
        <f t="shared" si="3"/>
        <v>0</v>
      </c>
      <c r="O91" s="3" t="str">
        <f t="shared" si="4"/>
        <v>-</v>
      </c>
      <c r="P91" s="3"/>
      <c r="Q91" s="3" t="b">
        <f t="shared" si="5"/>
        <v>0</v>
      </c>
      <c r="R91" s="3" t="b">
        <f t="shared" si="6"/>
        <v>0</v>
      </c>
      <c r="S91" s="3" t="b">
        <f t="shared" si="7"/>
        <v>0</v>
      </c>
      <c r="T91" s="3" t="b">
        <f t="shared" si="8"/>
        <v>0</v>
      </c>
      <c r="U91" s="3" t="b">
        <f t="shared" si="9"/>
        <v>1</v>
      </c>
      <c r="V91" s="3"/>
      <c r="W91" s="3" cm="1">
        <f t="array" ref="W91">IF(OR(J91="Brasil",N91="Brasil"),2*_xlfn.IFS(Q91=TRUE,6,R91=TRUE,4,AND(S91=TRUE,T91=FALSE),3,T91=TRUE,2,U91=TRUE,0),_xlfn.IFS(Q91=TRUE,6,R91=TRUE,4,AND(S91=TRUE,T91=FALSE),3,T91=TRUE,2,U91=TRUE,0))</f>
        <v>0</v>
      </c>
      <c r="X91" s="3"/>
      <c r="Y91" s="3"/>
    </row>
    <row r="92" spans="1:25" ht="14.25" customHeight="1" x14ac:dyDescent="0.3">
      <c r="A92" s="3">
        <f>'Tabela de Jogos'!A92</f>
        <v>90</v>
      </c>
      <c r="B92" s="3">
        <f>'Tabela de Jogos'!B92</f>
        <v>0</v>
      </c>
      <c r="C92" s="3">
        <f>'Tabela de Jogos'!C92</f>
        <v>0</v>
      </c>
      <c r="D92" s="3" t="str">
        <f>'Tabela de Jogos'!D92</f>
        <v>x</v>
      </c>
      <c r="E92" s="3">
        <f>'Tabela de Jogos'!E92</f>
        <v>0</v>
      </c>
      <c r="F92" s="3">
        <f>'Tabela de Jogos'!F92</f>
        <v>0</v>
      </c>
      <c r="G92" s="3" t="str">
        <f>'Tabela de Jogos'!G92</f>
        <v>-</v>
      </c>
      <c r="H92" s="3"/>
      <c r="I92" s="3">
        <f t="shared" ref="I92:J92" si="98">A92</f>
        <v>90</v>
      </c>
      <c r="J92" s="3">
        <f t="shared" si="98"/>
        <v>0</v>
      </c>
      <c r="K92" s="3"/>
      <c r="L92" s="3" t="str">
        <f t="shared" si="2"/>
        <v>x</v>
      </c>
      <c r="M92" s="3"/>
      <c r="N92" s="3">
        <f t="shared" si="3"/>
        <v>0</v>
      </c>
      <c r="O92" s="3" t="str">
        <f t="shared" si="4"/>
        <v>-</v>
      </c>
      <c r="P92" s="3"/>
      <c r="Q92" s="3" t="b">
        <f t="shared" si="5"/>
        <v>0</v>
      </c>
      <c r="R92" s="3" t="b">
        <f t="shared" si="6"/>
        <v>0</v>
      </c>
      <c r="S92" s="3" t="b">
        <f t="shared" si="7"/>
        <v>0</v>
      </c>
      <c r="T92" s="3" t="b">
        <f t="shared" si="8"/>
        <v>0</v>
      </c>
      <c r="U92" s="3" t="b">
        <f t="shared" si="9"/>
        <v>1</v>
      </c>
      <c r="V92" s="3"/>
      <c r="W92" s="3" cm="1">
        <f t="array" ref="W92">IF(OR(J92="Brasil",N92="Brasil"),2*_xlfn.IFS(Q92=TRUE,6,R92=TRUE,4,AND(S92=TRUE,T92=FALSE),3,T92=TRUE,2,U92=TRUE,0),_xlfn.IFS(Q92=TRUE,6,R92=TRUE,4,AND(S92=TRUE,T92=FALSE),3,T92=TRUE,2,U92=TRUE,0))</f>
        <v>0</v>
      </c>
      <c r="X92" s="3"/>
      <c r="Y92" s="3"/>
    </row>
    <row r="93" spans="1:25" ht="14.25" customHeight="1" x14ac:dyDescent="0.3">
      <c r="A93" s="3">
        <f>'Tabela de Jogos'!A93</f>
        <v>91</v>
      </c>
      <c r="B93" s="3">
        <f>'Tabela de Jogos'!B93</f>
        <v>0</v>
      </c>
      <c r="C93" s="3">
        <f>'Tabela de Jogos'!C93</f>
        <v>0</v>
      </c>
      <c r="D93" s="3" t="str">
        <f>'Tabela de Jogos'!D93</f>
        <v>x</v>
      </c>
      <c r="E93" s="3">
        <f>'Tabela de Jogos'!E93</f>
        <v>0</v>
      </c>
      <c r="F93" s="3">
        <f>'Tabela de Jogos'!F93</f>
        <v>0</v>
      </c>
      <c r="G93" s="3" t="str">
        <f>'Tabela de Jogos'!G93</f>
        <v>-</v>
      </c>
      <c r="H93" s="3"/>
      <c r="I93" s="3">
        <f t="shared" ref="I93:J93" si="99">A93</f>
        <v>91</v>
      </c>
      <c r="J93" s="3">
        <f t="shared" si="99"/>
        <v>0</v>
      </c>
      <c r="K93" s="3"/>
      <c r="L93" s="3" t="str">
        <f t="shared" si="2"/>
        <v>x</v>
      </c>
      <c r="M93" s="3"/>
      <c r="N93" s="3">
        <f t="shared" si="3"/>
        <v>0</v>
      </c>
      <c r="O93" s="3" t="str">
        <f t="shared" si="4"/>
        <v>-</v>
      </c>
      <c r="P93" s="3"/>
      <c r="Q93" s="3" t="b">
        <f t="shared" si="5"/>
        <v>0</v>
      </c>
      <c r="R93" s="3" t="b">
        <f t="shared" si="6"/>
        <v>0</v>
      </c>
      <c r="S93" s="3" t="b">
        <f t="shared" si="7"/>
        <v>0</v>
      </c>
      <c r="T93" s="3" t="b">
        <f t="shared" si="8"/>
        <v>0</v>
      </c>
      <c r="U93" s="3" t="b">
        <f t="shared" si="9"/>
        <v>1</v>
      </c>
      <c r="V93" s="3"/>
      <c r="W93" s="3" cm="1">
        <f t="array" ref="W93">IF(OR(J93="Brasil",N93="Brasil"),2*_xlfn.IFS(Q93=TRUE,6,R93=TRUE,4,AND(S93=TRUE,T93=FALSE),3,T93=TRUE,2,U93=TRUE,0),_xlfn.IFS(Q93=TRUE,6,R93=TRUE,4,AND(S93=TRUE,T93=FALSE),3,T93=TRUE,2,U93=TRUE,0))</f>
        <v>0</v>
      </c>
      <c r="X93" s="3"/>
      <c r="Y93" s="3"/>
    </row>
    <row r="94" spans="1:25" ht="14.25" customHeight="1" x14ac:dyDescent="0.3">
      <c r="A94" s="3">
        <f>'Tabela de Jogos'!A94</f>
        <v>92</v>
      </c>
      <c r="B94" s="3">
        <f>'Tabela de Jogos'!B94</f>
        <v>0</v>
      </c>
      <c r="C94" s="3">
        <f>'Tabela de Jogos'!C94</f>
        <v>0</v>
      </c>
      <c r="D94" s="3" t="str">
        <f>'Tabela de Jogos'!D94</f>
        <v>x</v>
      </c>
      <c r="E94" s="3">
        <f>'Tabela de Jogos'!E94</f>
        <v>0</v>
      </c>
      <c r="F94" s="3">
        <f>'Tabela de Jogos'!F94</f>
        <v>0</v>
      </c>
      <c r="G94" s="3" t="str">
        <f>'Tabela de Jogos'!G94</f>
        <v>-</v>
      </c>
      <c r="H94" s="3"/>
      <c r="I94" s="3">
        <f t="shared" ref="I94:J94" si="100">A94</f>
        <v>92</v>
      </c>
      <c r="J94" s="3">
        <f t="shared" si="100"/>
        <v>0</v>
      </c>
      <c r="K94" s="3"/>
      <c r="L94" s="3" t="str">
        <f t="shared" si="2"/>
        <v>x</v>
      </c>
      <c r="M94" s="3"/>
      <c r="N94" s="3">
        <f t="shared" si="3"/>
        <v>0</v>
      </c>
      <c r="O94" s="3" t="str">
        <f t="shared" si="4"/>
        <v>-</v>
      </c>
      <c r="P94" s="3"/>
      <c r="Q94" s="3" t="b">
        <f t="shared" si="5"/>
        <v>0</v>
      </c>
      <c r="R94" s="3" t="b">
        <f t="shared" si="6"/>
        <v>0</v>
      </c>
      <c r="S94" s="3" t="b">
        <f t="shared" si="7"/>
        <v>0</v>
      </c>
      <c r="T94" s="3" t="b">
        <f t="shared" si="8"/>
        <v>0</v>
      </c>
      <c r="U94" s="3" t="b">
        <f t="shared" si="9"/>
        <v>1</v>
      </c>
      <c r="V94" s="3"/>
      <c r="W94" s="3" cm="1">
        <f t="array" ref="W94">IF(OR(J94="Brasil",N94="Brasil"),2*_xlfn.IFS(Q94=TRUE,6,R94=TRUE,4,AND(S94=TRUE,T94=FALSE),3,T94=TRUE,2,U94=TRUE,0),_xlfn.IFS(Q94=TRUE,6,R94=TRUE,4,AND(S94=TRUE,T94=FALSE),3,T94=TRUE,2,U94=TRUE,0))</f>
        <v>0</v>
      </c>
      <c r="X94" s="3"/>
      <c r="Y94" s="3"/>
    </row>
    <row r="95" spans="1:25" ht="14.25" customHeight="1" x14ac:dyDescent="0.3">
      <c r="A95" s="3">
        <f>'Tabela de Jogos'!A95</f>
        <v>93</v>
      </c>
      <c r="B95" s="3">
        <f>'Tabela de Jogos'!B95</f>
        <v>0</v>
      </c>
      <c r="C95" s="3">
        <f>'Tabela de Jogos'!C95</f>
        <v>0</v>
      </c>
      <c r="D95" s="3" t="str">
        <f>'Tabela de Jogos'!D95</f>
        <v>x</v>
      </c>
      <c r="E95" s="3">
        <f>'Tabela de Jogos'!E95</f>
        <v>0</v>
      </c>
      <c r="F95" s="3">
        <f>'Tabela de Jogos'!F95</f>
        <v>0</v>
      </c>
      <c r="G95" s="3" t="str">
        <f>'Tabela de Jogos'!G95</f>
        <v>-</v>
      </c>
      <c r="H95" s="3"/>
      <c r="I95" s="3">
        <f t="shared" ref="I95:J95" si="101">A95</f>
        <v>93</v>
      </c>
      <c r="J95" s="3">
        <f t="shared" si="101"/>
        <v>0</v>
      </c>
      <c r="K95" s="3"/>
      <c r="L95" s="3" t="str">
        <f t="shared" si="2"/>
        <v>x</v>
      </c>
      <c r="M95" s="3"/>
      <c r="N95" s="3">
        <f t="shared" si="3"/>
        <v>0</v>
      </c>
      <c r="O95" s="3" t="str">
        <f t="shared" si="4"/>
        <v>-</v>
      </c>
      <c r="P95" s="3"/>
      <c r="Q95" s="3" t="b">
        <f t="shared" si="5"/>
        <v>0</v>
      </c>
      <c r="R95" s="3" t="b">
        <f t="shared" si="6"/>
        <v>0</v>
      </c>
      <c r="S95" s="3" t="b">
        <f t="shared" si="7"/>
        <v>0</v>
      </c>
      <c r="T95" s="3" t="b">
        <f t="shared" si="8"/>
        <v>0</v>
      </c>
      <c r="U95" s="3" t="b">
        <f t="shared" si="9"/>
        <v>1</v>
      </c>
      <c r="V95" s="3"/>
      <c r="W95" s="3" cm="1">
        <f t="array" ref="W95">IF(OR(J95="Brasil",N95="Brasil"),2*_xlfn.IFS(Q95=TRUE,6,R95=TRUE,4,AND(S95=TRUE,T95=FALSE),3,T95=TRUE,2,U95=TRUE,0),_xlfn.IFS(Q95=TRUE,6,R95=TRUE,4,AND(S95=TRUE,T95=FALSE),3,T95=TRUE,2,U95=TRUE,0))</f>
        <v>0</v>
      </c>
      <c r="X95" s="3"/>
      <c r="Y95" s="3"/>
    </row>
    <row r="96" spans="1:25" ht="14.25" customHeight="1" x14ac:dyDescent="0.3">
      <c r="A96" s="3">
        <f>'Tabela de Jogos'!A96</f>
        <v>94</v>
      </c>
      <c r="B96" s="3">
        <f>'Tabela de Jogos'!B96</f>
        <v>0</v>
      </c>
      <c r="C96" s="3">
        <f>'Tabela de Jogos'!C96</f>
        <v>0</v>
      </c>
      <c r="D96" s="3" t="str">
        <f>'Tabela de Jogos'!D96</f>
        <v>x</v>
      </c>
      <c r="E96" s="3">
        <f>'Tabela de Jogos'!E96</f>
        <v>0</v>
      </c>
      <c r="F96" s="3">
        <f>'Tabela de Jogos'!F96</f>
        <v>0</v>
      </c>
      <c r="G96" s="3" t="str">
        <f>'Tabela de Jogos'!G96</f>
        <v>-</v>
      </c>
      <c r="H96" s="3"/>
      <c r="I96" s="3">
        <f t="shared" ref="I96:J96" si="102">A96</f>
        <v>94</v>
      </c>
      <c r="J96" s="3">
        <f t="shared" si="102"/>
        <v>0</v>
      </c>
      <c r="K96" s="3"/>
      <c r="L96" s="3" t="str">
        <f t="shared" si="2"/>
        <v>x</v>
      </c>
      <c r="M96" s="3"/>
      <c r="N96" s="3">
        <f t="shared" si="3"/>
        <v>0</v>
      </c>
      <c r="O96" s="3" t="str">
        <f t="shared" si="4"/>
        <v>-</v>
      </c>
      <c r="P96" s="3"/>
      <c r="Q96" s="3" t="b">
        <f t="shared" si="5"/>
        <v>0</v>
      </c>
      <c r="R96" s="3" t="b">
        <f t="shared" si="6"/>
        <v>0</v>
      </c>
      <c r="S96" s="3" t="b">
        <f t="shared" si="7"/>
        <v>0</v>
      </c>
      <c r="T96" s="3" t="b">
        <f t="shared" si="8"/>
        <v>0</v>
      </c>
      <c r="U96" s="3" t="b">
        <f t="shared" si="9"/>
        <v>1</v>
      </c>
      <c r="V96" s="3"/>
      <c r="W96" s="3" cm="1">
        <f t="array" ref="W96">IF(OR(J96="Brasil",N96="Brasil"),2*_xlfn.IFS(Q96=TRUE,6,R96=TRUE,4,AND(S96=TRUE,T96=FALSE),3,T96=TRUE,2,U96=TRUE,0),_xlfn.IFS(Q96=TRUE,6,R96=TRUE,4,AND(S96=TRUE,T96=FALSE),3,T96=TRUE,2,U96=TRUE,0))</f>
        <v>0</v>
      </c>
      <c r="X96" s="3"/>
      <c r="Y96" s="3"/>
    </row>
    <row r="97" spans="1:25" ht="14.25" customHeight="1" x14ac:dyDescent="0.3">
      <c r="A97" s="3">
        <f>'Tabela de Jogos'!A97</f>
        <v>95</v>
      </c>
      <c r="B97" s="3">
        <f>'Tabela de Jogos'!B97</f>
        <v>0</v>
      </c>
      <c r="C97" s="3">
        <f>'Tabela de Jogos'!C97</f>
        <v>0</v>
      </c>
      <c r="D97" s="3" t="str">
        <f>'Tabela de Jogos'!D97</f>
        <v>x</v>
      </c>
      <c r="E97" s="3">
        <f>'Tabela de Jogos'!E97</f>
        <v>0</v>
      </c>
      <c r="F97" s="3">
        <f>'Tabela de Jogos'!F97</f>
        <v>0</v>
      </c>
      <c r="G97" s="3" t="str">
        <f>'Tabela de Jogos'!G97</f>
        <v>-</v>
      </c>
      <c r="H97" s="3"/>
      <c r="I97" s="3">
        <f t="shared" ref="I97:J97" si="103">A97</f>
        <v>95</v>
      </c>
      <c r="J97" s="3">
        <f t="shared" si="103"/>
        <v>0</v>
      </c>
      <c r="K97" s="3"/>
      <c r="L97" s="3" t="str">
        <f t="shared" si="2"/>
        <v>x</v>
      </c>
      <c r="M97" s="3"/>
      <c r="N97" s="3">
        <f t="shared" si="3"/>
        <v>0</v>
      </c>
      <c r="O97" s="3" t="str">
        <f t="shared" si="4"/>
        <v>-</v>
      </c>
      <c r="P97" s="3"/>
      <c r="Q97" s="3" t="b">
        <f t="shared" si="5"/>
        <v>0</v>
      </c>
      <c r="R97" s="3" t="b">
        <f t="shared" si="6"/>
        <v>0</v>
      </c>
      <c r="S97" s="3" t="b">
        <f t="shared" si="7"/>
        <v>0</v>
      </c>
      <c r="T97" s="3" t="b">
        <f t="shared" si="8"/>
        <v>0</v>
      </c>
      <c r="U97" s="3" t="b">
        <f t="shared" si="9"/>
        <v>1</v>
      </c>
      <c r="V97" s="3"/>
      <c r="W97" s="3" cm="1">
        <f t="array" ref="W97">IF(OR(J97="Brasil",N97="Brasil"),2*_xlfn.IFS(Q97=TRUE,6,R97=TRUE,4,AND(S97=TRUE,T97=FALSE),3,T97=TRUE,2,U97=TRUE,0),_xlfn.IFS(Q97=TRUE,6,R97=TRUE,4,AND(S97=TRUE,T97=FALSE),3,T97=TRUE,2,U97=TRUE,0))</f>
        <v>0</v>
      </c>
      <c r="X97" s="3"/>
      <c r="Y97" s="3"/>
    </row>
    <row r="98" spans="1:25" ht="14.25" customHeight="1" x14ac:dyDescent="0.3">
      <c r="A98" s="3">
        <f>'Tabela de Jogos'!A98</f>
        <v>96</v>
      </c>
      <c r="B98" s="3">
        <f>'Tabela de Jogos'!B98</f>
        <v>0</v>
      </c>
      <c r="C98" s="3">
        <f>'Tabela de Jogos'!C98</f>
        <v>0</v>
      </c>
      <c r="D98" s="3" t="str">
        <f>'Tabela de Jogos'!D98</f>
        <v>x</v>
      </c>
      <c r="E98" s="3">
        <f>'Tabela de Jogos'!E98</f>
        <v>0</v>
      </c>
      <c r="F98" s="3">
        <f>'Tabela de Jogos'!F98</f>
        <v>0</v>
      </c>
      <c r="G98" s="3" t="str">
        <f>'Tabela de Jogos'!G98</f>
        <v>-</v>
      </c>
      <c r="H98" s="3"/>
      <c r="I98" s="3">
        <f t="shared" ref="I98:J98" si="104">A98</f>
        <v>96</v>
      </c>
      <c r="J98" s="3">
        <f t="shared" si="104"/>
        <v>0</v>
      </c>
      <c r="K98" s="3"/>
      <c r="L98" s="3" t="str">
        <f t="shared" si="2"/>
        <v>x</v>
      </c>
      <c r="M98" s="3"/>
      <c r="N98" s="3">
        <f t="shared" si="3"/>
        <v>0</v>
      </c>
      <c r="O98" s="3" t="str">
        <f t="shared" si="4"/>
        <v>-</v>
      </c>
      <c r="P98" s="3"/>
      <c r="Q98" s="3" t="b">
        <f t="shared" si="5"/>
        <v>0</v>
      </c>
      <c r="R98" s="3" t="b">
        <f t="shared" si="6"/>
        <v>0</v>
      </c>
      <c r="S98" s="3" t="b">
        <f t="shared" si="7"/>
        <v>0</v>
      </c>
      <c r="T98" s="3" t="b">
        <f t="shared" si="8"/>
        <v>0</v>
      </c>
      <c r="U98" s="3" t="b">
        <f t="shared" si="9"/>
        <v>1</v>
      </c>
      <c r="V98" s="3"/>
      <c r="W98" s="3" cm="1">
        <f t="array" ref="W98">IF(OR(J98="Brasil",N98="Brasil"),2*_xlfn.IFS(Q98=TRUE,6,R98=TRUE,4,AND(S98=TRUE,T98=FALSE),3,T98=TRUE,2,U98=TRUE,0),_xlfn.IFS(Q98=TRUE,6,R98=TRUE,4,AND(S98=TRUE,T98=FALSE),3,T98=TRUE,2,U98=TRUE,0))</f>
        <v>0</v>
      </c>
      <c r="X98" s="3"/>
      <c r="Y98" s="3"/>
    </row>
    <row r="99" spans="1:25" ht="14.25" customHeight="1" x14ac:dyDescent="0.3">
      <c r="A99" s="3">
        <f>'Tabela de Jogos'!A99</f>
        <v>97</v>
      </c>
      <c r="B99" s="3">
        <f>'Tabela de Jogos'!B99</f>
        <v>0</v>
      </c>
      <c r="C99" s="3">
        <f>'Tabela de Jogos'!C99</f>
        <v>0</v>
      </c>
      <c r="D99" s="3" t="str">
        <f>'Tabela de Jogos'!D99</f>
        <v>x</v>
      </c>
      <c r="E99" s="3">
        <f>'Tabela de Jogos'!E99</f>
        <v>0</v>
      </c>
      <c r="F99" s="3">
        <f>'Tabela de Jogos'!F99</f>
        <v>0</v>
      </c>
      <c r="G99" s="3" t="str">
        <f>'Tabela de Jogos'!G99</f>
        <v>-</v>
      </c>
      <c r="H99" s="3"/>
      <c r="I99" s="3">
        <f t="shared" ref="I99:J99" si="105">A99</f>
        <v>97</v>
      </c>
      <c r="J99" s="3">
        <f t="shared" si="105"/>
        <v>0</v>
      </c>
      <c r="K99" s="3"/>
      <c r="L99" s="3" t="str">
        <f t="shared" si="2"/>
        <v>x</v>
      </c>
      <c r="M99" s="3"/>
      <c r="N99" s="3">
        <f t="shared" si="3"/>
        <v>0</v>
      </c>
      <c r="O99" s="3" t="str">
        <f t="shared" si="4"/>
        <v>-</v>
      </c>
      <c r="P99" s="3"/>
      <c r="Q99" s="3" t="b">
        <f t="shared" si="5"/>
        <v>0</v>
      </c>
      <c r="R99" s="3" t="b">
        <f t="shared" si="6"/>
        <v>0</v>
      </c>
      <c r="S99" s="3" t="b">
        <f t="shared" si="7"/>
        <v>0</v>
      </c>
      <c r="T99" s="3" t="b">
        <f t="shared" si="8"/>
        <v>0</v>
      </c>
      <c r="U99" s="3" t="b">
        <f t="shared" si="9"/>
        <v>1</v>
      </c>
      <c r="V99" s="3"/>
      <c r="W99" s="3" cm="1">
        <f t="array" ref="W99">IF(OR(J99="Brasil",N99="Brasil"),2*_xlfn.IFS(Q99=TRUE,6,R99=TRUE,4,AND(S99=TRUE,T99=FALSE),3,T99=TRUE,2,U99=TRUE,0),_xlfn.IFS(Q99=TRUE,6,R99=TRUE,4,AND(S99=TRUE,T99=FALSE),3,T99=TRUE,2,U99=TRUE,0))</f>
        <v>0</v>
      </c>
      <c r="X99" s="3"/>
      <c r="Y99" s="3"/>
    </row>
    <row r="100" spans="1:25" ht="14.25" customHeight="1" x14ac:dyDescent="0.3">
      <c r="A100" s="3">
        <f>'Tabela de Jogos'!A100</f>
        <v>98</v>
      </c>
      <c r="B100" s="3">
        <f>'Tabela de Jogos'!B100</f>
        <v>0</v>
      </c>
      <c r="C100" s="3">
        <f>'Tabela de Jogos'!C100</f>
        <v>0</v>
      </c>
      <c r="D100" s="3" t="str">
        <f>'Tabela de Jogos'!D100</f>
        <v>x</v>
      </c>
      <c r="E100" s="3">
        <f>'Tabela de Jogos'!E100</f>
        <v>0</v>
      </c>
      <c r="F100" s="3">
        <f>'Tabela de Jogos'!F100</f>
        <v>0</v>
      </c>
      <c r="G100" s="3" t="str">
        <f>'Tabela de Jogos'!G100</f>
        <v>-</v>
      </c>
      <c r="H100" s="3"/>
      <c r="I100" s="3">
        <f t="shared" ref="I100:J100" si="106">A100</f>
        <v>98</v>
      </c>
      <c r="J100" s="3">
        <f t="shared" si="106"/>
        <v>0</v>
      </c>
      <c r="K100" s="3"/>
      <c r="L100" s="3" t="str">
        <f t="shared" si="2"/>
        <v>x</v>
      </c>
      <c r="M100" s="3"/>
      <c r="N100" s="3">
        <f t="shared" si="3"/>
        <v>0</v>
      </c>
      <c r="O100" s="3" t="str">
        <f t="shared" si="4"/>
        <v>-</v>
      </c>
      <c r="P100" s="3"/>
      <c r="Q100" s="3" t="b">
        <f t="shared" si="5"/>
        <v>0</v>
      </c>
      <c r="R100" s="3" t="b">
        <f t="shared" si="6"/>
        <v>0</v>
      </c>
      <c r="S100" s="3" t="b">
        <f t="shared" si="7"/>
        <v>0</v>
      </c>
      <c r="T100" s="3" t="b">
        <f t="shared" si="8"/>
        <v>0</v>
      </c>
      <c r="U100" s="3" t="b">
        <f t="shared" si="9"/>
        <v>1</v>
      </c>
      <c r="V100" s="3"/>
      <c r="W100" s="3" cm="1">
        <f t="array" ref="W100">IF(OR(J100="Brasil",N100="Brasil"),2*_xlfn.IFS(Q100=TRUE,6,R100=TRUE,4,AND(S100=TRUE,T100=FALSE),3,T100=TRUE,2,U100=TRUE,0),_xlfn.IFS(Q100=TRUE,6,R100=TRUE,4,AND(S100=TRUE,T100=FALSE),3,T100=TRUE,2,U100=TRUE,0))</f>
        <v>0</v>
      </c>
      <c r="X100" s="3"/>
      <c r="Y100" s="3"/>
    </row>
    <row r="101" spans="1:25" ht="14.25" customHeight="1" x14ac:dyDescent="0.3">
      <c r="A101" s="3">
        <f>'Tabela de Jogos'!A101</f>
        <v>99</v>
      </c>
      <c r="B101" s="3">
        <f>'Tabela de Jogos'!B101</f>
        <v>0</v>
      </c>
      <c r="C101" s="3">
        <f>'Tabela de Jogos'!C101</f>
        <v>0</v>
      </c>
      <c r="D101" s="3" t="str">
        <f>'Tabela de Jogos'!D101</f>
        <v>x</v>
      </c>
      <c r="E101" s="3">
        <f>'Tabela de Jogos'!E101</f>
        <v>0</v>
      </c>
      <c r="F101" s="3">
        <f>'Tabela de Jogos'!F101</f>
        <v>0</v>
      </c>
      <c r="G101" s="3" t="str">
        <f>'Tabela de Jogos'!G101</f>
        <v>-</v>
      </c>
      <c r="H101" s="3"/>
      <c r="I101" s="3">
        <f t="shared" ref="I101:J101" si="107">A101</f>
        <v>99</v>
      </c>
      <c r="J101" s="3">
        <f t="shared" si="107"/>
        <v>0</v>
      </c>
      <c r="K101" s="3"/>
      <c r="L101" s="3" t="str">
        <f t="shared" si="2"/>
        <v>x</v>
      </c>
      <c r="M101" s="3"/>
      <c r="N101" s="3">
        <f t="shared" si="3"/>
        <v>0</v>
      </c>
      <c r="O101" s="3" t="str">
        <f t="shared" si="4"/>
        <v>-</v>
      </c>
      <c r="P101" s="3"/>
      <c r="Q101" s="3" t="b">
        <f t="shared" si="5"/>
        <v>0</v>
      </c>
      <c r="R101" s="3" t="b">
        <f t="shared" si="6"/>
        <v>0</v>
      </c>
      <c r="S101" s="3" t="b">
        <f t="shared" si="7"/>
        <v>0</v>
      </c>
      <c r="T101" s="3" t="b">
        <f t="shared" si="8"/>
        <v>0</v>
      </c>
      <c r="U101" s="3" t="b">
        <f t="shared" si="9"/>
        <v>1</v>
      </c>
      <c r="V101" s="3"/>
      <c r="W101" s="3" cm="1">
        <f t="array" ref="W101">IF(OR(J101="Brasil",N101="Brasil"),2*_xlfn.IFS(Q101=TRUE,6,R101=TRUE,4,AND(S101=TRUE,T101=FALSE),3,T101=TRUE,2,U101=TRUE,0),_xlfn.IFS(Q101=TRUE,6,R101=TRUE,4,AND(S101=TRUE,T101=FALSE),3,T101=TRUE,2,U101=TRUE,0))</f>
        <v>0</v>
      </c>
      <c r="X101" s="3"/>
      <c r="Y101" s="3"/>
    </row>
    <row r="102" spans="1:25" ht="14.25" customHeight="1" x14ac:dyDescent="0.3">
      <c r="A102" s="3">
        <f>'Tabela de Jogos'!A102</f>
        <v>100</v>
      </c>
      <c r="B102" s="3">
        <f>'Tabela de Jogos'!B102</f>
        <v>0</v>
      </c>
      <c r="C102" s="3">
        <f>'Tabela de Jogos'!C102</f>
        <v>0</v>
      </c>
      <c r="D102" s="3" t="str">
        <f>'Tabela de Jogos'!D102</f>
        <v>x</v>
      </c>
      <c r="E102" s="3">
        <f>'Tabela de Jogos'!E102</f>
        <v>0</v>
      </c>
      <c r="F102" s="3">
        <f>'Tabela de Jogos'!F102</f>
        <v>0</v>
      </c>
      <c r="G102" s="3" t="str">
        <f>'Tabela de Jogos'!G102</f>
        <v>-</v>
      </c>
      <c r="H102" s="3"/>
      <c r="I102" s="3">
        <f t="shared" ref="I102:J102" si="108">A102</f>
        <v>100</v>
      </c>
      <c r="J102" s="3">
        <f t="shared" si="108"/>
        <v>0</v>
      </c>
      <c r="K102" s="3"/>
      <c r="L102" s="3" t="str">
        <f t="shared" si="2"/>
        <v>x</v>
      </c>
      <c r="M102" s="3"/>
      <c r="N102" s="3">
        <f t="shared" si="3"/>
        <v>0</v>
      </c>
      <c r="O102" s="3" t="str">
        <f t="shared" si="4"/>
        <v>-</v>
      </c>
      <c r="P102" s="3"/>
      <c r="Q102" s="3" t="b">
        <f t="shared" si="5"/>
        <v>0</v>
      </c>
      <c r="R102" s="3" t="b">
        <f t="shared" si="6"/>
        <v>0</v>
      </c>
      <c r="S102" s="3" t="b">
        <f t="shared" si="7"/>
        <v>0</v>
      </c>
      <c r="T102" s="3" t="b">
        <f t="shared" si="8"/>
        <v>0</v>
      </c>
      <c r="U102" s="3" t="b">
        <f t="shared" si="9"/>
        <v>1</v>
      </c>
      <c r="V102" s="3"/>
      <c r="W102" s="3" cm="1">
        <f t="array" ref="W102">IF(OR(J102="Brasil",N102="Brasil"),2*_xlfn.IFS(Q102=TRUE,6,R102=TRUE,4,AND(S102=TRUE,T102=FALSE),3,T102=TRUE,2,U102=TRUE,0),_xlfn.IFS(Q102=TRUE,6,R102=TRUE,4,AND(S102=TRUE,T102=FALSE),3,T102=TRUE,2,U102=TRUE,0))</f>
        <v>0</v>
      </c>
      <c r="X102" s="3"/>
      <c r="Y102" s="3"/>
    </row>
    <row r="103" spans="1:25" ht="14.25" customHeight="1" x14ac:dyDescent="0.3">
      <c r="A103" s="3">
        <f>'Tabela de Jogos'!A103</f>
        <v>101</v>
      </c>
      <c r="B103" s="3">
        <f>'Tabela de Jogos'!B103</f>
        <v>0</v>
      </c>
      <c r="C103" s="3">
        <f>'Tabela de Jogos'!C103</f>
        <v>0</v>
      </c>
      <c r="D103" s="3" t="str">
        <f>'Tabela de Jogos'!D103</f>
        <v>x</v>
      </c>
      <c r="E103" s="3">
        <f>'Tabela de Jogos'!E103</f>
        <v>0</v>
      </c>
      <c r="F103" s="3">
        <f>'Tabela de Jogos'!F103</f>
        <v>0</v>
      </c>
      <c r="G103" s="3" t="str">
        <f>'Tabela de Jogos'!G103</f>
        <v>-</v>
      </c>
      <c r="H103" s="3"/>
      <c r="I103" s="3">
        <f t="shared" ref="I103:J103" si="109">A103</f>
        <v>101</v>
      </c>
      <c r="J103" s="3">
        <f t="shared" si="109"/>
        <v>0</v>
      </c>
      <c r="K103" s="3"/>
      <c r="L103" s="3" t="str">
        <f t="shared" si="2"/>
        <v>x</v>
      </c>
      <c r="M103" s="3"/>
      <c r="N103" s="3">
        <f t="shared" si="3"/>
        <v>0</v>
      </c>
      <c r="O103" s="3" t="str">
        <f t="shared" si="4"/>
        <v>-</v>
      </c>
      <c r="P103" s="3"/>
      <c r="Q103" s="3" t="b">
        <f t="shared" si="5"/>
        <v>0</v>
      </c>
      <c r="R103" s="3" t="b">
        <f t="shared" si="6"/>
        <v>0</v>
      </c>
      <c r="S103" s="3" t="b">
        <f t="shared" si="7"/>
        <v>0</v>
      </c>
      <c r="T103" s="3" t="b">
        <f t="shared" si="8"/>
        <v>0</v>
      </c>
      <c r="U103" s="3" t="b">
        <f t="shared" si="9"/>
        <v>1</v>
      </c>
      <c r="V103" s="3"/>
      <c r="W103" s="3" cm="1">
        <f t="array" ref="W103">IF(OR(J103="Brasil",N103="Brasil"),2*_xlfn.IFS(Q103=TRUE,6,R103=TRUE,4,AND(S103=TRUE,T103=FALSE),3,T103=TRUE,2,U103=TRUE,0),_xlfn.IFS(Q103=TRUE,6,R103=TRUE,4,AND(S103=TRUE,T103=FALSE),3,T103=TRUE,2,U103=TRUE,0))</f>
        <v>0</v>
      </c>
      <c r="X103" s="3"/>
      <c r="Y103" s="3"/>
    </row>
    <row r="104" spans="1:25" ht="14.25" customHeight="1" x14ac:dyDescent="0.3">
      <c r="A104" s="3">
        <f>'Tabela de Jogos'!A104</f>
        <v>102</v>
      </c>
      <c r="B104" s="3">
        <f>'Tabela de Jogos'!B104</f>
        <v>0</v>
      </c>
      <c r="C104" s="3">
        <f>'Tabela de Jogos'!C104</f>
        <v>0</v>
      </c>
      <c r="D104" s="3" t="str">
        <f>'Tabela de Jogos'!D104</f>
        <v>x</v>
      </c>
      <c r="E104" s="3">
        <f>'Tabela de Jogos'!E104</f>
        <v>0</v>
      </c>
      <c r="F104" s="3">
        <f>'Tabela de Jogos'!F104</f>
        <v>0</v>
      </c>
      <c r="G104" s="3" t="str">
        <f>'Tabela de Jogos'!G104</f>
        <v>-</v>
      </c>
      <c r="H104" s="3"/>
      <c r="I104" s="3">
        <f t="shared" ref="I104:J104" si="110">A104</f>
        <v>102</v>
      </c>
      <c r="J104" s="3">
        <f t="shared" si="110"/>
        <v>0</v>
      </c>
      <c r="K104" s="3"/>
      <c r="L104" s="3" t="str">
        <f t="shared" si="2"/>
        <v>x</v>
      </c>
      <c r="M104" s="3"/>
      <c r="N104" s="3">
        <f t="shared" si="3"/>
        <v>0</v>
      </c>
      <c r="O104" s="3" t="str">
        <f t="shared" si="4"/>
        <v>-</v>
      </c>
      <c r="P104" s="3"/>
      <c r="Q104" s="3" t="b">
        <f t="shared" si="5"/>
        <v>0</v>
      </c>
      <c r="R104" s="3" t="b">
        <f t="shared" si="6"/>
        <v>0</v>
      </c>
      <c r="S104" s="3" t="b">
        <f t="shared" si="7"/>
        <v>0</v>
      </c>
      <c r="T104" s="3" t="b">
        <f t="shared" si="8"/>
        <v>0</v>
      </c>
      <c r="U104" s="3" t="b">
        <f t="shared" si="9"/>
        <v>1</v>
      </c>
      <c r="V104" s="3"/>
      <c r="W104" s="3" cm="1">
        <f t="array" ref="W104">IF(OR(J104="Brasil",N104="Brasil"),2*_xlfn.IFS(Q104=TRUE,6,R104=TRUE,4,AND(S104=TRUE,T104=FALSE),3,T104=TRUE,2,U104=TRUE,0),_xlfn.IFS(Q104=TRUE,6,R104=TRUE,4,AND(S104=TRUE,T104=FALSE),3,T104=TRUE,2,U104=TRUE,0))</f>
        <v>0</v>
      </c>
      <c r="X104" s="3"/>
      <c r="Y104" s="3"/>
    </row>
    <row r="105" spans="1:25" ht="14.25" customHeight="1" x14ac:dyDescent="0.3">
      <c r="A105" s="3">
        <f>'Tabela de Jogos'!A105</f>
        <v>103</v>
      </c>
      <c r="B105" s="3">
        <f>'Tabela de Jogos'!B105</f>
        <v>0</v>
      </c>
      <c r="C105" s="3">
        <f>'Tabela de Jogos'!C105</f>
        <v>0</v>
      </c>
      <c r="D105" s="3" t="str">
        <f>'Tabela de Jogos'!D105</f>
        <v>x</v>
      </c>
      <c r="E105" s="3">
        <f>'Tabela de Jogos'!E105</f>
        <v>0</v>
      </c>
      <c r="F105" s="3">
        <f>'Tabela de Jogos'!F105</f>
        <v>0</v>
      </c>
      <c r="G105" s="3" t="str">
        <f>'Tabela de Jogos'!G105</f>
        <v>-</v>
      </c>
      <c r="H105" s="3"/>
      <c r="I105" s="3">
        <f t="shared" ref="I105:J105" si="111">A105</f>
        <v>103</v>
      </c>
      <c r="J105" s="3">
        <f t="shared" si="111"/>
        <v>0</v>
      </c>
      <c r="K105" s="3"/>
      <c r="L105" s="3" t="str">
        <f t="shared" si="2"/>
        <v>x</v>
      </c>
      <c r="M105" s="3"/>
      <c r="N105" s="3">
        <f t="shared" si="3"/>
        <v>0</v>
      </c>
      <c r="O105" s="3" t="str">
        <f t="shared" si="4"/>
        <v>-</v>
      </c>
      <c r="P105" s="3"/>
      <c r="Q105" s="3" t="b">
        <f t="shared" si="5"/>
        <v>0</v>
      </c>
      <c r="R105" s="3" t="b">
        <f t="shared" si="6"/>
        <v>0</v>
      </c>
      <c r="S105" s="3" t="b">
        <f t="shared" si="7"/>
        <v>0</v>
      </c>
      <c r="T105" s="3" t="b">
        <f t="shared" si="8"/>
        <v>0</v>
      </c>
      <c r="U105" s="3" t="b">
        <f t="shared" si="9"/>
        <v>1</v>
      </c>
      <c r="V105" s="3"/>
      <c r="W105" s="3" cm="1">
        <f t="array" ref="W105">IF(OR(J105="Brasil",N105="Brasil"),2*_xlfn.IFS(Q105=TRUE,6,R105=TRUE,4,AND(S105=TRUE,T105=FALSE),3,T105=TRUE,2,U105=TRUE,0),_xlfn.IFS(Q105=TRUE,6,R105=TRUE,4,AND(S105=TRUE,T105=FALSE),3,T105=TRUE,2,U105=TRUE,0))</f>
        <v>0</v>
      </c>
      <c r="X105" s="3"/>
      <c r="Y105" s="3"/>
    </row>
    <row r="106" spans="1:25" ht="14.25" customHeight="1" x14ac:dyDescent="0.3">
      <c r="A106" s="3">
        <f>'Tabela de Jogos'!A106</f>
        <v>104</v>
      </c>
      <c r="B106" s="3">
        <f>'Tabela de Jogos'!B106</f>
        <v>0</v>
      </c>
      <c r="C106" s="3">
        <f>'Tabela de Jogos'!C106</f>
        <v>0</v>
      </c>
      <c r="D106" s="3" t="str">
        <f>'Tabela de Jogos'!D106</f>
        <v>x</v>
      </c>
      <c r="E106" s="3">
        <f>'Tabela de Jogos'!E106</f>
        <v>0</v>
      </c>
      <c r="F106" s="3">
        <f>'Tabela de Jogos'!F106</f>
        <v>0</v>
      </c>
      <c r="G106" s="3" t="str">
        <f>'Tabela de Jogos'!G106</f>
        <v>-</v>
      </c>
      <c r="H106" s="3"/>
      <c r="I106" s="3">
        <f t="shared" ref="I106:J106" si="112">A106</f>
        <v>104</v>
      </c>
      <c r="J106" s="3">
        <f t="shared" si="112"/>
        <v>0</v>
      </c>
      <c r="K106" s="3"/>
      <c r="L106" s="3" t="str">
        <f t="shared" si="2"/>
        <v>x</v>
      </c>
      <c r="M106" s="3"/>
      <c r="N106" s="3">
        <f t="shared" si="3"/>
        <v>0</v>
      </c>
      <c r="O106" s="3" t="str">
        <f t="shared" si="4"/>
        <v>-</v>
      </c>
      <c r="P106" s="3"/>
      <c r="Q106" s="3" t="b">
        <f t="shared" si="5"/>
        <v>0</v>
      </c>
      <c r="R106" s="3" t="b">
        <f t="shared" si="6"/>
        <v>0</v>
      </c>
      <c r="S106" s="3" t="b">
        <f t="shared" si="7"/>
        <v>0</v>
      </c>
      <c r="T106" s="3" t="b">
        <f t="shared" si="8"/>
        <v>0</v>
      </c>
      <c r="U106" s="3" t="b">
        <f t="shared" si="9"/>
        <v>1</v>
      </c>
      <c r="V106" s="3"/>
      <c r="W106" s="3" cm="1">
        <f t="array" ref="W106">IF(OR(J106="Brasil",N106="Brasil"),2*_xlfn.IFS(Q106=TRUE,6,R106=TRUE,4,AND(S106=TRUE,T106=FALSE),3,T106=TRUE,2,U106=TRUE,0),_xlfn.IFS(Q106=TRUE,6,R106=TRUE,4,AND(S106=TRUE,T106=FALSE),3,T106=TRUE,2,U106=TRUE,0))</f>
        <v>0</v>
      </c>
      <c r="X106" s="3"/>
      <c r="Y106" s="3"/>
    </row>
  </sheetData>
  <mergeCells count="2">
    <mergeCell ref="A1:G1"/>
    <mergeCell ref="I1:O1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6"/>
  <sheetViews>
    <sheetView topLeftCell="A12" workbookViewId="0">
      <selection activeCell="J27" sqref="J27:P27"/>
    </sheetView>
  </sheetViews>
  <sheetFormatPr defaultColWidth="12.6640625" defaultRowHeight="15" customHeight="1" x14ac:dyDescent="0.3"/>
  <cols>
    <col min="1" max="26" width="8.5546875" customWidth="1"/>
  </cols>
  <sheetData>
    <row r="1" spans="1:16" ht="14.25" customHeight="1" x14ac:dyDescent="0.3">
      <c r="A1" s="2" t="s">
        <v>1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76</v>
      </c>
      <c r="H1" s="2" t="s">
        <v>67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76</v>
      </c>
      <c r="P1" s="2" t="s">
        <v>67</v>
      </c>
    </row>
    <row r="2" spans="1:16" ht="14.25" customHeight="1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ht="14.25" customHeight="1" x14ac:dyDescent="0.3">
      <c r="A3" s="2">
        <v>1</v>
      </c>
      <c r="B3" s="2">
        <f>IF('Tabela de Jogos'!C3&lt;&gt;"",Rodrigo!W3,B1)</f>
        <v>4</v>
      </c>
      <c r="C3" s="2">
        <f>IF('Tabela de Jogos'!C3&lt;&gt;"",Arthur!W3,'Tabela de Jogos'!G3)</f>
        <v>4</v>
      </c>
      <c r="D3" s="2">
        <f>IF('Tabela de Jogos'!C3&lt;&gt;"",Dudu!W3,D1)</f>
        <v>0</v>
      </c>
      <c r="E3" s="2">
        <f>IF('Tabela de Jogos'!C3&lt;&gt;"",Carol!W3,E1)</f>
        <v>4</v>
      </c>
      <c r="F3" s="2">
        <f>IF('Tabela de Jogos'!C3&lt;&gt;"",Ana!W3,F1)</f>
        <v>0</v>
      </c>
      <c r="G3" s="2">
        <f>IF('Tabela de Jogos'!C3&lt;&gt;"",Isa!W3,G1)</f>
        <v>2</v>
      </c>
      <c r="H3" s="2">
        <f>IF('Tabela de Jogos'!C3&lt;&gt;"",Trops!W3,H1)</f>
        <v>3</v>
      </c>
      <c r="J3">
        <f>Rodrigo!W3</f>
        <v>4</v>
      </c>
      <c r="K3">
        <f>Arthur!W3</f>
        <v>4</v>
      </c>
      <c r="L3">
        <f>Dudu!W3</f>
        <v>0</v>
      </c>
      <c r="M3">
        <f>Carol!W3</f>
        <v>4</v>
      </c>
      <c r="N3">
        <f>Ana!W3</f>
        <v>0</v>
      </c>
      <c r="O3">
        <f>Isa!W3</f>
        <v>2</v>
      </c>
      <c r="P3">
        <f>Trops!W3</f>
        <v>3</v>
      </c>
    </row>
    <row r="4" spans="1:16" ht="14.25" customHeight="1" x14ac:dyDescent="0.3">
      <c r="A4" s="2">
        <v>2</v>
      </c>
      <c r="B4" s="2">
        <f>IF('Tabela de Jogos'!C4&lt;&gt;"",Rodrigo!W4+B3,B3)</f>
        <v>4</v>
      </c>
      <c r="C4" s="2">
        <f>IF('Tabela de Jogos'!C4&lt;&gt;"",Arthur!W4+C3,C3)</f>
        <v>8</v>
      </c>
      <c r="D4" s="2">
        <f>IF('Tabela de Jogos'!C4&lt;&gt;"",Dudu!W4+D3,D3)</f>
        <v>0</v>
      </c>
      <c r="E4" s="2">
        <f>IF('Tabela de Jogos'!C4&lt;&gt;"",Carol!W4+E3,E3)</f>
        <v>4</v>
      </c>
      <c r="F4" s="2">
        <f>IF('Tabela de Jogos'!C4&lt;&gt;"",Ana!W4+F3,F3)</f>
        <v>6</v>
      </c>
      <c r="G4" s="2">
        <f>IF('Tabela de Jogos'!C4&lt;&gt;"",Isa!W4+G3,G3)</f>
        <v>6</v>
      </c>
      <c r="H4" s="2">
        <f>IF('Tabela de Jogos'!C4&lt;&gt;"",Trops!W4+H3,H3)</f>
        <v>3</v>
      </c>
      <c r="J4">
        <f>Rodrigo!W4</f>
        <v>0</v>
      </c>
      <c r="K4">
        <f>Arthur!W4</f>
        <v>4</v>
      </c>
      <c r="L4">
        <f>Dudu!W4</f>
        <v>0</v>
      </c>
      <c r="M4">
        <f>Carol!W4</f>
        <v>0</v>
      </c>
      <c r="N4">
        <f>Ana!W4</f>
        <v>6</v>
      </c>
      <c r="O4">
        <f>Isa!W4</f>
        <v>4</v>
      </c>
      <c r="P4">
        <f>Trops!W4</f>
        <v>0</v>
      </c>
    </row>
    <row r="5" spans="1:16" ht="14.25" customHeight="1" x14ac:dyDescent="0.3">
      <c r="A5" s="2">
        <v>3</v>
      </c>
      <c r="B5" s="2">
        <f>IF('Tabela de Jogos'!C5&lt;&gt;"",Rodrigo!W5+B4,B4)</f>
        <v>4</v>
      </c>
      <c r="C5" s="2">
        <f>IF('Tabela de Jogos'!C5&lt;&gt;"",Arthur!W5+C4,C4)</f>
        <v>8</v>
      </c>
      <c r="D5" s="2">
        <f>IF('Tabela de Jogos'!C5&lt;&gt;"",Dudu!W5+D4,D4)</f>
        <v>0</v>
      </c>
      <c r="E5" s="2">
        <f>IF('Tabela de Jogos'!C5&lt;&gt;"",Carol!W5+E4,E4)</f>
        <v>4</v>
      </c>
      <c r="F5" s="2">
        <f>IF('Tabela de Jogos'!C5&lt;&gt;"",Ana!W5+F4,F4)</f>
        <v>6</v>
      </c>
      <c r="G5" s="2">
        <f>IF('Tabela de Jogos'!C5&lt;&gt;"",Isa!W5+G4,G4)</f>
        <v>6</v>
      </c>
      <c r="H5" s="2">
        <f>IF('Tabela de Jogos'!C5&lt;&gt;"",Trops!W5+H4,H4)</f>
        <v>3</v>
      </c>
      <c r="J5">
        <f>Rodrigo!W5</f>
        <v>0</v>
      </c>
      <c r="K5">
        <f>Arthur!W5</f>
        <v>0</v>
      </c>
      <c r="L5">
        <f>Dudu!W5</f>
        <v>0</v>
      </c>
      <c r="M5">
        <f>Carol!W5</f>
        <v>0</v>
      </c>
      <c r="N5">
        <f>Ana!W5</f>
        <v>0</v>
      </c>
      <c r="O5">
        <f>Isa!W5</f>
        <v>0</v>
      </c>
      <c r="P5">
        <f>Trops!W5</f>
        <v>0</v>
      </c>
    </row>
    <row r="6" spans="1:16" ht="14.25" customHeight="1" x14ac:dyDescent="0.3">
      <c r="A6" s="2">
        <v>4</v>
      </c>
      <c r="B6" s="2">
        <f>IF('Tabela de Jogos'!C6&lt;&gt;"",Rodrigo!W6+B5,B5)</f>
        <v>6</v>
      </c>
      <c r="C6" s="2">
        <f>IF('Tabela de Jogos'!C6&lt;&gt;"",Arthur!W6+C5,C5)</f>
        <v>10</v>
      </c>
      <c r="D6" s="2">
        <f>IF('Tabela de Jogos'!C6&lt;&gt;"",Dudu!W6+D5,D5)</f>
        <v>0</v>
      </c>
      <c r="E6" s="2">
        <f>IF('Tabela de Jogos'!C6&lt;&gt;"",Carol!W6+E5,E5)</f>
        <v>4</v>
      </c>
      <c r="F6" s="2">
        <f>IF('Tabela de Jogos'!C6&lt;&gt;"",Ana!W6+F5,F5)</f>
        <v>6</v>
      </c>
      <c r="G6" s="2">
        <f>IF('Tabela de Jogos'!C6&lt;&gt;"",Isa!W6+G5,G5)</f>
        <v>6</v>
      </c>
      <c r="H6" s="2">
        <f>IF('Tabela de Jogos'!C6&lt;&gt;"",Trops!W6+H5,H5)</f>
        <v>3</v>
      </c>
      <c r="J6">
        <f>Rodrigo!W6</f>
        <v>2</v>
      </c>
      <c r="K6">
        <f>Arthur!W6</f>
        <v>2</v>
      </c>
      <c r="L6">
        <f>Dudu!W6</f>
        <v>0</v>
      </c>
      <c r="M6">
        <f>Carol!W6</f>
        <v>0</v>
      </c>
      <c r="N6">
        <f>Ana!W6</f>
        <v>0</v>
      </c>
      <c r="O6">
        <f>Isa!W6</f>
        <v>0</v>
      </c>
      <c r="P6">
        <f>Trops!W6</f>
        <v>0</v>
      </c>
    </row>
    <row r="7" spans="1:16" ht="14.25" customHeight="1" x14ac:dyDescent="0.3">
      <c r="A7" s="2">
        <v>5</v>
      </c>
      <c r="B7" s="2">
        <f>IF('Tabela de Jogos'!C7&lt;&gt;"",Rodrigo!W7+B6,B6)</f>
        <v>6</v>
      </c>
      <c r="C7" s="2">
        <f>IF('Tabela de Jogos'!C7&lt;&gt;"",Arthur!W7+C6,C6)</f>
        <v>10</v>
      </c>
      <c r="D7" s="2">
        <f>IF('Tabela de Jogos'!C7&lt;&gt;"",Dudu!W7+D6,D6)</f>
        <v>0</v>
      </c>
      <c r="E7" s="2">
        <f>IF('Tabela de Jogos'!C7&lt;&gt;"",Carol!W7+E6,E6)</f>
        <v>4</v>
      </c>
      <c r="F7" s="2">
        <f>IF('Tabela de Jogos'!C7&lt;&gt;"",Ana!W7+F6,F6)</f>
        <v>6</v>
      </c>
      <c r="G7" s="2">
        <f>IF('Tabela de Jogos'!C7&lt;&gt;"",Isa!W7+G6,G6)</f>
        <v>6</v>
      </c>
      <c r="H7" s="2">
        <f>IF('Tabela de Jogos'!C7&lt;&gt;"",Trops!W7+H6,H6)</f>
        <v>3</v>
      </c>
      <c r="J7">
        <f>Rodrigo!W7</f>
        <v>0</v>
      </c>
      <c r="K7">
        <f>Arthur!W7</f>
        <v>0</v>
      </c>
      <c r="L7">
        <f>Dudu!W7</f>
        <v>0</v>
      </c>
      <c r="M7">
        <f>Carol!W7</f>
        <v>0</v>
      </c>
      <c r="N7">
        <f>Ana!W7</f>
        <v>0</v>
      </c>
      <c r="O7">
        <f>Isa!W7</f>
        <v>0</v>
      </c>
      <c r="P7">
        <f>Trops!W7</f>
        <v>0</v>
      </c>
    </row>
    <row r="8" spans="1:16" ht="14.25" customHeight="1" x14ac:dyDescent="0.3">
      <c r="A8" s="2">
        <v>6</v>
      </c>
      <c r="B8" s="2">
        <f>IF('Tabela de Jogos'!C8&lt;&gt;"",Rodrigo!W8+B7,B7)</f>
        <v>6</v>
      </c>
      <c r="C8" s="2">
        <f>IF('Tabela de Jogos'!C8&lt;&gt;"",Arthur!W8+C7,C7)</f>
        <v>10</v>
      </c>
      <c r="D8" s="2">
        <f>IF('Tabela de Jogos'!C8&lt;&gt;"",Dudu!W8+D7,D7)</f>
        <v>0</v>
      </c>
      <c r="E8" s="2">
        <f>IF('Tabela de Jogos'!C8&lt;&gt;"",Carol!W8+E7,E7)</f>
        <v>4</v>
      </c>
      <c r="F8" s="2">
        <f>IF('Tabela de Jogos'!C8&lt;&gt;"",Ana!W8+F7,F7)</f>
        <v>6</v>
      </c>
      <c r="G8" s="2">
        <f>IF('Tabela de Jogos'!C8&lt;&gt;"",Isa!W8+G7,G7)</f>
        <v>6</v>
      </c>
      <c r="H8" s="2">
        <f>IF('Tabela de Jogos'!C8&lt;&gt;"",Trops!W8+H7,H7)</f>
        <v>3</v>
      </c>
      <c r="J8">
        <f>Rodrigo!W8</f>
        <v>0</v>
      </c>
      <c r="K8">
        <f>Arthur!W8</f>
        <v>0</v>
      </c>
      <c r="L8">
        <f>Dudu!W8</f>
        <v>0</v>
      </c>
      <c r="M8">
        <f>Carol!W8</f>
        <v>0</v>
      </c>
      <c r="N8">
        <f>Ana!W8</f>
        <v>0</v>
      </c>
      <c r="O8">
        <f>Isa!W8</f>
        <v>0</v>
      </c>
      <c r="P8">
        <f>Trops!W8</f>
        <v>0</v>
      </c>
    </row>
    <row r="9" spans="1:16" ht="14.25" customHeight="1" x14ac:dyDescent="0.3">
      <c r="A9" s="2">
        <v>7</v>
      </c>
      <c r="B9" s="2">
        <f>IF('Tabela de Jogos'!C9&lt;&gt;"",Rodrigo!W9+B8,B8)</f>
        <v>8</v>
      </c>
      <c r="C9" s="2">
        <f>IF('Tabela de Jogos'!C9&lt;&gt;"",Arthur!W9+C8,C8)</f>
        <v>12</v>
      </c>
      <c r="D9" s="2">
        <f>IF('Tabela de Jogos'!C9&lt;&gt;"",Dudu!W9+D8,D8)</f>
        <v>2</v>
      </c>
      <c r="E9" s="2">
        <f>IF('Tabela de Jogos'!C9&lt;&gt;"",Carol!W9+E8,E8)</f>
        <v>10</v>
      </c>
      <c r="F9" s="2">
        <f>IF('Tabela de Jogos'!C9&lt;&gt;"",Ana!W9+F8,F8)</f>
        <v>8</v>
      </c>
      <c r="G9" s="2">
        <f>IF('Tabela de Jogos'!C9&lt;&gt;"",Isa!W9+G8,G8)</f>
        <v>9</v>
      </c>
      <c r="H9" s="2">
        <f>IF('Tabela de Jogos'!C9&lt;&gt;"",Trops!W9+H8,H8)</f>
        <v>5</v>
      </c>
      <c r="J9">
        <f>Rodrigo!W9</f>
        <v>2</v>
      </c>
      <c r="K9">
        <f>Arthur!W9</f>
        <v>2</v>
      </c>
      <c r="L9">
        <f>Dudu!W9</f>
        <v>2</v>
      </c>
      <c r="M9">
        <f>Carol!W9</f>
        <v>6</v>
      </c>
      <c r="N9">
        <f>Ana!W9</f>
        <v>2</v>
      </c>
      <c r="O9">
        <f>Isa!W9</f>
        <v>3</v>
      </c>
      <c r="P9">
        <f>Trops!W9</f>
        <v>2</v>
      </c>
    </row>
    <row r="10" spans="1:16" ht="14.25" customHeight="1" x14ac:dyDescent="0.3">
      <c r="A10" s="2">
        <v>8</v>
      </c>
      <c r="B10" s="2">
        <f>IF('Tabela de Jogos'!C10&lt;&gt;"",Rodrigo!W10+B9,B9)</f>
        <v>8</v>
      </c>
      <c r="C10" s="2">
        <f>IF('Tabela de Jogos'!C10&lt;&gt;"",Arthur!W10+C9,C9)</f>
        <v>12</v>
      </c>
      <c r="D10" s="2">
        <f>IF('Tabela de Jogos'!C10&lt;&gt;"",Dudu!W10+D9,D9)</f>
        <v>2</v>
      </c>
      <c r="E10" s="2">
        <f>IF('Tabela de Jogos'!C10&lt;&gt;"",Carol!W10+E9,E9)</f>
        <v>10</v>
      </c>
      <c r="F10" s="2">
        <f>IF('Tabela de Jogos'!C10&lt;&gt;"",Ana!W10+F9,F9)</f>
        <v>12</v>
      </c>
      <c r="G10" s="2">
        <f>IF('Tabela de Jogos'!C10&lt;&gt;"",Isa!W10+G9,G9)</f>
        <v>9</v>
      </c>
      <c r="H10" s="2">
        <f>IF('Tabela de Jogos'!C10&lt;&gt;"",Trops!W10+H9,H9)</f>
        <v>5</v>
      </c>
      <c r="J10">
        <f>Rodrigo!W10</f>
        <v>0</v>
      </c>
      <c r="K10">
        <f>Arthur!W10</f>
        <v>0</v>
      </c>
      <c r="L10">
        <f>Dudu!W10</f>
        <v>0</v>
      </c>
      <c r="M10">
        <f>Carol!W10</f>
        <v>0</v>
      </c>
      <c r="N10">
        <f>Ana!W10</f>
        <v>4</v>
      </c>
      <c r="O10">
        <f>Isa!W10</f>
        <v>0</v>
      </c>
      <c r="P10">
        <f>Trops!W10</f>
        <v>0</v>
      </c>
    </row>
    <row r="11" spans="1:16" ht="14.25" customHeight="1" x14ac:dyDescent="0.3">
      <c r="A11" s="2">
        <v>9</v>
      </c>
      <c r="B11" s="2">
        <f>IF('Tabela de Jogos'!C11&lt;&gt;"",Rodrigo!W11+B10,B10)</f>
        <v>10</v>
      </c>
      <c r="C11" s="2">
        <f>IF('Tabela de Jogos'!C11&lt;&gt;"",Arthur!W11+C10,C10)</f>
        <v>14</v>
      </c>
      <c r="D11" s="2">
        <f>IF('Tabela de Jogos'!C11&lt;&gt;"",Dudu!W11+D10,D10)</f>
        <v>4</v>
      </c>
      <c r="E11" s="2">
        <f>IF('Tabela de Jogos'!C11&lt;&gt;"",Carol!W11+E10,E10)</f>
        <v>12</v>
      </c>
      <c r="F11" s="2">
        <f>IF('Tabela de Jogos'!C11&lt;&gt;"",Ana!W11+F10,F10)</f>
        <v>14</v>
      </c>
      <c r="G11" s="2">
        <f>IF('Tabela de Jogos'!C11&lt;&gt;"",Isa!W11+G10,G10)</f>
        <v>11</v>
      </c>
      <c r="H11" s="2">
        <f>IF('Tabela de Jogos'!C11&lt;&gt;"",Trops!W11+H10,H10)</f>
        <v>7</v>
      </c>
      <c r="J11">
        <f>Rodrigo!W11</f>
        <v>2</v>
      </c>
      <c r="K11">
        <f>Arthur!W11</f>
        <v>2</v>
      </c>
      <c r="L11">
        <f>Dudu!W11</f>
        <v>2</v>
      </c>
      <c r="M11">
        <f>Carol!W11</f>
        <v>2</v>
      </c>
      <c r="N11">
        <f>Ana!W11</f>
        <v>2</v>
      </c>
      <c r="O11">
        <f>Isa!W11</f>
        <v>2</v>
      </c>
      <c r="P11">
        <f>Trops!W11</f>
        <v>2</v>
      </c>
    </row>
    <row r="12" spans="1:16" ht="14.25" customHeight="1" x14ac:dyDescent="0.3">
      <c r="A12" s="2">
        <v>10</v>
      </c>
      <c r="B12" s="2">
        <f>IF('Tabela de Jogos'!C12&lt;&gt;"",Rodrigo!W12+B11,B11)</f>
        <v>10</v>
      </c>
      <c r="C12" s="2">
        <f>IF('Tabela de Jogos'!C12&lt;&gt;"",Arthur!W12+C11,C11)</f>
        <v>14</v>
      </c>
      <c r="D12" s="2">
        <f>IF('Tabela de Jogos'!C12&lt;&gt;"",Dudu!W12+D11,D11)</f>
        <v>4</v>
      </c>
      <c r="E12" s="2">
        <f>IF('Tabela de Jogos'!C12&lt;&gt;"",Carol!W12+E11,E11)</f>
        <v>12</v>
      </c>
      <c r="F12" s="2">
        <f>IF('Tabela de Jogos'!C12&lt;&gt;"",Ana!W12+F11,F11)</f>
        <v>14</v>
      </c>
      <c r="G12" s="2">
        <f>IF('Tabela de Jogos'!C12&lt;&gt;"",Isa!W12+G11,G11)</f>
        <v>11</v>
      </c>
      <c r="H12" s="2">
        <f>IF('Tabela de Jogos'!C12&lt;&gt;"",Trops!W12+H11,H11)</f>
        <v>7</v>
      </c>
      <c r="J12">
        <f>Rodrigo!W12</f>
        <v>0</v>
      </c>
      <c r="K12">
        <f>Arthur!W12</f>
        <v>0</v>
      </c>
      <c r="L12">
        <f>Dudu!W12</f>
        <v>0</v>
      </c>
      <c r="M12">
        <f>Carol!W12</f>
        <v>0</v>
      </c>
      <c r="N12">
        <f>Ana!W12</f>
        <v>0</v>
      </c>
      <c r="O12">
        <f>Isa!W12</f>
        <v>0</v>
      </c>
      <c r="P12">
        <f>Trops!W12</f>
        <v>0</v>
      </c>
    </row>
    <row r="13" spans="1:16" ht="14.25" customHeight="1" x14ac:dyDescent="0.3">
      <c r="A13" s="2">
        <v>11</v>
      </c>
      <c r="B13" s="2">
        <f>IF('Tabela de Jogos'!C13&lt;&gt;"",Rodrigo!W13+B12,B12)</f>
        <v>10</v>
      </c>
      <c r="C13" s="2">
        <f>IF('Tabela de Jogos'!C13&lt;&gt;"",Arthur!W13+C12,C12)</f>
        <v>14</v>
      </c>
      <c r="D13" s="2">
        <f>IF('Tabela de Jogos'!C13&lt;&gt;"",Dudu!W13+D12,D12)</f>
        <v>4</v>
      </c>
      <c r="E13" s="2">
        <f>IF('Tabela de Jogos'!C13&lt;&gt;"",Carol!W13+E12,E12)</f>
        <v>12</v>
      </c>
      <c r="F13" s="2">
        <f>IF('Tabela de Jogos'!C13&lt;&gt;"",Ana!W13+F12,F12)</f>
        <v>14</v>
      </c>
      <c r="G13" s="2">
        <f>IF('Tabela de Jogos'!C13&lt;&gt;"",Isa!W13+G12,G12)</f>
        <v>11</v>
      </c>
      <c r="H13" s="2">
        <f>IF('Tabela de Jogos'!C13&lt;&gt;"",Trops!W13+H12,H12)</f>
        <v>7</v>
      </c>
      <c r="J13">
        <f>Rodrigo!W13</f>
        <v>0</v>
      </c>
      <c r="K13">
        <f>Arthur!W13</f>
        <v>0</v>
      </c>
      <c r="L13">
        <f>Dudu!W13</f>
        <v>0</v>
      </c>
      <c r="M13">
        <f>Carol!W13</f>
        <v>0</v>
      </c>
      <c r="N13">
        <f>Ana!W13</f>
        <v>0</v>
      </c>
      <c r="O13">
        <f>Isa!W13</f>
        <v>0</v>
      </c>
      <c r="P13">
        <f>Trops!W13</f>
        <v>0</v>
      </c>
    </row>
    <row r="14" spans="1:16" ht="14.25" customHeight="1" x14ac:dyDescent="0.3">
      <c r="A14" s="2">
        <v>12</v>
      </c>
      <c r="B14" s="2">
        <f>IF('Tabela de Jogos'!C14&lt;&gt;"",Rodrigo!W14+B13,B13)</f>
        <v>12</v>
      </c>
      <c r="C14" s="2">
        <f>IF('Tabela de Jogos'!C14&lt;&gt;"",Arthur!W14+C13,C13)</f>
        <v>16</v>
      </c>
      <c r="D14" s="2">
        <f>IF('Tabela de Jogos'!C14&lt;&gt;"",Dudu!W14+D13,D13)</f>
        <v>4</v>
      </c>
      <c r="E14" s="2">
        <f>IF('Tabela de Jogos'!C14&lt;&gt;"",Carol!W14+E13,E13)</f>
        <v>12</v>
      </c>
      <c r="F14" s="2">
        <f>IF('Tabela de Jogos'!C14&lt;&gt;"",Ana!W14+F13,F13)</f>
        <v>16</v>
      </c>
      <c r="G14" s="2">
        <f>IF('Tabela de Jogos'!C14&lt;&gt;"",Isa!W14+G13,G13)</f>
        <v>11</v>
      </c>
      <c r="H14" s="2">
        <f>IF('Tabela de Jogos'!C14&lt;&gt;"",Trops!W14+H13,H13)</f>
        <v>7</v>
      </c>
      <c r="J14">
        <f>Rodrigo!W14</f>
        <v>2</v>
      </c>
      <c r="K14">
        <f>Arthur!W14</f>
        <v>2</v>
      </c>
      <c r="L14">
        <f>Dudu!W14</f>
        <v>0</v>
      </c>
      <c r="M14">
        <f>Carol!W14</f>
        <v>0</v>
      </c>
      <c r="N14">
        <f>Ana!W14</f>
        <v>2</v>
      </c>
      <c r="O14">
        <f>Isa!W14</f>
        <v>0</v>
      </c>
      <c r="P14">
        <f>Trops!W14</f>
        <v>0</v>
      </c>
    </row>
    <row r="15" spans="1:16" ht="14.25" customHeight="1" x14ac:dyDescent="0.3">
      <c r="A15" s="2">
        <v>13</v>
      </c>
      <c r="B15" s="2">
        <f>IF('Tabela de Jogos'!C15&lt;&gt;"",Rodrigo!W15+B14,B14)</f>
        <v>12</v>
      </c>
      <c r="C15" s="2">
        <f>IF('Tabela de Jogos'!C15&lt;&gt;"",Arthur!W15+C14,C14)</f>
        <v>16</v>
      </c>
      <c r="D15" s="2">
        <f>IF('Tabela de Jogos'!C15&lt;&gt;"",Dudu!W15+D14,D14)</f>
        <v>4</v>
      </c>
      <c r="E15" s="2">
        <f>IF('Tabela de Jogos'!C15&lt;&gt;"",Carol!W15+E14,E14)</f>
        <v>12</v>
      </c>
      <c r="F15" s="2">
        <f>IF('Tabela de Jogos'!C15&lt;&gt;"",Ana!W15+F14,F14)</f>
        <v>16</v>
      </c>
      <c r="G15" s="2">
        <f>IF('Tabela de Jogos'!C15&lt;&gt;"",Isa!W15+G14,G14)</f>
        <v>11</v>
      </c>
      <c r="H15" s="2">
        <f>IF('Tabela de Jogos'!C15&lt;&gt;"",Trops!W15+H14,H14)</f>
        <v>7</v>
      </c>
      <c r="J15">
        <f>Rodrigo!W15</f>
        <v>0</v>
      </c>
      <c r="K15">
        <f>Arthur!W15</f>
        <v>0</v>
      </c>
      <c r="L15">
        <f>Dudu!W15</f>
        <v>0</v>
      </c>
      <c r="M15">
        <f>Carol!W15</f>
        <v>0</v>
      </c>
      <c r="N15">
        <f>Ana!W15</f>
        <v>0</v>
      </c>
      <c r="O15">
        <f>Isa!W15</f>
        <v>0</v>
      </c>
      <c r="P15">
        <f>Trops!W15</f>
        <v>0</v>
      </c>
    </row>
    <row r="16" spans="1:16" ht="14.25" customHeight="1" x14ac:dyDescent="0.3">
      <c r="A16" s="2">
        <v>14</v>
      </c>
      <c r="B16" s="2">
        <f>IF('Tabela de Jogos'!C16&lt;&gt;"",Rodrigo!W16+B15,B15)</f>
        <v>12</v>
      </c>
      <c r="C16" s="2">
        <f>IF('Tabela de Jogos'!C16&lt;&gt;"",Arthur!W16+C15,C15)</f>
        <v>16</v>
      </c>
      <c r="D16" s="2">
        <f>IF('Tabela de Jogos'!C16&lt;&gt;"",Dudu!W16+D15,D15)</f>
        <v>4</v>
      </c>
      <c r="E16" s="2">
        <f>IF('Tabela de Jogos'!C16&lt;&gt;"",Carol!W16+E15,E15)</f>
        <v>12</v>
      </c>
      <c r="F16" s="2">
        <f>IF('Tabela de Jogos'!C16&lt;&gt;"",Ana!W16+F15,F15)</f>
        <v>16</v>
      </c>
      <c r="G16" s="2">
        <f>IF('Tabela de Jogos'!C16&lt;&gt;"",Isa!W16+G15,G15)</f>
        <v>11</v>
      </c>
      <c r="H16" s="2">
        <f>IF('Tabela de Jogos'!C16&lt;&gt;"",Trops!W16+H15,H15)</f>
        <v>7</v>
      </c>
      <c r="J16">
        <f>Rodrigo!W16</f>
        <v>0</v>
      </c>
      <c r="K16">
        <f>Arthur!W16</f>
        <v>0</v>
      </c>
      <c r="L16">
        <f>Dudu!W16</f>
        <v>0</v>
      </c>
      <c r="M16">
        <f>Carol!W16</f>
        <v>0</v>
      </c>
      <c r="N16">
        <f>Ana!W16</f>
        <v>0</v>
      </c>
      <c r="O16">
        <f>Isa!W16</f>
        <v>0</v>
      </c>
      <c r="P16">
        <f>Trops!W16</f>
        <v>0</v>
      </c>
    </row>
    <row r="17" spans="1:16" ht="14.25" customHeight="1" x14ac:dyDescent="0.3">
      <c r="A17" s="2">
        <v>15</v>
      </c>
      <c r="B17" s="2">
        <f>IF('Tabela de Jogos'!C17&lt;&gt;"",Rodrigo!W17+B16,B16)</f>
        <v>12</v>
      </c>
      <c r="C17" s="2">
        <f>IF('Tabela de Jogos'!C17&lt;&gt;"",Arthur!W17+C16,C16)</f>
        <v>16</v>
      </c>
      <c r="D17" s="2">
        <f>IF('Tabela de Jogos'!C17&lt;&gt;"",Dudu!W17+D16,D16)</f>
        <v>4</v>
      </c>
      <c r="E17" s="2">
        <f>IF('Tabela de Jogos'!C17&lt;&gt;"",Carol!W17+E16,E16)</f>
        <v>12</v>
      </c>
      <c r="F17" s="2">
        <f>IF('Tabela de Jogos'!C17&lt;&gt;"",Ana!W17+F16,F16)</f>
        <v>16</v>
      </c>
      <c r="G17" s="2">
        <f>IF('Tabela de Jogos'!C17&lt;&gt;"",Isa!W17+G16,G16)</f>
        <v>11</v>
      </c>
      <c r="H17" s="2">
        <f>IF('Tabela de Jogos'!C17&lt;&gt;"",Trops!W17+H16,H16)</f>
        <v>7</v>
      </c>
      <c r="J17">
        <f>Rodrigo!W17</f>
        <v>0</v>
      </c>
      <c r="K17">
        <f>Arthur!W17</f>
        <v>0</v>
      </c>
      <c r="L17">
        <f>Dudu!W17</f>
        <v>0</v>
      </c>
      <c r="M17">
        <f>Carol!W17</f>
        <v>0</v>
      </c>
      <c r="N17">
        <f>Ana!W17</f>
        <v>0</v>
      </c>
      <c r="O17">
        <f>Isa!W17</f>
        <v>0</v>
      </c>
      <c r="P17">
        <f>Trops!W17</f>
        <v>0</v>
      </c>
    </row>
    <row r="18" spans="1:16" ht="14.25" customHeight="1" x14ac:dyDescent="0.3">
      <c r="A18" s="2">
        <v>16</v>
      </c>
      <c r="B18" s="2">
        <f>IF('Tabela de Jogos'!C18&lt;&gt;"",Rodrigo!W18+B17,B17)</f>
        <v>12</v>
      </c>
      <c r="C18" s="2">
        <f>IF('Tabela de Jogos'!C18&lt;&gt;"",Arthur!W18+C17,C17)</f>
        <v>16</v>
      </c>
      <c r="D18" s="2">
        <f>IF('Tabela de Jogos'!C18&lt;&gt;"",Dudu!W18+D17,D17)</f>
        <v>4</v>
      </c>
      <c r="E18" s="2">
        <f>IF('Tabela de Jogos'!C18&lt;&gt;"",Carol!W18+E17,E17)</f>
        <v>14</v>
      </c>
      <c r="F18" s="2">
        <f>IF('Tabela de Jogos'!C18&lt;&gt;"",Ana!W18+F17,F17)</f>
        <v>16</v>
      </c>
      <c r="G18" s="2">
        <f>IF('Tabela de Jogos'!C18&lt;&gt;"",Isa!W18+G17,G17)</f>
        <v>13</v>
      </c>
      <c r="H18" s="2">
        <f>IF('Tabela de Jogos'!C18&lt;&gt;"",Trops!W18+H17,H17)</f>
        <v>7</v>
      </c>
      <c r="J18">
        <f>Rodrigo!W18</f>
        <v>0</v>
      </c>
      <c r="K18">
        <f>Arthur!W18</f>
        <v>0</v>
      </c>
      <c r="L18">
        <f>Dudu!W18</f>
        <v>0</v>
      </c>
      <c r="M18">
        <f>Carol!W18</f>
        <v>2</v>
      </c>
      <c r="N18">
        <f>Ana!W18</f>
        <v>0</v>
      </c>
      <c r="O18">
        <f>Isa!W18</f>
        <v>2</v>
      </c>
      <c r="P18">
        <f>Trops!W18</f>
        <v>0</v>
      </c>
    </row>
    <row r="19" spans="1:16" ht="14.25" customHeight="1" x14ac:dyDescent="0.3">
      <c r="A19" s="2">
        <v>17</v>
      </c>
      <c r="B19" s="2">
        <f>IF('Tabela de Jogos'!C19&lt;&gt;"",Rodrigo!W19+B18,B18)</f>
        <v>18</v>
      </c>
      <c r="C19" s="2">
        <f>IF('Tabela de Jogos'!C19&lt;&gt;"",Arthur!W19+C18,C18)</f>
        <v>22</v>
      </c>
      <c r="D19" s="2">
        <f>IF('Tabela de Jogos'!C19&lt;&gt;"",Dudu!W19+D18,D18)</f>
        <v>6</v>
      </c>
      <c r="E19" s="2">
        <f>IF('Tabela de Jogos'!C19&lt;&gt;"",Carol!W19+E18,E18)</f>
        <v>18</v>
      </c>
      <c r="F19" s="2">
        <f>IF('Tabela de Jogos'!C19&lt;&gt;"",Ana!W19+F18,F18)</f>
        <v>22</v>
      </c>
      <c r="G19" s="2">
        <f>IF('Tabela de Jogos'!C19&lt;&gt;"",Isa!W19+G18,G18)</f>
        <v>17</v>
      </c>
      <c r="H19" s="2">
        <f>IF('Tabela de Jogos'!C19&lt;&gt;"",Trops!W19+H18,H18)</f>
        <v>10</v>
      </c>
      <c r="J19">
        <f>Rodrigo!W19</f>
        <v>6</v>
      </c>
      <c r="K19">
        <f>Arthur!W19</f>
        <v>6</v>
      </c>
      <c r="L19">
        <f>Dudu!W19</f>
        <v>2</v>
      </c>
      <c r="M19">
        <f>Carol!W19</f>
        <v>4</v>
      </c>
      <c r="N19">
        <f>Ana!W19</f>
        <v>6</v>
      </c>
      <c r="O19">
        <f>Isa!W19</f>
        <v>4</v>
      </c>
      <c r="P19">
        <f>Trops!W19</f>
        <v>3</v>
      </c>
    </row>
    <row r="20" spans="1:16" ht="14.25" customHeight="1" x14ac:dyDescent="0.3">
      <c r="A20" s="2">
        <v>18</v>
      </c>
      <c r="B20" s="2">
        <f>IF('Tabela de Jogos'!C20&lt;&gt;"",Rodrigo!W20+B19,B19)</f>
        <v>20</v>
      </c>
      <c r="C20" s="2">
        <f>IF('Tabela de Jogos'!C20&lt;&gt;"",Arthur!W20+C19,C19)</f>
        <v>24</v>
      </c>
      <c r="D20" s="2">
        <f>IF('Tabela de Jogos'!C20&lt;&gt;"",Dudu!W20+D19,D19)</f>
        <v>9</v>
      </c>
      <c r="E20" s="2">
        <f>IF('Tabela de Jogos'!C20&lt;&gt;"",Carol!W20+E19,E19)</f>
        <v>20</v>
      </c>
      <c r="F20" s="2">
        <f>IF('Tabela de Jogos'!C20&lt;&gt;"",Ana!W20+F19,F19)</f>
        <v>24</v>
      </c>
      <c r="G20" s="2">
        <f>IF('Tabela de Jogos'!C20&lt;&gt;"",Isa!W20+G19,G19)</f>
        <v>19</v>
      </c>
      <c r="H20" s="2">
        <f>IF('Tabela de Jogos'!C20&lt;&gt;"",Trops!W20+H19,H19)</f>
        <v>12</v>
      </c>
      <c r="J20">
        <f>Rodrigo!W20</f>
        <v>2</v>
      </c>
      <c r="K20">
        <f>Arthur!W20</f>
        <v>2</v>
      </c>
      <c r="L20">
        <f>Dudu!W20</f>
        <v>3</v>
      </c>
      <c r="M20">
        <f>Carol!W20</f>
        <v>2</v>
      </c>
      <c r="N20">
        <f>Ana!W20</f>
        <v>2</v>
      </c>
      <c r="O20">
        <f>Isa!W20</f>
        <v>2</v>
      </c>
      <c r="P20">
        <f>Trops!W20</f>
        <v>2</v>
      </c>
    </row>
    <row r="21" spans="1:16" ht="14.25" customHeight="1" x14ac:dyDescent="0.3">
      <c r="A21" s="2">
        <v>19</v>
      </c>
      <c r="B21" s="2">
        <f>IF('Tabela de Jogos'!C21&lt;&gt;"",Rodrigo!W21+B20,B20)</f>
        <v>22</v>
      </c>
      <c r="C21" s="2">
        <f>IF('Tabela de Jogos'!C21&lt;&gt;"",Arthur!W21+C20,C20)</f>
        <v>30</v>
      </c>
      <c r="D21" s="2">
        <f>IF('Tabela de Jogos'!C21&lt;&gt;"",Dudu!W21+D20,D20)</f>
        <v>11</v>
      </c>
      <c r="E21" s="2">
        <f>IF('Tabela de Jogos'!C21&lt;&gt;"",Carol!W21+E20,E20)</f>
        <v>22</v>
      </c>
      <c r="F21" s="2">
        <f>IF('Tabela de Jogos'!C21&lt;&gt;"",Ana!W21+F20,F20)</f>
        <v>28</v>
      </c>
      <c r="G21" s="2">
        <f>IF('Tabela de Jogos'!C21&lt;&gt;"",Isa!W21+G20,G20)</f>
        <v>19</v>
      </c>
      <c r="H21" s="2">
        <f>IF('Tabela de Jogos'!C21&lt;&gt;"",Trops!W21+H20,H20)</f>
        <v>16</v>
      </c>
      <c r="J21">
        <f>Rodrigo!W21</f>
        <v>2</v>
      </c>
      <c r="K21">
        <f>Arthur!W21</f>
        <v>6</v>
      </c>
      <c r="L21">
        <f>Dudu!W21</f>
        <v>2</v>
      </c>
      <c r="M21">
        <f>Carol!W21</f>
        <v>2</v>
      </c>
      <c r="N21">
        <f>Ana!W21</f>
        <v>4</v>
      </c>
      <c r="O21">
        <f>Isa!W21</f>
        <v>0</v>
      </c>
      <c r="P21">
        <f>Trops!W21</f>
        <v>4</v>
      </c>
    </row>
    <row r="22" spans="1:16" ht="14.25" customHeight="1" x14ac:dyDescent="0.3">
      <c r="A22" s="2">
        <v>20</v>
      </c>
      <c r="B22" s="2">
        <f>IF('Tabela de Jogos'!C22&lt;&gt;"",Rodrigo!W22+B21,B21)</f>
        <v>22</v>
      </c>
      <c r="C22" s="2">
        <f>IF('Tabela de Jogos'!C22&lt;&gt;"",Arthur!W22+C21,C21)</f>
        <v>33</v>
      </c>
      <c r="D22" s="2">
        <f>IF('Tabela de Jogos'!C22&lt;&gt;"",Dudu!W22+D21,D21)</f>
        <v>11</v>
      </c>
      <c r="E22" s="2">
        <f>IF('Tabela de Jogos'!C22&lt;&gt;"",Carol!W22+E21,E21)</f>
        <v>22</v>
      </c>
      <c r="F22" s="2">
        <f>IF('Tabela de Jogos'!C22&lt;&gt;"",Ana!W22+F21,F21)</f>
        <v>30</v>
      </c>
      <c r="G22" s="2">
        <f>IF('Tabela de Jogos'!C22&lt;&gt;"",Isa!W22+G21,G21)</f>
        <v>19</v>
      </c>
      <c r="H22" s="2">
        <f>IF('Tabela de Jogos'!C22&lt;&gt;"",Trops!W22+H21,H21)</f>
        <v>16</v>
      </c>
      <c r="J22">
        <f>Rodrigo!W22</f>
        <v>0</v>
      </c>
      <c r="K22">
        <f>Arthur!W22</f>
        <v>3</v>
      </c>
      <c r="L22">
        <f>Dudu!W22</f>
        <v>0</v>
      </c>
      <c r="M22">
        <f>Carol!W22</f>
        <v>0</v>
      </c>
      <c r="N22">
        <f>Ana!W22</f>
        <v>2</v>
      </c>
      <c r="O22">
        <f>Isa!W22</f>
        <v>0</v>
      </c>
      <c r="P22">
        <f>Trops!W22</f>
        <v>0</v>
      </c>
    </row>
    <row r="23" spans="1:16" ht="14.25" customHeight="1" x14ac:dyDescent="0.3">
      <c r="A23" s="2">
        <v>21</v>
      </c>
      <c r="B23" s="2">
        <f>IF('Tabela de Jogos'!C23&lt;&gt;"",Rodrigo!W23+B22,B22)</f>
        <v>22</v>
      </c>
      <c r="C23" s="2">
        <f>IF('Tabela de Jogos'!C23&lt;&gt;"",Arthur!W23+C22,C22)</f>
        <v>33</v>
      </c>
      <c r="D23" s="2">
        <f>IF('Tabela de Jogos'!C23&lt;&gt;"",Dudu!W23+D22,D22)</f>
        <v>11</v>
      </c>
      <c r="E23" s="2">
        <f>IF('Tabela de Jogos'!C23&lt;&gt;"",Carol!W23+E22,E22)</f>
        <v>22</v>
      </c>
      <c r="F23" s="2">
        <f>IF('Tabela de Jogos'!C23&lt;&gt;"",Ana!W23+F22,F22)</f>
        <v>30</v>
      </c>
      <c r="G23" s="2">
        <f>IF('Tabela de Jogos'!C23&lt;&gt;"",Isa!W23+G22,G22)</f>
        <v>19</v>
      </c>
      <c r="H23" s="2">
        <f>IF('Tabela de Jogos'!C23&lt;&gt;"",Trops!W23+H22,H22)</f>
        <v>16</v>
      </c>
      <c r="J23">
        <f>Rodrigo!W23</f>
        <v>0</v>
      </c>
      <c r="K23">
        <f>Arthur!W23</f>
        <v>0</v>
      </c>
      <c r="L23">
        <f>Dudu!W23</f>
        <v>0</v>
      </c>
      <c r="M23">
        <f>Carol!W23</f>
        <v>0</v>
      </c>
      <c r="N23">
        <f>Ana!W23</f>
        <v>0</v>
      </c>
      <c r="O23">
        <f>Isa!W23</f>
        <v>0</v>
      </c>
      <c r="P23">
        <f>Trops!W23</f>
        <v>0</v>
      </c>
    </row>
    <row r="24" spans="1:16" ht="14.25" customHeight="1" x14ac:dyDescent="0.3">
      <c r="A24" s="2">
        <v>22</v>
      </c>
      <c r="B24" s="2">
        <f>IF('Tabela de Jogos'!C24&lt;&gt;"",Rodrigo!W24+B23,B23)</f>
        <v>24</v>
      </c>
      <c r="C24" s="2">
        <f>IF('Tabela de Jogos'!C24&lt;&gt;"",Arthur!W24+C23,C23)</f>
        <v>36</v>
      </c>
      <c r="D24" s="2">
        <f>IF('Tabela de Jogos'!C24&lt;&gt;"",Dudu!W24+D23,D23)</f>
        <v>13</v>
      </c>
      <c r="E24" s="2">
        <f>IF('Tabela de Jogos'!C24&lt;&gt;"",Carol!W24+E23,E23)</f>
        <v>24</v>
      </c>
      <c r="F24" s="2">
        <f>IF('Tabela de Jogos'!C24&lt;&gt;"",Ana!W24+F23,F23)</f>
        <v>32</v>
      </c>
      <c r="G24" s="2">
        <f>IF('Tabela de Jogos'!C24&lt;&gt;"",Isa!W24+G23,G23)</f>
        <v>19</v>
      </c>
      <c r="H24" s="2">
        <f>IF('Tabela de Jogos'!C24&lt;&gt;"",Trops!W24+H23,H23)</f>
        <v>19</v>
      </c>
      <c r="J24">
        <f>Rodrigo!W24</f>
        <v>2</v>
      </c>
      <c r="K24">
        <f>Arthur!W24</f>
        <v>3</v>
      </c>
      <c r="L24">
        <f>Dudu!W24</f>
        <v>2</v>
      </c>
      <c r="M24">
        <f>Carol!W24</f>
        <v>2</v>
      </c>
      <c r="N24">
        <f>Ana!W24</f>
        <v>2</v>
      </c>
      <c r="O24">
        <f>Isa!W24</f>
        <v>0</v>
      </c>
      <c r="P24">
        <f>Trops!W24</f>
        <v>3</v>
      </c>
    </row>
    <row r="25" spans="1:16" ht="14.25" customHeight="1" x14ac:dyDescent="0.3">
      <c r="A25" s="2">
        <v>23</v>
      </c>
      <c r="B25" s="2">
        <f>IF('Tabela de Jogos'!C25&lt;&gt;"",Rodrigo!W25+B24,B24)</f>
        <v>26</v>
      </c>
      <c r="C25" s="2">
        <f>IF('Tabela de Jogos'!C25&lt;&gt;"",Arthur!W25+C24,C24)</f>
        <v>38</v>
      </c>
      <c r="D25" s="2">
        <f>IF('Tabela de Jogos'!C25&lt;&gt;"",Dudu!W25+D24,D24)</f>
        <v>15</v>
      </c>
      <c r="E25" s="2">
        <f>IF('Tabela de Jogos'!C25&lt;&gt;"",Carol!W25+E24,E24)</f>
        <v>24</v>
      </c>
      <c r="F25" s="2">
        <f>IF('Tabela de Jogos'!C25&lt;&gt;"",Ana!W25+F24,F24)</f>
        <v>35</v>
      </c>
      <c r="G25" s="2">
        <f>IF('Tabela de Jogos'!C25&lt;&gt;"",Isa!W25+G24,G24)</f>
        <v>22</v>
      </c>
      <c r="H25" s="2">
        <f>IF('Tabela de Jogos'!C25&lt;&gt;"",Trops!W25+H24,H24)</f>
        <v>19</v>
      </c>
      <c r="J25">
        <f>Rodrigo!W25</f>
        <v>2</v>
      </c>
      <c r="K25">
        <f>Arthur!W25</f>
        <v>2</v>
      </c>
      <c r="L25">
        <f>Dudu!W25</f>
        <v>2</v>
      </c>
      <c r="M25">
        <f>Carol!W25</f>
        <v>0</v>
      </c>
      <c r="N25">
        <f>Ana!W25</f>
        <v>3</v>
      </c>
      <c r="O25">
        <f>Isa!W25</f>
        <v>3</v>
      </c>
      <c r="P25">
        <f>Trops!W25</f>
        <v>0</v>
      </c>
    </row>
    <row r="26" spans="1:16" ht="14.25" customHeight="1" x14ac:dyDescent="0.3">
      <c r="A26" s="2">
        <v>24</v>
      </c>
      <c r="B26" s="2">
        <f>IF('Tabela de Jogos'!C26&lt;&gt;"",Rodrigo!W26+B25,B25)</f>
        <v>29</v>
      </c>
      <c r="C26" s="2">
        <f>IF('Tabela de Jogos'!C26&lt;&gt;"",Arthur!W26+C25,C25)</f>
        <v>41</v>
      </c>
      <c r="D26" s="2">
        <f>IF('Tabela de Jogos'!C26&lt;&gt;"",Dudu!W26+D25,D25)</f>
        <v>21</v>
      </c>
      <c r="E26" s="2">
        <f>IF('Tabela de Jogos'!C26&lt;&gt;"",Carol!W26+E25,E25)</f>
        <v>26</v>
      </c>
      <c r="F26" s="2">
        <f>IF('Tabela de Jogos'!C26&lt;&gt;"",Ana!W26+F25,F25)</f>
        <v>41</v>
      </c>
      <c r="G26" s="2">
        <f>IF('Tabela de Jogos'!C26&lt;&gt;"",Isa!W26+G25,G25)</f>
        <v>25</v>
      </c>
      <c r="H26" s="2">
        <f>IF('Tabela de Jogos'!C26&lt;&gt;"",Trops!W26+H25,H25)</f>
        <v>23</v>
      </c>
      <c r="J26">
        <f>Rodrigo!W26</f>
        <v>3</v>
      </c>
      <c r="K26">
        <f>Arthur!W26</f>
        <v>3</v>
      </c>
      <c r="L26">
        <f>Dudu!W26</f>
        <v>6</v>
      </c>
      <c r="M26">
        <f>Carol!W26</f>
        <v>2</v>
      </c>
      <c r="N26">
        <f>Ana!W26</f>
        <v>6</v>
      </c>
      <c r="O26">
        <f>Isa!W26</f>
        <v>3</v>
      </c>
      <c r="P26">
        <f>Trops!W26</f>
        <v>4</v>
      </c>
    </row>
    <row r="27" spans="1:16" ht="14.25" customHeight="1" x14ac:dyDescent="0.3">
      <c r="A27" s="2">
        <v>25</v>
      </c>
      <c r="B27" s="2">
        <f>IF('Tabela de Jogos'!C27&lt;&gt;"",Rodrigo!W27+B26,B26)</f>
        <v>29</v>
      </c>
      <c r="C27" s="2">
        <f>IF('Tabela de Jogos'!C27&lt;&gt;"",Arthur!W27+C26,C26)</f>
        <v>41</v>
      </c>
      <c r="D27" s="2">
        <f>IF('Tabela de Jogos'!C27&lt;&gt;"",Dudu!W27+D26,D26)</f>
        <v>21</v>
      </c>
      <c r="E27" s="2">
        <f>IF('Tabela de Jogos'!C27&lt;&gt;"",Carol!W27+E26,E26)</f>
        <v>26</v>
      </c>
      <c r="F27" s="2">
        <f>IF('Tabela de Jogos'!C27&lt;&gt;"",Ana!W27+F26,F26)</f>
        <v>41</v>
      </c>
      <c r="G27" s="2">
        <f>IF('Tabela de Jogos'!C27&lt;&gt;"",Isa!W27+G26,G26)</f>
        <v>27</v>
      </c>
      <c r="H27" s="2">
        <f>IF('Tabela de Jogos'!C27&lt;&gt;"",Trops!W27+H26,H26)</f>
        <v>25</v>
      </c>
      <c r="J27">
        <f>Rodrigo!W27</f>
        <v>0</v>
      </c>
      <c r="K27">
        <f>Arthur!W27</f>
        <v>0</v>
      </c>
      <c r="L27">
        <f>Dudu!W27</f>
        <v>0</v>
      </c>
      <c r="M27">
        <f>Carol!W27</f>
        <v>0</v>
      </c>
      <c r="N27">
        <f>Ana!W27</f>
        <v>0</v>
      </c>
      <c r="O27">
        <f>Isa!W27</f>
        <v>2</v>
      </c>
      <c r="P27">
        <f>Trops!W27</f>
        <v>2</v>
      </c>
    </row>
    <row r="28" spans="1:16" ht="14.25" customHeight="1" x14ac:dyDescent="0.3">
      <c r="A28" s="2">
        <v>26</v>
      </c>
      <c r="B28" s="2">
        <f>IF('Tabela de Jogos'!C28&lt;&gt;"",Rodrigo!W28+B27,B27)</f>
        <v>29</v>
      </c>
      <c r="C28" s="2">
        <f>IF('Tabela de Jogos'!C28&lt;&gt;"",Arthur!W28+C27,C27)</f>
        <v>43</v>
      </c>
      <c r="D28" s="2">
        <f>IF('Tabela de Jogos'!C28&lt;&gt;"",Dudu!W28+D27,D27)</f>
        <v>21</v>
      </c>
      <c r="E28" s="2">
        <f>IF('Tabela de Jogos'!C28&lt;&gt;"",Carol!W28+E27,E27)</f>
        <v>28</v>
      </c>
      <c r="F28" s="2">
        <f>IF('Tabela de Jogos'!C28&lt;&gt;"",Ana!W28+F27,F27)</f>
        <v>43</v>
      </c>
      <c r="G28" s="2">
        <f>IF('Tabela de Jogos'!C28&lt;&gt;"",Isa!W28+G27,G27)</f>
        <v>29</v>
      </c>
      <c r="H28" s="2">
        <f>IF('Tabela de Jogos'!C28&lt;&gt;"",Trops!W28+H27,H27)</f>
        <v>27</v>
      </c>
      <c r="J28">
        <f>Rodrigo!W28</f>
        <v>0</v>
      </c>
      <c r="K28">
        <f>Arthur!W28</f>
        <v>2</v>
      </c>
      <c r="L28">
        <f>Dudu!W28</f>
        <v>0</v>
      </c>
      <c r="M28">
        <f>Carol!W28</f>
        <v>2</v>
      </c>
      <c r="N28">
        <f>Ana!W28</f>
        <v>2</v>
      </c>
      <c r="O28">
        <f>Isa!W28</f>
        <v>2</v>
      </c>
      <c r="P28">
        <f>Trops!W28</f>
        <v>2</v>
      </c>
    </row>
    <row r="29" spans="1:16" ht="14.25" customHeight="1" x14ac:dyDescent="0.3">
      <c r="A29" s="2">
        <v>27</v>
      </c>
      <c r="B29" s="2">
        <f>IF('Tabela de Jogos'!C29&lt;&gt;"",Rodrigo!W29+B28,B28)</f>
        <v>31</v>
      </c>
      <c r="C29" s="2">
        <f>IF('Tabela de Jogos'!C29&lt;&gt;"",Arthur!W29+C28,C28)</f>
        <v>45</v>
      </c>
      <c r="D29" s="2">
        <f>IF('Tabela de Jogos'!C29&lt;&gt;"",Dudu!W29+D28,D28)</f>
        <v>23</v>
      </c>
      <c r="E29" s="2">
        <f>IF('Tabela de Jogos'!C29&lt;&gt;"",Carol!W29+E28,E28)</f>
        <v>30</v>
      </c>
      <c r="F29" s="2">
        <f>IF('Tabela de Jogos'!C29&lt;&gt;"",Ana!W29+F28,F28)</f>
        <v>45</v>
      </c>
      <c r="G29" s="2">
        <f>IF('Tabela de Jogos'!C29&lt;&gt;"",Isa!W29+G28,G28)</f>
        <v>29</v>
      </c>
      <c r="H29" s="2">
        <f>IF('Tabela de Jogos'!C29&lt;&gt;"",Trops!W29+H28,H28)</f>
        <v>29</v>
      </c>
      <c r="J29">
        <f>Rodrigo!W29</f>
        <v>2</v>
      </c>
      <c r="K29">
        <f>Arthur!W29</f>
        <v>2</v>
      </c>
      <c r="L29">
        <f>Dudu!W29</f>
        <v>2</v>
      </c>
      <c r="M29">
        <f>Carol!W29</f>
        <v>2</v>
      </c>
      <c r="N29">
        <f>Ana!W29</f>
        <v>2</v>
      </c>
      <c r="O29">
        <f>Isa!W29</f>
        <v>0</v>
      </c>
      <c r="P29">
        <f>Trops!W29</f>
        <v>2</v>
      </c>
    </row>
    <row r="30" spans="1:16" ht="14.25" customHeight="1" x14ac:dyDescent="0.3">
      <c r="A30" s="2">
        <v>28</v>
      </c>
      <c r="B30" s="2">
        <f>IF('Tabela de Jogos'!C30&lt;&gt;"",Rodrigo!W30+B29,B29)</f>
        <v>33</v>
      </c>
      <c r="C30" s="2">
        <f>IF('Tabela de Jogos'!C30&lt;&gt;"",Arthur!W30+C29,C29)</f>
        <v>48</v>
      </c>
      <c r="D30" s="2">
        <f>IF('Tabela de Jogos'!C30&lt;&gt;"",Dudu!W30+D29,D29)</f>
        <v>23</v>
      </c>
      <c r="E30" s="2">
        <f>IF('Tabela de Jogos'!C30&lt;&gt;"",Carol!W30+E29,E29)</f>
        <v>33</v>
      </c>
      <c r="F30" s="2">
        <f>IF('Tabela de Jogos'!C30&lt;&gt;"",Ana!W30+F29,F29)</f>
        <v>48</v>
      </c>
      <c r="G30" s="2">
        <f>IF('Tabela de Jogos'!C30&lt;&gt;"",Isa!W30+G29,G29)</f>
        <v>32</v>
      </c>
      <c r="H30" s="2">
        <f>IF('Tabela de Jogos'!C30&lt;&gt;"",Trops!W30+H29,H29)</f>
        <v>31</v>
      </c>
      <c r="J30">
        <f>Rodrigo!W30</f>
        <v>2</v>
      </c>
      <c r="K30">
        <f>Arthur!W30</f>
        <v>3</v>
      </c>
      <c r="L30">
        <f>Dudu!W30</f>
        <v>0</v>
      </c>
      <c r="M30">
        <f>Carol!W30</f>
        <v>3</v>
      </c>
      <c r="N30">
        <f>Ana!W30</f>
        <v>3</v>
      </c>
      <c r="O30">
        <f>Isa!W30</f>
        <v>3</v>
      </c>
      <c r="P30">
        <f>Trops!W30</f>
        <v>2</v>
      </c>
    </row>
    <row r="31" spans="1:16" ht="14.25" customHeight="1" x14ac:dyDescent="0.3">
      <c r="A31" s="2">
        <v>29</v>
      </c>
      <c r="B31" s="2">
        <f>IF('Tabela de Jogos'!C31&lt;&gt;"",Rodrigo!W31+B30,B30)</f>
        <v>36</v>
      </c>
      <c r="C31" s="2">
        <f>IF('Tabela de Jogos'!C31&lt;&gt;"",Arthur!W31+C30,C30)</f>
        <v>52</v>
      </c>
      <c r="D31" s="2">
        <f>IF('Tabela de Jogos'!C31&lt;&gt;"",Dudu!W31+D30,D30)</f>
        <v>27</v>
      </c>
      <c r="E31" s="2">
        <f>IF('Tabela de Jogos'!C31&lt;&gt;"",Carol!W31+E30,E30)</f>
        <v>35</v>
      </c>
      <c r="F31" s="2">
        <f>IF('Tabela de Jogos'!C31&lt;&gt;"",Ana!W31+F30,F30)</f>
        <v>50</v>
      </c>
      <c r="G31" s="2">
        <f>IF('Tabela de Jogos'!C31&lt;&gt;"",Isa!W31+G30,G30)</f>
        <v>35</v>
      </c>
      <c r="H31" s="2">
        <f>IF('Tabela de Jogos'!C31&lt;&gt;"",Trops!W31+H30,H30)</f>
        <v>31</v>
      </c>
      <c r="J31">
        <f>Rodrigo!W31</f>
        <v>3</v>
      </c>
      <c r="K31">
        <f>Arthur!W31</f>
        <v>4</v>
      </c>
      <c r="L31">
        <f>Dudu!W31</f>
        <v>4</v>
      </c>
      <c r="M31">
        <f>Carol!W31</f>
        <v>2</v>
      </c>
      <c r="N31">
        <f>Ana!W31</f>
        <v>2</v>
      </c>
      <c r="O31">
        <f>Isa!W31</f>
        <v>3</v>
      </c>
      <c r="P31">
        <f>Trops!W31</f>
        <v>0</v>
      </c>
    </row>
    <row r="32" spans="1:16" ht="14.25" customHeight="1" x14ac:dyDescent="0.3">
      <c r="A32" s="2">
        <v>30</v>
      </c>
      <c r="B32" s="2">
        <f>IF('Tabela de Jogos'!C32&lt;&gt;"",Rodrigo!W32+B31,B31)</f>
        <v>38</v>
      </c>
      <c r="C32" s="2">
        <f>IF('Tabela de Jogos'!C32&lt;&gt;"",Arthur!W32+C31,C31)</f>
        <v>54</v>
      </c>
      <c r="D32" s="2">
        <f>IF('Tabela de Jogos'!C32&lt;&gt;"",Dudu!W32+D31,D31)</f>
        <v>29</v>
      </c>
      <c r="E32" s="2">
        <f>IF('Tabela de Jogos'!C32&lt;&gt;"",Carol!W32+E31,E31)</f>
        <v>38</v>
      </c>
      <c r="F32" s="2">
        <f>IF('Tabela de Jogos'!C32&lt;&gt;"",Ana!W32+F31,F31)</f>
        <v>52</v>
      </c>
      <c r="G32" s="2">
        <f>IF('Tabela de Jogos'!C32&lt;&gt;"",Isa!W32+G31,G31)</f>
        <v>37</v>
      </c>
      <c r="H32" s="2">
        <f>IF('Tabela de Jogos'!C32&lt;&gt;"",Trops!W32+H31,H31)</f>
        <v>33</v>
      </c>
      <c r="J32">
        <f>Rodrigo!W32</f>
        <v>2</v>
      </c>
      <c r="K32">
        <f>Arthur!W32</f>
        <v>2</v>
      </c>
      <c r="L32">
        <f>Dudu!W32</f>
        <v>2</v>
      </c>
      <c r="M32">
        <f>Carol!W32</f>
        <v>3</v>
      </c>
      <c r="N32">
        <f>Ana!W32</f>
        <v>2</v>
      </c>
      <c r="O32">
        <f>Isa!W32</f>
        <v>2</v>
      </c>
      <c r="P32">
        <f>Trops!W32</f>
        <v>2</v>
      </c>
    </row>
    <row r="33" spans="1:16" ht="14.25" customHeight="1" x14ac:dyDescent="0.3">
      <c r="A33" s="2">
        <v>31</v>
      </c>
      <c r="B33" s="2">
        <f>IF('Tabela de Jogos'!C33&lt;&gt;"",Rodrigo!W33+B32,B32)</f>
        <v>44</v>
      </c>
      <c r="C33" s="2">
        <f>IF('Tabela de Jogos'!C33&lt;&gt;"",Arthur!W33+C32,C32)</f>
        <v>58</v>
      </c>
      <c r="D33" s="2">
        <f>IF('Tabela de Jogos'!C33&lt;&gt;"",Dudu!W33+D32,D32)</f>
        <v>33</v>
      </c>
      <c r="E33" s="2">
        <f>IF('Tabela de Jogos'!C33&lt;&gt;"",Carol!W33+E32,E32)</f>
        <v>44</v>
      </c>
      <c r="F33" s="2">
        <f>IF('Tabela de Jogos'!C33&lt;&gt;"",Ana!W33+F32,F32)</f>
        <v>60</v>
      </c>
      <c r="G33" s="2">
        <f>IF('Tabela de Jogos'!C33&lt;&gt;"",Isa!W33+G32,G32)</f>
        <v>45</v>
      </c>
      <c r="H33" s="2">
        <f>IF('Tabela de Jogos'!C33&lt;&gt;"",Trops!W33+H32,H32)</f>
        <v>41</v>
      </c>
      <c r="J33">
        <f>Rodrigo!W33</f>
        <v>6</v>
      </c>
      <c r="K33">
        <f>Arthur!W33</f>
        <v>4</v>
      </c>
      <c r="L33">
        <f>Dudu!W33</f>
        <v>4</v>
      </c>
      <c r="M33">
        <f>Carol!W33</f>
        <v>6</v>
      </c>
      <c r="N33">
        <f>Ana!W33</f>
        <v>8</v>
      </c>
      <c r="O33">
        <f>Isa!W33</f>
        <v>8</v>
      </c>
      <c r="P33">
        <f>Trops!W33</f>
        <v>8</v>
      </c>
    </row>
    <row r="34" spans="1:16" ht="14.25" customHeight="1" x14ac:dyDescent="0.3">
      <c r="A34" s="2">
        <v>32</v>
      </c>
      <c r="B34" s="2">
        <f>IF('Tabela de Jogos'!C34&lt;&gt;"",Rodrigo!W34+B33,B33)</f>
        <v>44</v>
      </c>
      <c r="C34" s="2">
        <f>IF('Tabela de Jogos'!C34&lt;&gt;"",Arthur!W34+C33,C33)</f>
        <v>58</v>
      </c>
      <c r="D34" s="2">
        <f>IF('Tabela de Jogos'!C34&lt;&gt;"",Dudu!W34+D33,D33)</f>
        <v>33</v>
      </c>
      <c r="E34" s="2">
        <f>IF('Tabela de Jogos'!C34&lt;&gt;"",Carol!W34+E33,E33)</f>
        <v>47</v>
      </c>
      <c r="F34" s="2">
        <f>IF('Tabela de Jogos'!C34&lt;&gt;"",Ana!W34+F33,F33)</f>
        <v>63</v>
      </c>
      <c r="G34" s="2">
        <f>IF('Tabela de Jogos'!C34&lt;&gt;"",Isa!W34+G33,G33)</f>
        <v>45</v>
      </c>
      <c r="H34" s="2">
        <f>IF('Tabela de Jogos'!C34&lt;&gt;"",Trops!W34+H33,H33)</f>
        <v>41</v>
      </c>
      <c r="J34">
        <f>Rodrigo!W34</f>
        <v>0</v>
      </c>
      <c r="K34">
        <f>Arthur!W34</f>
        <v>0</v>
      </c>
      <c r="L34">
        <f>Dudu!W34</f>
        <v>0</v>
      </c>
      <c r="M34">
        <f>Carol!W34</f>
        <v>3</v>
      </c>
      <c r="N34">
        <f>Ana!W34</f>
        <v>3</v>
      </c>
      <c r="O34">
        <f>Isa!W34</f>
        <v>0</v>
      </c>
      <c r="P34">
        <f>Trops!W34</f>
        <v>0</v>
      </c>
    </row>
    <row r="35" spans="1:16" ht="14.25" customHeight="1" x14ac:dyDescent="0.3">
      <c r="A35" s="2">
        <v>33</v>
      </c>
      <c r="B35" s="2">
        <f>IF('Tabela de Jogos'!C35&lt;&gt;"",Rodrigo!W35+B34,B34)</f>
        <v>44</v>
      </c>
      <c r="C35" s="2">
        <f>IF('Tabela de Jogos'!C35&lt;&gt;"",Arthur!W35+C34,C34)</f>
        <v>60</v>
      </c>
      <c r="D35" s="2">
        <f>IF('Tabela de Jogos'!C35&lt;&gt;"",Dudu!W35+D34,D34)</f>
        <v>33</v>
      </c>
      <c r="E35" s="2">
        <f>IF('Tabela de Jogos'!C35&lt;&gt;"",Carol!W35+E34,E34)</f>
        <v>47</v>
      </c>
      <c r="F35" s="2">
        <f>IF('Tabela de Jogos'!C35&lt;&gt;"",Ana!W35+F34,F34)</f>
        <v>65</v>
      </c>
      <c r="G35" s="2">
        <f>IF('Tabela de Jogos'!C35&lt;&gt;"",Isa!W35+G34,G34)</f>
        <v>45</v>
      </c>
      <c r="H35" s="2">
        <f>IF('Tabela de Jogos'!C35&lt;&gt;"",Trops!W35+H34,H34)</f>
        <v>41</v>
      </c>
      <c r="J35">
        <f>Rodrigo!W35</f>
        <v>0</v>
      </c>
      <c r="K35">
        <f>Arthur!W35</f>
        <v>2</v>
      </c>
      <c r="L35">
        <f>Dudu!W35</f>
        <v>0</v>
      </c>
      <c r="M35">
        <f>Carol!W35</f>
        <v>0</v>
      </c>
      <c r="N35">
        <f>Ana!W35</f>
        <v>2</v>
      </c>
      <c r="O35">
        <f>Isa!W35</f>
        <v>0</v>
      </c>
      <c r="P35">
        <f>Trops!W35</f>
        <v>0</v>
      </c>
    </row>
    <row r="36" spans="1:16" ht="14.25" customHeight="1" x14ac:dyDescent="0.3">
      <c r="A36" s="2">
        <v>34</v>
      </c>
      <c r="B36" s="2">
        <f>IF('Tabela de Jogos'!C36&lt;&gt;"",Rodrigo!W36+B35,B35)</f>
        <v>46</v>
      </c>
      <c r="C36" s="2">
        <f>IF('Tabela de Jogos'!C36&lt;&gt;"",Arthur!W36+C35,C35)</f>
        <v>62</v>
      </c>
      <c r="D36" s="2">
        <f>IF('Tabela de Jogos'!C36&lt;&gt;"",Dudu!W36+D35,D35)</f>
        <v>39</v>
      </c>
      <c r="E36" s="2">
        <f>IF('Tabela de Jogos'!C36&lt;&gt;"",Carol!W36+E35,E35)</f>
        <v>49</v>
      </c>
      <c r="F36" s="2">
        <f>IF('Tabela de Jogos'!C36&lt;&gt;"",Ana!W36+F35,F35)</f>
        <v>67</v>
      </c>
      <c r="G36" s="2">
        <f>IF('Tabela de Jogos'!C36&lt;&gt;"",Isa!W36+G35,G35)</f>
        <v>47</v>
      </c>
      <c r="H36" s="2">
        <f>IF('Tabela de Jogos'!C36&lt;&gt;"",Trops!W36+H35,H35)</f>
        <v>43</v>
      </c>
      <c r="J36">
        <f>Rodrigo!W36</f>
        <v>2</v>
      </c>
      <c r="K36">
        <f>Arthur!W36</f>
        <v>2</v>
      </c>
      <c r="L36">
        <f>Dudu!W36</f>
        <v>6</v>
      </c>
      <c r="M36">
        <f>Carol!W36</f>
        <v>2</v>
      </c>
      <c r="N36">
        <f>Ana!W36</f>
        <v>2</v>
      </c>
      <c r="O36">
        <f>Isa!W36</f>
        <v>2</v>
      </c>
      <c r="P36">
        <f>Trops!W36</f>
        <v>2</v>
      </c>
    </row>
    <row r="37" spans="1:16" ht="14.25" customHeight="1" x14ac:dyDescent="0.3">
      <c r="A37" s="2">
        <v>35</v>
      </c>
      <c r="B37" s="2">
        <f>IF('Tabela de Jogos'!C37&lt;&gt;"",Rodrigo!W37+B36,B36)</f>
        <v>46</v>
      </c>
      <c r="C37" s="2">
        <f>IF('Tabela de Jogos'!C37&lt;&gt;"",Arthur!W37+C36,C36)</f>
        <v>62</v>
      </c>
      <c r="D37" s="2">
        <f>IF('Tabela de Jogos'!C37&lt;&gt;"",Dudu!W37+D36,D36)</f>
        <v>39</v>
      </c>
      <c r="E37" s="2">
        <f>IF('Tabela de Jogos'!C37&lt;&gt;"",Carol!W37+E36,E36)</f>
        <v>49</v>
      </c>
      <c r="F37" s="2">
        <f>IF('Tabela de Jogos'!C37&lt;&gt;"",Ana!W37+F36,F36)</f>
        <v>67</v>
      </c>
      <c r="G37" s="2">
        <f>IF('Tabela de Jogos'!C37&lt;&gt;"",Isa!W37+G36,G36)</f>
        <v>49</v>
      </c>
      <c r="H37" s="2">
        <f>IF('Tabela de Jogos'!C37&lt;&gt;"",Trops!W37+H36,H36)</f>
        <v>43</v>
      </c>
      <c r="J37">
        <f>Rodrigo!W37</f>
        <v>0</v>
      </c>
      <c r="K37">
        <f>Arthur!W37</f>
        <v>0</v>
      </c>
      <c r="L37">
        <f>Dudu!W37</f>
        <v>0</v>
      </c>
      <c r="M37">
        <f>Carol!W37</f>
        <v>0</v>
      </c>
      <c r="N37">
        <f>Ana!W37</f>
        <v>0</v>
      </c>
      <c r="O37">
        <f>Isa!W37</f>
        <v>2</v>
      </c>
      <c r="P37">
        <f>Trops!W37</f>
        <v>0</v>
      </c>
    </row>
    <row r="38" spans="1:16" ht="14.25" customHeight="1" x14ac:dyDescent="0.3">
      <c r="A38" s="2">
        <v>36</v>
      </c>
      <c r="B38" s="2">
        <f>IF('Tabela de Jogos'!C38&lt;&gt;"",Rodrigo!W38+B37,B37)</f>
        <v>48</v>
      </c>
      <c r="C38" s="2">
        <f>IF('Tabela de Jogos'!C38&lt;&gt;"",Arthur!W38+C37,C37)</f>
        <v>68</v>
      </c>
      <c r="D38" s="2">
        <f>IF('Tabela de Jogos'!C38&lt;&gt;"",Dudu!W38+D37,D37)</f>
        <v>41</v>
      </c>
      <c r="E38" s="2">
        <f>IF('Tabela de Jogos'!C38&lt;&gt;"",Carol!W38+E37,E37)</f>
        <v>51</v>
      </c>
      <c r="F38" s="2">
        <f>IF('Tabela de Jogos'!C38&lt;&gt;"",Ana!W38+F37,F37)</f>
        <v>69</v>
      </c>
      <c r="G38" s="2">
        <f>IF('Tabela de Jogos'!C38&lt;&gt;"",Isa!W38+G37,G37)</f>
        <v>51</v>
      </c>
      <c r="H38" s="2">
        <f>IF('Tabela de Jogos'!C38&lt;&gt;"",Trops!W38+H37,H37)</f>
        <v>45</v>
      </c>
      <c r="J38">
        <f>Rodrigo!W38</f>
        <v>2</v>
      </c>
      <c r="K38">
        <f>Arthur!W38</f>
        <v>6</v>
      </c>
      <c r="L38">
        <f>Dudu!W38</f>
        <v>2</v>
      </c>
      <c r="M38">
        <f>Carol!W38</f>
        <v>2</v>
      </c>
      <c r="N38">
        <f>Ana!W38</f>
        <v>2</v>
      </c>
      <c r="O38">
        <f>Isa!W38</f>
        <v>2</v>
      </c>
      <c r="P38">
        <f>Trops!W38</f>
        <v>2</v>
      </c>
    </row>
    <row r="39" spans="1:16" ht="14.25" customHeight="1" x14ac:dyDescent="0.3">
      <c r="A39" s="2">
        <v>37</v>
      </c>
      <c r="B39" s="2">
        <f>IF('Tabela de Jogos'!C39&lt;&gt;"",Rodrigo!W39+B38,B38)</f>
        <v>54</v>
      </c>
      <c r="C39" s="2">
        <f>IF('Tabela de Jogos'!C39&lt;&gt;"",Arthur!W39+C38,C38)</f>
        <v>70</v>
      </c>
      <c r="D39" s="2">
        <f>IF('Tabela de Jogos'!C39&lt;&gt;"",Dudu!W39+D38,D38)</f>
        <v>43</v>
      </c>
      <c r="E39" s="2">
        <f>IF('Tabela de Jogos'!C39&lt;&gt;"",Carol!W39+E38,E38)</f>
        <v>53</v>
      </c>
      <c r="F39" s="2">
        <f>IF('Tabela de Jogos'!C39&lt;&gt;"",Ana!W39+F38,F38)</f>
        <v>75</v>
      </c>
      <c r="G39" s="2">
        <f>IF('Tabela de Jogos'!C39&lt;&gt;"",Isa!W39+G38,G38)</f>
        <v>57</v>
      </c>
      <c r="H39" s="2">
        <f>IF('Tabela de Jogos'!C39&lt;&gt;"",Trops!W39+H38,H38)</f>
        <v>47</v>
      </c>
      <c r="J39">
        <f>Rodrigo!W39</f>
        <v>6</v>
      </c>
      <c r="K39">
        <f>Arthur!W39</f>
        <v>2</v>
      </c>
      <c r="L39">
        <f>Dudu!W39</f>
        <v>2</v>
      </c>
      <c r="M39">
        <f>Carol!W39</f>
        <v>2</v>
      </c>
      <c r="N39">
        <f>Ana!W39</f>
        <v>6</v>
      </c>
      <c r="O39">
        <f>Isa!W39</f>
        <v>6</v>
      </c>
      <c r="P39">
        <f>Trops!W39</f>
        <v>2</v>
      </c>
    </row>
    <row r="40" spans="1:16" ht="14.25" customHeight="1" x14ac:dyDescent="0.3">
      <c r="A40" s="2">
        <v>38</v>
      </c>
      <c r="B40" s="2">
        <f>IF('Tabela de Jogos'!C40&lt;&gt;"",Rodrigo!W40+B39,B39)</f>
        <v>54</v>
      </c>
      <c r="C40" s="2">
        <f>IF('Tabela de Jogos'!C40&lt;&gt;"",Arthur!W40+C39,C39)</f>
        <v>70</v>
      </c>
      <c r="D40" s="2">
        <f>IF('Tabela de Jogos'!C40&lt;&gt;"",Dudu!W40+D39,D39)</f>
        <v>43</v>
      </c>
      <c r="E40" s="2">
        <f>IF('Tabela de Jogos'!C40&lt;&gt;"",Carol!W40+E39,E39)</f>
        <v>53</v>
      </c>
      <c r="F40" s="2">
        <f>IF('Tabela de Jogos'!C40&lt;&gt;"",Ana!W40+F39,F39)</f>
        <v>75</v>
      </c>
      <c r="G40" s="2">
        <f>IF('Tabela de Jogos'!C40&lt;&gt;"",Isa!W40+G39,G39)</f>
        <v>57</v>
      </c>
      <c r="H40" s="2">
        <f>IF('Tabela de Jogos'!C40&lt;&gt;"",Trops!W40+H39,H39)</f>
        <v>47</v>
      </c>
      <c r="J40">
        <f>Rodrigo!W40</f>
        <v>0</v>
      </c>
      <c r="K40">
        <f>Arthur!W40</f>
        <v>0</v>
      </c>
      <c r="L40">
        <f>Dudu!W40</f>
        <v>0</v>
      </c>
      <c r="M40">
        <f>Carol!W40</f>
        <v>0</v>
      </c>
      <c r="N40">
        <f>Ana!W40</f>
        <v>0</v>
      </c>
      <c r="O40">
        <f>Isa!W40</f>
        <v>0</v>
      </c>
      <c r="P40">
        <f>Trops!W40</f>
        <v>0</v>
      </c>
    </row>
    <row r="41" spans="1:16" ht="14.25" customHeight="1" x14ac:dyDescent="0.3">
      <c r="A41" s="2">
        <v>39</v>
      </c>
      <c r="B41" s="2">
        <f>IF('Tabela de Jogos'!C41&lt;&gt;"",Rodrigo!W41+B40,B40)</f>
        <v>54</v>
      </c>
      <c r="C41" s="2">
        <f>IF('Tabela de Jogos'!C41&lt;&gt;"",Arthur!W41+C40,C40)</f>
        <v>70</v>
      </c>
      <c r="D41" s="2">
        <f>IF('Tabela de Jogos'!C41&lt;&gt;"",Dudu!W41+D40,D40)</f>
        <v>43</v>
      </c>
      <c r="E41" s="2">
        <f>IF('Tabela de Jogos'!C41&lt;&gt;"",Carol!W41+E40,E40)</f>
        <v>53</v>
      </c>
      <c r="F41" s="2">
        <f>IF('Tabela de Jogos'!C41&lt;&gt;"",Ana!W41+F40,F40)</f>
        <v>75</v>
      </c>
      <c r="G41" s="2">
        <f>IF('Tabela de Jogos'!C41&lt;&gt;"",Isa!W41+G40,G40)</f>
        <v>57</v>
      </c>
      <c r="H41" s="2">
        <f>IF('Tabela de Jogos'!C41&lt;&gt;"",Trops!W41+H40,H40)</f>
        <v>53</v>
      </c>
      <c r="J41">
        <f>Rodrigo!W41</f>
        <v>0</v>
      </c>
      <c r="K41">
        <f>Arthur!W41</f>
        <v>0</v>
      </c>
      <c r="L41">
        <f>Dudu!W41</f>
        <v>0</v>
      </c>
      <c r="M41">
        <f>Carol!W41</f>
        <v>0</v>
      </c>
      <c r="N41">
        <f>Ana!W41</f>
        <v>0</v>
      </c>
      <c r="O41">
        <f>Isa!W41</f>
        <v>0</v>
      </c>
      <c r="P41">
        <f>Trops!W41</f>
        <v>6</v>
      </c>
    </row>
    <row r="42" spans="1:16" ht="14.25" customHeight="1" x14ac:dyDescent="0.3">
      <c r="A42" s="2">
        <v>40</v>
      </c>
      <c r="B42" s="2">
        <f>IF('Tabela de Jogos'!C42&lt;&gt;"",Rodrigo!W42+B41,B41)</f>
        <v>56</v>
      </c>
      <c r="C42" s="2">
        <f>IF('Tabela de Jogos'!C42&lt;&gt;"",Arthur!W42+C41,C41)</f>
        <v>72</v>
      </c>
      <c r="D42" s="2">
        <f>IF('Tabela de Jogos'!C42&lt;&gt;"",Dudu!W42+D41,D41)</f>
        <v>46</v>
      </c>
      <c r="E42" s="2">
        <f>IF('Tabela de Jogos'!C42&lt;&gt;"",Carol!W42+E41,E41)</f>
        <v>53</v>
      </c>
      <c r="F42" s="2">
        <f>IF('Tabela de Jogos'!C42&lt;&gt;"",Ana!W42+F41,F41)</f>
        <v>77</v>
      </c>
      <c r="G42" s="2">
        <f>IF('Tabela de Jogos'!C42&lt;&gt;"",Isa!W42+G41,G41)</f>
        <v>60</v>
      </c>
      <c r="H42" s="2">
        <f>IF('Tabela de Jogos'!C42&lt;&gt;"",Trops!W42+H41,H41)</f>
        <v>55</v>
      </c>
      <c r="J42">
        <f>Rodrigo!W42</f>
        <v>2</v>
      </c>
      <c r="K42">
        <f>Arthur!W42</f>
        <v>2</v>
      </c>
      <c r="L42">
        <f>Dudu!W42</f>
        <v>3</v>
      </c>
      <c r="M42">
        <f>Carol!W42</f>
        <v>0</v>
      </c>
      <c r="N42">
        <f>Ana!W42</f>
        <v>2</v>
      </c>
      <c r="O42">
        <f>Isa!W42</f>
        <v>3</v>
      </c>
      <c r="P42">
        <f>Trops!W42</f>
        <v>2</v>
      </c>
    </row>
    <row r="43" spans="1:16" ht="14.25" customHeight="1" x14ac:dyDescent="0.3">
      <c r="A43" s="2">
        <v>41</v>
      </c>
      <c r="B43" s="2">
        <f>IF('Tabela de Jogos'!C43&lt;&gt;"",Rodrigo!W43+B42,B42)</f>
        <v>60</v>
      </c>
      <c r="C43" s="2">
        <f>IF('Tabela de Jogos'!C43&lt;&gt;"",Arthur!W43+C42,C42)</f>
        <v>74</v>
      </c>
      <c r="D43" s="2">
        <f>IF('Tabela de Jogos'!C43&lt;&gt;"",Dudu!W43+D42,D42)</f>
        <v>52</v>
      </c>
      <c r="E43" s="2">
        <f>IF('Tabela de Jogos'!C43&lt;&gt;"",Carol!W43+E42,E42)</f>
        <v>56</v>
      </c>
      <c r="F43" s="2">
        <f>IF('Tabela de Jogos'!C43&lt;&gt;"",Ana!W43+F42,F42)</f>
        <v>80</v>
      </c>
      <c r="G43" s="2">
        <f>IF('Tabela de Jogos'!C43&lt;&gt;"",Isa!W43+G42,G42)</f>
        <v>62</v>
      </c>
      <c r="H43" s="2">
        <f>IF('Tabela de Jogos'!C43&lt;&gt;"",Trops!W43+H42,H42)</f>
        <v>58</v>
      </c>
      <c r="J43">
        <f>Rodrigo!W43</f>
        <v>4</v>
      </c>
      <c r="K43">
        <f>Arthur!W43</f>
        <v>2</v>
      </c>
      <c r="L43">
        <f>Dudu!W43</f>
        <v>6</v>
      </c>
      <c r="M43">
        <f>Carol!W43</f>
        <v>3</v>
      </c>
      <c r="N43">
        <f>Ana!W43</f>
        <v>3</v>
      </c>
      <c r="O43">
        <f>Isa!W43</f>
        <v>2</v>
      </c>
      <c r="P43">
        <f>Trops!W43</f>
        <v>3</v>
      </c>
    </row>
    <row r="44" spans="1:16" ht="14.25" customHeight="1" x14ac:dyDescent="0.3">
      <c r="A44" s="2">
        <v>42</v>
      </c>
      <c r="B44" s="2">
        <f>IF('Tabela de Jogos'!C44&lt;&gt;"",Rodrigo!W44+B43,B43)</f>
        <v>62</v>
      </c>
      <c r="C44" s="2">
        <f>IF('Tabela de Jogos'!C44&lt;&gt;"",Arthur!W44+C43,C43)</f>
        <v>76</v>
      </c>
      <c r="D44" s="2">
        <f>IF('Tabela de Jogos'!C44&lt;&gt;"",Dudu!W44+D43,D43)</f>
        <v>58</v>
      </c>
      <c r="E44" s="2">
        <f>IF('Tabela de Jogos'!C44&lt;&gt;"",Carol!W44+E43,E43)</f>
        <v>59</v>
      </c>
      <c r="F44" s="2">
        <f>IF('Tabela de Jogos'!C44&lt;&gt;"",Ana!W44+F43,F43)</f>
        <v>84</v>
      </c>
      <c r="G44" s="2">
        <f>IF('Tabela de Jogos'!C44&lt;&gt;"",Isa!W44+G43,G43)</f>
        <v>65</v>
      </c>
      <c r="H44" s="2">
        <f>IF('Tabela de Jogos'!C44&lt;&gt;"",Trops!W44+H43,H43)</f>
        <v>60</v>
      </c>
      <c r="J44">
        <f>Rodrigo!W44</f>
        <v>2</v>
      </c>
      <c r="K44">
        <f>Arthur!W44</f>
        <v>2</v>
      </c>
      <c r="L44">
        <f>Dudu!W44</f>
        <v>6</v>
      </c>
      <c r="M44">
        <f>Carol!W44</f>
        <v>3</v>
      </c>
      <c r="N44">
        <f>Ana!W44</f>
        <v>4</v>
      </c>
      <c r="O44">
        <f>Isa!W44</f>
        <v>3</v>
      </c>
      <c r="P44">
        <f>Trops!W44</f>
        <v>2</v>
      </c>
    </row>
    <row r="45" spans="1:16" ht="14.25" customHeight="1" x14ac:dyDescent="0.3">
      <c r="A45" s="2">
        <v>43</v>
      </c>
      <c r="B45" s="2">
        <f>IF('Tabela de Jogos'!C45&lt;&gt;"",Rodrigo!W45+B44,B44)</f>
        <v>66</v>
      </c>
      <c r="C45" s="2">
        <f>IF('Tabela de Jogos'!C45&lt;&gt;"",Arthur!W45+C44,C44)</f>
        <v>79</v>
      </c>
      <c r="D45" s="2">
        <f>IF('Tabela de Jogos'!C45&lt;&gt;"",Dudu!W45+D44,D44)</f>
        <v>62</v>
      </c>
      <c r="E45" s="2">
        <f>IF('Tabela de Jogos'!C45&lt;&gt;"",Carol!W45+E44,E44)</f>
        <v>63</v>
      </c>
      <c r="F45" s="2">
        <f>IF('Tabela de Jogos'!C45&lt;&gt;"",Ana!W45+F44,F44)</f>
        <v>86</v>
      </c>
      <c r="G45" s="2">
        <f>IF('Tabela de Jogos'!C45&lt;&gt;"",Isa!W45+G44,G44)</f>
        <v>69</v>
      </c>
      <c r="H45" s="2">
        <f>IF('Tabela de Jogos'!C45&lt;&gt;"",Trops!W45+H44,H44)</f>
        <v>63</v>
      </c>
      <c r="J45">
        <f>Rodrigo!W45</f>
        <v>4</v>
      </c>
      <c r="K45">
        <f>Arthur!W45</f>
        <v>3</v>
      </c>
      <c r="L45">
        <f>Dudu!W45</f>
        <v>4</v>
      </c>
      <c r="M45">
        <f>Carol!W45</f>
        <v>4</v>
      </c>
      <c r="N45">
        <f>Ana!W45</f>
        <v>2</v>
      </c>
      <c r="O45">
        <f>Isa!W45</f>
        <v>4</v>
      </c>
      <c r="P45">
        <f>Trops!W45</f>
        <v>3</v>
      </c>
    </row>
    <row r="46" spans="1:16" ht="14.25" customHeight="1" x14ac:dyDescent="0.3">
      <c r="A46" s="2">
        <v>44</v>
      </c>
      <c r="B46" s="2">
        <f>IF('Tabela de Jogos'!C46&lt;&gt;"",Rodrigo!W46+B45,B45)</f>
        <v>66</v>
      </c>
      <c r="C46" s="2">
        <f>IF('Tabela de Jogos'!C46&lt;&gt;"",Arthur!W46+C45,C45)</f>
        <v>85</v>
      </c>
      <c r="D46" s="2">
        <f>IF('Tabela de Jogos'!C46&lt;&gt;"",Dudu!W46+D45,D45)</f>
        <v>62</v>
      </c>
      <c r="E46" s="2">
        <f>IF('Tabela de Jogos'!C46&lt;&gt;"",Carol!W46+E45,E45)</f>
        <v>66</v>
      </c>
      <c r="F46" s="2">
        <f>IF('Tabela de Jogos'!C46&lt;&gt;"",Ana!W46+F45,F45)</f>
        <v>92</v>
      </c>
      <c r="G46" s="2">
        <f>IF('Tabela de Jogos'!C46&lt;&gt;"",Isa!W46+G45,G45)</f>
        <v>75</v>
      </c>
      <c r="H46" s="2">
        <f>IF('Tabela de Jogos'!C46&lt;&gt;"",Trops!W46+H45,H45)</f>
        <v>63</v>
      </c>
      <c r="J46">
        <f>Rodrigo!W46</f>
        <v>0</v>
      </c>
      <c r="K46">
        <f>Arthur!W46</f>
        <v>6</v>
      </c>
      <c r="L46">
        <f>Dudu!W46</f>
        <v>0</v>
      </c>
      <c r="M46">
        <f>Carol!W46</f>
        <v>3</v>
      </c>
      <c r="N46">
        <f>Ana!W46</f>
        <v>6</v>
      </c>
      <c r="O46">
        <f>Isa!W46</f>
        <v>6</v>
      </c>
      <c r="P46">
        <f>Trops!W46</f>
        <v>0</v>
      </c>
    </row>
    <row r="47" spans="1:16" ht="14.25" customHeight="1" x14ac:dyDescent="0.3">
      <c r="A47" s="2">
        <v>45</v>
      </c>
      <c r="B47" s="2">
        <f>IF('Tabela de Jogos'!C47&lt;&gt;"",Rodrigo!W47+B46,B46)</f>
        <v>68</v>
      </c>
      <c r="C47" s="2">
        <f>IF('Tabela de Jogos'!C47&lt;&gt;"",Arthur!W47+C46,C46)</f>
        <v>87</v>
      </c>
      <c r="D47" s="2">
        <f>IF('Tabela de Jogos'!C47&lt;&gt;"",Dudu!W47+D46,D46)</f>
        <v>64</v>
      </c>
      <c r="E47" s="2">
        <f>IF('Tabela de Jogos'!C47&lt;&gt;"",Carol!W47+E46,E46)</f>
        <v>68</v>
      </c>
      <c r="F47" s="2">
        <f>IF('Tabela de Jogos'!C47&lt;&gt;"",Ana!W47+F46,F46)</f>
        <v>94</v>
      </c>
      <c r="G47" s="2">
        <f>IF('Tabela de Jogos'!C47&lt;&gt;"",Isa!W47+G46,G46)</f>
        <v>77</v>
      </c>
      <c r="H47" s="2">
        <f>IF('Tabela de Jogos'!C47&lt;&gt;"",Trops!W47+H46,H46)</f>
        <v>65</v>
      </c>
      <c r="J47">
        <f>Rodrigo!W47</f>
        <v>2</v>
      </c>
      <c r="K47">
        <f>Arthur!W47</f>
        <v>2</v>
      </c>
      <c r="L47">
        <f>Dudu!W47</f>
        <v>2</v>
      </c>
      <c r="M47">
        <f>Carol!W47</f>
        <v>2</v>
      </c>
      <c r="N47">
        <f>Ana!W47</f>
        <v>2</v>
      </c>
      <c r="O47">
        <f>Isa!W47</f>
        <v>2</v>
      </c>
      <c r="P47">
        <f>Trops!W47</f>
        <v>2</v>
      </c>
    </row>
    <row r="48" spans="1:16" ht="14.25" customHeight="1" x14ac:dyDescent="0.3">
      <c r="A48" s="2">
        <v>46</v>
      </c>
      <c r="B48" s="2">
        <f>IF('Tabela de Jogos'!C48&lt;&gt;"",Rodrigo!W48+B47,B47)</f>
        <v>68</v>
      </c>
      <c r="C48" s="2">
        <f>IF('Tabela de Jogos'!C48&lt;&gt;"",Arthur!W48+C47,C47)</f>
        <v>87</v>
      </c>
      <c r="D48" s="2">
        <f>IF('Tabela de Jogos'!C48&lt;&gt;"",Dudu!W48+D47,D47)</f>
        <v>64</v>
      </c>
      <c r="E48" s="2">
        <f>IF('Tabela de Jogos'!C48&lt;&gt;"",Carol!W48+E47,E47)</f>
        <v>68</v>
      </c>
      <c r="F48" s="2">
        <f>IF('Tabela de Jogos'!C48&lt;&gt;"",Ana!W48+F47,F47)</f>
        <v>94</v>
      </c>
      <c r="G48" s="2">
        <f>IF('Tabela de Jogos'!C48&lt;&gt;"",Isa!W48+G47,G47)</f>
        <v>77</v>
      </c>
      <c r="H48" s="2">
        <f>IF('Tabela de Jogos'!C48&lt;&gt;"",Trops!W48+H47,H47)</f>
        <v>65</v>
      </c>
      <c r="J48">
        <f>Rodrigo!W48</f>
        <v>0</v>
      </c>
      <c r="K48">
        <f>Arthur!W48</f>
        <v>0</v>
      </c>
      <c r="L48">
        <f>Dudu!W48</f>
        <v>0</v>
      </c>
      <c r="M48">
        <f>Carol!W48</f>
        <v>0</v>
      </c>
      <c r="N48">
        <f>Ana!W48</f>
        <v>0</v>
      </c>
      <c r="O48">
        <f>Isa!W48</f>
        <v>0</v>
      </c>
      <c r="P48">
        <f>Trops!W48</f>
        <v>0</v>
      </c>
    </row>
    <row r="49" spans="1:16" ht="14.25" customHeight="1" x14ac:dyDescent="0.3">
      <c r="A49" s="2">
        <v>47</v>
      </c>
      <c r="B49" s="2">
        <f>IF('Tabela de Jogos'!C49&lt;&gt;"",Rodrigo!W49+B48,B48)</f>
        <v>70</v>
      </c>
      <c r="C49" s="2">
        <f>IF('Tabela de Jogos'!C49&lt;&gt;"",Arthur!W49+C48,C48)</f>
        <v>89</v>
      </c>
      <c r="D49" s="2">
        <f>IF('Tabela de Jogos'!C49&lt;&gt;"",Dudu!W49+D48,D48)</f>
        <v>66</v>
      </c>
      <c r="E49" s="2">
        <f>IF('Tabela de Jogos'!C49&lt;&gt;"",Carol!W49+E48,E48)</f>
        <v>70</v>
      </c>
      <c r="F49" s="2">
        <f>IF('Tabela de Jogos'!C49&lt;&gt;"",Ana!W49+F48,F48)</f>
        <v>96</v>
      </c>
      <c r="G49" s="2">
        <f>IF('Tabela de Jogos'!C49&lt;&gt;"",Isa!W49+G48,G48)</f>
        <v>77</v>
      </c>
      <c r="H49" s="2">
        <f>IF('Tabela de Jogos'!C49&lt;&gt;"",Trops!W49+H48,H48)</f>
        <v>68</v>
      </c>
      <c r="J49">
        <f>Rodrigo!W49</f>
        <v>2</v>
      </c>
      <c r="K49">
        <f>Arthur!W49</f>
        <v>2</v>
      </c>
      <c r="L49">
        <f>Dudu!W49</f>
        <v>2</v>
      </c>
      <c r="M49">
        <f>Carol!W49</f>
        <v>2</v>
      </c>
      <c r="N49">
        <f>Ana!W49</f>
        <v>2</v>
      </c>
      <c r="O49">
        <f>Isa!W49</f>
        <v>0</v>
      </c>
      <c r="P49">
        <f>Trops!W49</f>
        <v>3</v>
      </c>
    </row>
    <row r="50" spans="1:16" ht="14.25" customHeight="1" x14ac:dyDescent="0.3">
      <c r="A50" s="2">
        <v>48</v>
      </c>
      <c r="B50" s="2">
        <f>IF('Tabela de Jogos'!C50&lt;&gt;"",Rodrigo!W50+B49,B49)</f>
        <v>72</v>
      </c>
      <c r="C50" s="2">
        <f>IF('Tabela de Jogos'!C50&lt;&gt;"",Arthur!W50+C49,C49)</f>
        <v>92</v>
      </c>
      <c r="D50" s="2">
        <f>IF('Tabela de Jogos'!C50&lt;&gt;"",Dudu!W50+D49,D49)</f>
        <v>69</v>
      </c>
      <c r="E50" s="2">
        <f>IF('Tabela de Jogos'!C50&lt;&gt;"",Carol!W50+E49,E49)</f>
        <v>72</v>
      </c>
      <c r="F50" s="2">
        <f>IF('Tabela de Jogos'!C50&lt;&gt;"",Ana!W50+F49,F49)</f>
        <v>98</v>
      </c>
      <c r="G50" s="2">
        <f>IF('Tabela de Jogos'!C50&lt;&gt;"",Isa!W50+G49,G49)</f>
        <v>80</v>
      </c>
      <c r="H50" s="2">
        <f>IF('Tabela de Jogos'!C50&lt;&gt;"",Trops!W50+H49,H49)</f>
        <v>70</v>
      </c>
      <c r="J50">
        <f>Rodrigo!W50</f>
        <v>2</v>
      </c>
      <c r="K50">
        <f>Arthur!W50</f>
        <v>3</v>
      </c>
      <c r="L50">
        <f>Dudu!W50</f>
        <v>3</v>
      </c>
      <c r="M50">
        <f>Carol!W50</f>
        <v>2</v>
      </c>
      <c r="N50">
        <f>Ana!W50</f>
        <v>2</v>
      </c>
      <c r="O50">
        <f>Isa!W50</f>
        <v>3</v>
      </c>
      <c r="P50">
        <f>Trops!W50</f>
        <v>2</v>
      </c>
    </row>
    <row r="51" spans="1:16" ht="14.25" customHeight="1" x14ac:dyDescent="0.3">
      <c r="A51" s="2">
        <v>49</v>
      </c>
      <c r="B51" s="2">
        <f>IF('Tabela de Jogos'!C51&lt;&gt;"",Rodrigo!W51+B50,B50)</f>
        <v>72</v>
      </c>
      <c r="C51" s="2">
        <f>IF('Tabela de Jogos'!C51&lt;&gt;"",Arthur!W51+C50,C50)</f>
        <v>92</v>
      </c>
      <c r="D51" s="2">
        <f>IF('Tabela de Jogos'!C51&lt;&gt;"",Dudu!W51+D50,D50)</f>
        <v>75</v>
      </c>
      <c r="E51" s="2">
        <f>IF('Tabela de Jogos'!C51&lt;&gt;"",Carol!W51+E50,E50)</f>
        <v>72</v>
      </c>
      <c r="F51" s="2">
        <f>IF('Tabela de Jogos'!C51&lt;&gt;"",Ana!W51+F50,F50)</f>
        <v>98</v>
      </c>
      <c r="G51" s="2">
        <f>IF('Tabela de Jogos'!C51&lt;&gt;"",Isa!W51+G50,G50)</f>
        <v>80</v>
      </c>
      <c r="H51" s="2">
        <f>IF('Tabela de Jogos'!C51&lt;&gt;"",Trops!W51+H50,H50)</f>
        <v>70</v>
      </c>
      <c r="J51">
        <f>Rodrigo!W51</f>
        <v>0</v>
      </c>
      <c r="K51">
        <f>Arthur!W51</f>
        <v>0</v>
      </c>
      <c r="L51">
        <f>Dudu!W51</f>
        <v>6</v>
      </c>
      <c r="M51">
        <f>Carol!W51</f>
        <v>0</v>
      </c>
      <c r="N51">
        <f>Ana!W51</f>
        <v>0</v>
      </c>
      <c r="O51">
        <f>Isa!W51</f>
        <v>0</v>
      </c>
      <c r="P51">
        <f>Trops!W51</f>
        <v>0</v>
      </c>
    </row>
    <row r="52" spans="1:16" ht="14.25" customHeight="1" x14ac:dyDescent="0.3">
      <c r="A52" s="2">
        <v>50</v>
      </c>
      <c r="B52" s="2">
        <f>IF('Tabela de Jogos'!C52&lt;&gt;"",Rodrigo!W52+B51,B51)</f>
        <v>74</v>
      </c>
      <c r="C52" s="2">
        <f>IF('Tabela de Jogos'!C52&lt;&gt;"",Arthur!W52+C51,C51)</f>
        <v>95</v>
      </c>
      <c r="D52" s="2">
        <f>IF('Tabela de Jogos'!C52&lt;&gt;"",Dudu!W52+D51,D51)</f>
        <v>78</v>
      </c>
      <c r="E52" s="2">
        <f>IF('Tabela de Jogos'!C52&lt;&gt;"",Carol!W52+E51,E51)</f>
        <v>74</v>
      </c>
      <c r="F52" s="2">
        <f>IF('Tabela de Jogos'!C52&lt;&gt;"",Ana!W52+F51,F51)</f>
        <v>100</v>
      </c>
      <c r="G52" s="2">
        <f>IF('Tabela de Jogos'!C52&lt;&gt;"",Isa!W52+G51,G51)</f>
        <v>83</v>
      </c>
      <c r="H52" s="2">
        <f>IF('Tabela de Jogos'!C52&lt;&gt;"",Trops!W52+H51,H51)</f>
        <v>70</v>
      </c>
      <c r="J52">
        <f>Rodrigo!W52</f>
        <v>2</v>
      </c>
      <c r="K52">
        <f>Arthur!W52</f>
        <v>3</v>
      </c>
      <c r="L52">
        <f>Dudu!W52</f>
        <v>3</v>
      </c>
      <c r="M52">
        <f>Carol!W52</f>
        <v>2</v>
      </c>
      <c r="N52">
        <f>Ana!W52</f>
        <v>2</v>
      </c>
      <c r="O52">
        <f>Isa!W52</f>
        <v>3</v>
      </c>
      <c r="P52">
        <f>Trops!W52</f>
        <v>0</v>
      </c>
    </row>
    <row r="53" spans="1:16" ht="14.25" customHeight="1" x14ac:dyDescent="0.3">
      <c r="A53" s="2">
        <v>51</v>
      </c>
      <c r="B53" s="2">
        <f>IF('Tabela de Jogos'!C53&lt;&gt;"",Rodrigo!W53+B52,B52)</f>
        <v>78</v>
      </c>
      <c r="C53" s="2">
        <f>IF('Tabela de Jogos'!C53&lt;&gt;"",Arthur!W53+C52,C52)</f>
        <v>99</v>
      </c>
      <c r="D53" s="2">
        <f>IF('Tabela de Jogos'!C53&lt;&gt;"",Dudu!W53+D52,D52)</f>
        <v>80</v>
      </c>
      <c r="E53" s="2">
        <f>IF('Tabela de Jogos'!C53&lt;&gt;"",Carol!W53+E52,E52)</f>
        <v>76</v>
      </c>
      <c r="F53" s="2">
        <f>IF('Tabela de Jogos'!C53&lt;&gt;"",Ana!W53+F52,F52)</f>
        <v>103</v>
      </c>
      <c r="G53" s="2">
        <f>IF('Tabela de Jogos'!C53&lt;&gt;"",Isa!W53+G52,G52)</f>
        <v>87</v>
      </c>
      <c r="H53" s="2">
        <f>IF('Tabela de Jogos'!C53&lt;&gt;"",Trops!W53+H52,H52)</f>
        <v>73</v>
      </c>
      <c r="J53">
        <f>Rodrigo!W53</f>
        <v>4</v>
      </c>
      <c r="K53">
        <f>Arthur!W53</f>
        <v>4</v>
      </c>
      <c r="L53">
        <f>Dudu!W53</f>
        <v>2</v>
      </c>
      <c r="M53">
        <f>Carol!W53</f>
        <v>2</v>
      </c>
      <c r="N53">
        <f>Ana!W53</f>
        <v>3</v>
      </c>
      <c r="O53">
        <f>Isa!W53</f>
        <v>4</v>
      </c>
      <c r="P53">
        <f>Trops!W53</f>
        <v>3</v>
      </c>
    </row>
    <row r="54" spans="1:16" ht="14.25" customHeight="1" x14ac:dyDescent="0.3">
      <c r="A54" s="2">
        <v>52</v>
      </c>
      <c r="B54" s="2">
        <f>IF('Tabela de Jogos'!C54&lt;&gt;"",Rodrigo!W54+B53,B53)</f>
        <v>86</v>
      </c>
      <c r="C54" s="2">
        <f>IF('Tabela de Jogos'!C54&lt;&gt;"",Arthur!W54+C53,C53)</f>
        <v>103</v>
      </c>
      <c r="D54" s="2">
        <f>IF('Tabela de Jogos'!C54&lt;&gt;"",Dudu!W54+D53,D53)</f>
        <v>84</v>
      </c>
      <c r="E54" s="2">
        <f>IF('Tabela de Jogos'!C54&lt;&gt;"",Carol!W54+E53,E53)</f>
        <v>80</v>
      </c>
      <c r="F54" s="2">
        <f>IF('Tabela de Jogos'!C54&lt;&gt;"",Ana!W54+F53,F53)</f>
        <v>111</v>
      </c>
      <c r="G54" s="2">
        <f>IF('Tabela de Jogos'!C54&lt;&gt;"",Isa!W54+G53,G53)</f>
        <v>99</v>
      </c>
      <c r="H54" s="2">
        <f>IF('Tabela de Jogos'!C54&lt;&gt;"",Trops!W54+H53,H53)</f>
        <v>77</v>
      </c>
      <c r="J54">
        <f>Rodrigo!W54</f>
        <v>8</v>
      </c>
      <c r="K54">
        <f>Arthur!W54</f>
        <v>4</v>
      </c>
      <c r="L54">
        <f>Dudu!W54</f>
        <v>4</v>
      </c>
      <c r="M54">
        <f>Carol!W54</f>
        <v>4</v>
      </c>
      <c r="N54">
        <f>Ana!W54</f>
        <v>8</v>
      </c>
      <c r="O54">
        <f>Isa!W54</f>
        <v>12</v>
      </c>
      <c r="P54">
        <f>Trops!W54</f>
        <v>4</v>
      </c>
    </row>
    <row r="55" spans="1:16" ht="14.25" customHeight="1" x14ac:dyDescent="0.3">
      <c r="A55" s="2">
        <v>53</v>
      </c>
      <c r="B55" s="2">
        <f>IF('Tabela de Jogos'!C55&lt;&gt;"",Rodrigo!W55+B54,B54)</f>
        <v>86</v>
      </c>
      <c r="C55" s="2">
        <f>IF('Tabela de Jogos'!C55&lt;&gt;"",Arthur!W55+C54,C54)</f>
        <v>103</v>
      </c>
      <c r="D55" s="2">
        <f>IF('Tabela de Jogos'!C55&lt;&gt;"",Dudu!W55+D54,D54)</f>
        <v>84</v>
      </c>
      <c r="E55" s="2">
        <f>IF('Tabela de Jogos'!C55&lt;&gt;"",Carol!W55+E54,E54)</f>
        <v>80</v>
      </c>
      <c r="F55" s="2">
        <f>IF('Tabela de Jogos'!C55&lt;&gt;"",Ana!W55+F54,F54)</f>
        <v>111</v>
      </c>
      <c r="G55" s="2">
        <f>IF('Tabela de Jogos'!C55&lt;&gt;"",Isa!W55+G54,G54)</f>
        <v>99</v>
      </c>
      <c r="H55" s="2">
        <f>IF('Tabela de Jogos'!C55&lt;&gt;"",Trops!W55+H54,H54)</f>
        <v>77</v>
      </c>
      <c r="J55">
        <f>Rodrigo!W55</f>
        <v>0</v>
      </c>
      <c r="K55">
        <f>Arthur!W55</f>
        <v>0</v>
      </c>
      <c r="L55">
        <f>Dudu!W55</f>
        <v>0</v>
      </c>
      <c r="M55">
        <f>Carol!W55</f>
        <v>0</v>
      </c>
      <c r="N55">
        <f>Ana!W55</f>
        <v>0</v>
      </c>
      <c r="O55">
        <f>Isa!W55</f>
        <v>0</v>
      </c>
      <c r="P55">
        <f>Trops!W55</f>
        <v>0</v>
      </c>
    </row>
    <row r="56" spans="1:16" ht="14.25" customHeight="1" x14ac:dyDescent="0.3">
      <c r="A56" s="2">
        <v>54</v>
      </c>
      <c r="B56" s="2">
        <f>IF('Tabela de Jogos'!C56&lt;&gt;"",Rodrigo!W56+B55,B55)</f>
        <v>88</v>
      </c>
      <c r="C56" s="2">
        <f>IF('Tabela de Jogos'!C56&lt;&gt;"",Arthur!W56+C55,C55)</f>
        <v>105</v>
      </c>
      <c r="D56" s="2">
        <f>IF('Tabela de Jogos'!C56&lt;&gt;"",Dudu!W56+D55,D55)</f>
        <v>86</v>
      </c>
      <c r="E56" s="2">
        <f>IF('Tabela de Jogos'!C56&lt;&gt;"",Carol!W56+E55,E55)</f>
        <v>82</v>
      </c>
      <c r="F56" s="2">
        <f>IF('Tabela de Jogos'!C56&lt;&gt;"",Ana!W56+F55,F55)</f>
        <v>115</v>
      </c>
      <c r="G56" s="2">
        <f>IF('Tabela de Jogos'!C56&lt;&gt;"",Isa!W56+G55,G55)</f>
        <v>101</v>
      </c>
      <c r="H56" s="2">
        <f>IF('Tabela de Jogos'!C56&lt;&gt;"",Trops!W56+H55,H55)</f>
        <v>79</v>
      </c>
      <c r="J56">
        <f>Rodrigo!W56</f>
        <v>2</v>
      </c>
      <c r="K56">
        <f>Arthur!W56</f>
        <v>2</v>
      </c>
      <c r="L56">
        <f>Dudu!W56</f>
        <v>2</v>
      </c>
      <c r="M56">
        <f>Carol!W56</f>
        <v>2</v>
      </c>
      <c r="N56">
        <f>Ana!W56</f>
        <v>4</v>
      </c>
      <c r="O56">
        <f>Isa!W56</f>
        <v>2</v>
      </c>
      <c r="P56">
        <f>Trops!W56</f>
        <v>2</v>
      </c>
    </row>
    <row r="57" spans="1:16" ht="14.25" customHeight="1" x14ac:dyDescent="0.3">
      <c r="A57" s="2">
        <v>55</v>
      </c>
      <c r="B57" s="2">
        <f>IF('Tabela de Jogos'!C57&lt;&gt;"",Rodrigo!W57+B56,B56)</f>
        <v>94</v>
      </c>
      <c r="C57" s="2">
        <f>IF('Tabela de Jogos'!C57&lt;&gt;"",Arthur!W57+C56,C56)</f>
        <v>107</v>
      </c>
      <c r="D57" s="2">
        <f>IF('Tabela de Jogos'!C57&lt;&gt;"",Dudu!W57+D56,D56)</f>
        <v>92</v>
      </c>
      <c r="E57" s="2">
        <f>IF('Tabela de Jogos'!C57&lt;&gt;"",Carol!W57+E56,E56)</f>
        <v>88</v>
      </c>
      <c r="F57" s="2">
        <f>IF('Tabela de Jogos'!C57&lt;&gt;"",Ana!W57+F56,F56)</f>
        <v>119</v>
      </c>
      <c r="G57" s="2">
        <f>IF('Tabela de Jogos'!C57&lt;&gt;"",Isa!W57+G56,G56)</f>
        <v>103</v>
      </c>
      <c r="H57" s="2">
        <f>IF('Tabela de Jogos'!C57&lt;&gt;"",Trops!W57+H56,H56)</f>
        <v>81</v>
      </c>
      <c r="J57">
        <f>Rodrigo!W57</f>
        <v>6</v>
      </c>
      <c r="K57">
        <f>Arthur!W57</f>
        <v>2</v>
      </c>
      <c r="L57">
        <f>Dudu!W57</f>
        <v>6</v>
      </c>
      <c r="M57">
        <f>Carol!W57</f>
        <v>6</v>
      </c>
      <c r="N57">
        <f>Ana!W57</f>
        <v>4</v>
      </c>
      <c r="O57">
        <f>Isa!W57</f>
        <v>2</v>
      </c>
      <c r="P57">
        <f>Trops!W57</f>
        <v>2</v>
      </c>
    </row>
    <row r="58" spans="1:16" ht="14.25" customHeight="1" x14ac:dyDescent="0.3">
      <c r="A58" s="2">
        <v>56</v>
      </c>
      <c r="B58" s="2">
        <f>IF('Tabela de Jogos'!C58&lt;&gt;"",Rodrigo!W58+B57,B57)</f>
        <v>94</v>
      </c>
      <c r="C58" s="2">
        <f>IF('Tabela de Jogos'!C58&lt;&gt;"",Arthur!W58+C57,C57)</f>
        <v>107</v>
      </c>
      <c r="D58" s="2">
        <f>IF('Tabela de Jogos'!C58&lt;&gt;"",Dudu!W58+D57,D57)</f>
        <v>92</v>
      </c>
      <c r="E58" s="2">
        <f>IF('Tabela de Jogos'!C58&lt;&gt;"",Carol!W58+E57,E57)</f>
        <v>88</v>
      </c>
      <c r="F58" s="2">
        <f>IF('Tabela de Jogos'!C58&lt;&gt;"",Ana!W58+F57,F57)</f>
        <v>119</v>
      </c>
      <c r="G58" s="2">
        <f>IF('Tabela de Jogos'!C58&lt;&gt;"",Isa!W58+G57,G57)</f>
        <v>103</v>
      </c>
      <c r="H58" s="2">
        <f>IF('Tabela de Jogos'!C58&lt;&gt;"",Trops!W58+H57,H57)</f>
        <v>81</v>
      </c>
      <c r="J58">
        <f>Rodrigo!W58</f>
        <v>0</v>
      </c>
      <c r="K58">
        <f>Arthur!W58</f>
        <v>0</v>
      </c>
      <c r="L58">
        <f>Dudu!W58</f>
        <v>0</v>
      </c>
      <c r="M58">
        <f>Carol!W58</f>
        <v>0</v>
      </c>
      <c r="N58">
        <f>Ana!W58</f>
        <v>0</v>
      </c>
      <c r="O58">
        <f>Isa!W58</f>
        <v>0</v>
      </c>
      <c r="P58">
        <f>Trops!W58</f>
        <v>0</v>
      </c>
    </row>
    <row r="59" spans="1:16" ht="14.25" customHeight="1" x14ac:dyDescent="0.3">
      <c r="A59" s="2">
        <v>57</v>
      </c>
      <c r="B59" s="2">
        <f>IF('Tabela de Jogos'!C59&lt;&gt;"",Rodrigo!W59+B58,B58)</f>
        <v>96</v>
      </c>
      <c r="C59" s="2">
        <f>IF('Tabela de Jogos'!C59&lt;&gt;"",Arthur!W59+C58,C58)</f>
        <v>107</v>
      </c>
      <c r="D59" s="2">
        <f>IF('Tabela de Jogos'!C59&lt;&gt;"",Dudu!W59+D58,D58)</f>
        <v>96</v>
      </c>
      <c r="E59" s="2">
        <f>IF('Tabela de Jogos'!C59&lt;&gt;"",Carol!W59+E58,E58)</f>
        <v>92</v>
      </c>
      <c r="F59" s="2">
        <f>IF('Tabela de Jogos'!C59&lt;&gt;"",Ana!W59+F58,F58)</f>
        <v>123</v>
      </c>
      <c r="G59" s="2">
        <f>IF('Tabela de Jogos'!C59&lt;&gt;"",Isa!W59+G58,G58)</f>
        <v>105</v>
      </c>
      <c r="H59" s="2">
        <f>IF('Tabela de Jogos'!C59&lt;&gt;"",Trops!W59+H58,H58)</f>
        <v>83</v>
      </c>
      <c r="J59">
        <f>Rodrigo!W59</f>
        <v>2</v>
      </c>
      <c r="K59">
        <f>Arthur!W59</f>
        <v>0</v>
      </c>
      <c r="L59">
        <f>Dudu!W59</f>
        <v>4</v>
      </c>
      <c r="M59">
        <f>Carol!W59</f>
        <v>4</v>
      </c>
      <c r="N59">
        <f>Ana!W59</f>
        <v>4</v>
      </c>
      <c r="O59">
        <f>Isa!W59</f>
        <v>2</v>
      </c>
      <c r="P59">
        <f>Trops!W59</f>
        <v>2</v>
      </c>
    </row>
    <row r="60" spans="1:16" ht="14.25" customHeight="1" x14ac:dyDescent="0.3">
      <c r="A60" s="2">
        <v>58</v>
      </c>
      <c r="B60" s="2">
        <f>IF('Tabela de Jogos'!C60&lt;&gt;"",Rodrigo!W60+B59,B59)</f>
        <v>96</v>
      </c>
      <c r="C60" s="2">
        <f>IF('Tabela de Jogos'!C60&lt;&gt;"",Arthur!W60+C59,C59)</f>
        <v>107</v>
      </c>
      <c r="D60" s="2">
        <f>IF('Tabela de Jogos'!C60&lt;&gt;"",Dudu!W60+D59,D59)</f>
        <v>96</v>
      </c>
      <c r="E60" s="2">
        <f>IF('Tabela de Jogos'!C60&lt;&gt;"",Carol!W60+E59,E59)</f>
        <v>92</v>
      </c>
      <c r="F60" s="2">
        <f>IF('Tabela de Jogos'!C60&lt;&gt;"",Ana!W60+F59,F59)</f>
        <v>123</v>
      </c>
      <c r="G60" s="2">
        <f>IF('Tabela de Jogos'!C60&lt;&gt;"",Isa!W60+G59,G59)</f>
        <v>105</v>
      </c>
      <c r="H60" s="2">
        <f>IF('Tabela de Jogos'!C60&lt;&gt;"",Trops!W60+H59,H59)</f>
        <v>83</v>
      </c>
      <c r="J60">
        <f>Rodrigo!W60</f>
        <v>0</v>
      </c>
      <c r="K60">
        <f>Arthur!W60</f>
        <v>0</v>
      </c>
      <c r="L60">
        <f>Dudu!W60</f>
        <v>0</v>
      </c>
      <c r="M60">
        <f>Carol!W60</f>
        <v>0</v>
      </c>
      <c r="N60">
        <f>Ana!W60</f>
        <v>0</v>
      </c>
      <c r="O60">
        <f>Isa!W60</f>
        <v>0</v>
      </c>
      <c r="P60">
        <f>Trops!W60</f>
        <v>0</v>
      </c>
    </row>
    <row r="61" spans="1:16" ht="14.25" customHeight="1" x14ac:dyDescent="0.3">
      <c r="A61" s="2">
        <v>59</v>
      </c>
      <c r="B61" s="2">
        <f>IF('Tabela de Jogos'!C61&lt;&gt;"",Rodrigo!W61+B60,B60)</f>
        <v>96</v>
      </c>
      <c r="C61" s="2">
        <f>IF('Tabela de Jogos'!C61&lt;&gt;"",Arthur!W61+C60,C60)</f>
        <v>107</v>
      </c>
      <c r="D61" s="2">
        <f>IF('Tabela de Jogos'!C61&lt;&gt;"",Dudu!W61+D60,D60)</f>
        <v>96</v>
      </c>
      <c r="E61" s="2">
        <f>IF('Tabela de Jogos'!C61&lt;&gt;"",Carol!W61+E60,E60)</f>
        <v>92</v>
      </c>
      <c r="F61" s="2">
        <f>IF('Tabela de Jogos'!C61&lt;&gt;"",Ana!W61+F60,F60)</f>
        <v>123</v>
      </c>
      <c r="G61" s="2">
        <f>IF('Tabela de Jogos'!C61&lt;&gt;"",Isa!W61+G60,G60)</f>
        <v>105</v>
      </c>
      <c r="H61" s="2">
        <f>IF('Tabela de Jogos'!C61&lt;&gt;"",Trops!W61+H60,H60)</f>
        <v>83</v>
      </c>
      <c r="J61">
        <f>Rodrigo!W61</f>
        <v>0</v>
      </c>
      <c r="K61">
        <f>Arthur!W61</f>
        <v>0</v>
      </c>
      <c r="L61">
        <f>Dudu!W61</f>
        <v>0</v>
      </c>
      <c r="M61">
        <f>Carol!W61</f>
        <v>0</v>
      </c>
      <c r="N61">
        <f>Ana!W61</f>
        <v>0</v>
      </c>
      <c r="O61">
        <f>Isa!W61</f>
        <v>0</v>
      </c>
      <c r="P61">
        <f>Trops!W61</f>
        <v>0</v>
      </c>
    </row>
    <row r="62" spans="1:16" ht="14.25" customHeight="1" x14ac:dyDescent="0.3">
      <c r="A62" s="2">
        <v>60</v>
      </c>
      <c r="B62" s="2">
        <f>IF('Tabela de Jogos'!C62&lt;&gt;"",Rodrigo!W62+B61,B61)</f>
        <v>96</v>
      </c>
      <c r="C62" s="2">
        <f>IF('Tabela de Jogos'!C62&lt;&gt;"",Arthur!W62+C61,C61)</f>
        <v>107</v>
      </c>
      <c r="D62" s="2">
        <f>IF('Tabela de Jogos'!C62&lt;&gt;"",Dudu!W62+D61,D61)</f>
        <v>96</v>
      </c>
      <c r="E62" s="2">
        <f>IF('Tabela de Jogos'!C62&lt;&gt;"",Carol!W62+E61,E61)</f>
        <v>92</v>
      </c>
      <c r="F62" s="2">
        <f>IF('Tabela de Jogos'!C62&lt;&gt;"",Ana!W62+F61,F61)</f>
        <v>123</v>
      </c>
      <c r="G62" s="2">
        <f>IF('Tabela de Jogos'!C62&lt;&gt;"",Isa!W62+G61,G61)</f>
        <v>105</v>
      </c>
      <c r="H62" s="2">
        <f>IF('Tabela de Jogos'!C62&lt;&gt;"",Trops!W62+H61,H61)</f>
        <v>83</v>
      </c>
      <c r="J62">
        <f>Rodrigo!W62</f>
        <v>0</v>
      </c>
      <c r="K62">
        <f>Arthur!W62</f>
        <v>0</v>
      </c>
      <c r="L62">
        <f>Dudu!W62</f>
        <v>0</v>
      </c>
      <c r="M62">
        <f>Carol!W62</f>
        <v>0</v>
      </c>
      <c r="N62">
        <f>Ana!W62</f>
        <v>0</v>
      </c>
      <c r="O62">
        <f>Isa!W62</f>
        <v>0</v>
      </c>
      <c r="P62">
        <f>Trops!W62</f>
        <v>0</v>
      </c>
    </row>
    <row r="63" spans="1:16" ht="14.25" customHeight="1" x14ac:dyDescent="0.3">
      <c r="A63" s="2">
        <v>61</v>
      </c>
      <c r="B63" s="2">
        <f>IF('Tabela de Jogos'!C63&lt;&gt;"",Rodrigo!W63+B62,B62)</f>
        <v>96</v>
      </c>
      <c r="C63" s="2">
        <f>IF('Tabela de Jogos'!C63&lt;&gt;"",Arthur!W63+C62,C62)</f>
        <v>107</v>
      </c>
      <c r="D63" s="2">
        <f>IF('Tabela de Jogos'!C63&lt;&gt;"",Dudu!W63+D62,D62)</f>
        <v>96</v>
      </c>
      <c r="E63" s="2">
        <f>IF('Tabela de Jogos'!C63&lt;&gt;"",Carol!W63+E62,E62)</f>
        <v>92</v>
      </c>
      <c r="F63" s="2">
        <f>IF('Tabela de Jogos'!C63&lt;&gt;"",Ana!W63+F62,F62)</f>
        <v>123</v>
      </c>
      <c r="G63" s="2">
        <f>IF('Tabela de Jogos'!C63&lt;&gt;"",Isa!W63+G62,G62)</f>
        <v>105</v>
      </c>
      <c r="H63" s="2">
        <f>IF('Tabela de Jogos'!C63&lt;&gt;"",Trops!W63+H62,H62)</f>
        <v>83</v>
      </c>
      <c r="J63">
        <f>Rodrigo!W63</f>
        <v>0</v>
      </c>
      <c r="K63">
        <f>Arthur!W63</f>
        <v>0</v>
      </c>
      <c r="L63">
        <f>Dudu!W63</f>
        <v>0</v>
      </c>
      <c r="M63">
        <f>Carol!W63</f>
        <v>0</v>
      </c>
      <c r="N63">
        <f>Ana!W63</f>
        <v>0</v>
      </c>
      <c r="O63">
        <f>Isa!W63</f>
        <v>0</v>
      </c>
      <c r="P63">
        <f>Trops!W63</f>
        <v>0</v>
      </c>
    </row>
    <row r="64" spans="1:16" ht="14.25" customHeight="1" x14ac:dyDescent="0.3">
      <c r="A64" s="2">
        <v>62</v>
      </c>
      <c r="B64" s="2">
        <f>IF('Tabela de Jogos'!C64&lt;&gt;"",Rodrigo!W64+B63,B63)</f>
        <v>96</v>
      </c>
      <c r="C64" s="2">
        <f>IF('Tabela de Jogos'!C64&lt;&gt;"",Arthur!W64+C63,C63)</f>
        <v>107</v>
      </c>
      <c r="D64" s="2">
        <f>IF('Tabela de Jogos'!C64&lt;&gt;"",Dudu!W64+D63,D63)</f>
        <v>96</v>
      </c>
      <c r="E64" s="2">
        <f>IF('Tabela de Jogos'!C64&lt;&gt;"",Carol!W64+E63,E63)</f>
        <v>92</v>
      </c>
      <c r="F64" s="2">
        <f>IF('Tabela de Jogos'!C64&lt;&gt;"",Ana!W64+F63,F63)</f>
        <v>123</v>
      </c>
      <c r="G64" s="2">
        <f>IF('Tabela de Jogos'!C64&lt;&gt;"",Isa!W64+G63,G63)</f>
        <v>105</v>
      </c>
      <c r="H64" s="2">
        <f>IF('Tabela de Jogos'!C64&lt;&gt;"",Trops!W64+H63,H63)</f>
        <v>83</v>
      </c>
      <c r="J64">
        <f>Rodrigo!W64</f>
        <v>0</v>
      </c>
      <c r="K64">
        <f>Arthur!W64</f>
        <v>0</v>
      </c>
      <c r="L64">
        <f>Dudu!W64</f>
        <v>0</v>
      </c>
      <c r="M64">
        <f>Carol!W64</f>
        <v>0</v>
      </c>
      <c r="N64">
        <f>Ana!W64</f>
        <v>0</v>
      </c>
      <c r="O64">
        <f>Isa!W64</f>
        <v>0</v>
      </c>
      <c r="P64">
        <f>Trops!W64</f>
        <v>0</v>
      </c>
    </row>
    <row r="65" spans="1:16" ht="14.25" customHeight="1" x14ac:dyDescent="0.3">
      <c r="A65" s="2">
        <v>63</v>
      </c>
      <c r="B65" s="2">
        <f>IF('Tabela de Jogos'!C65&lt;&gt;"",Rodrigo!W65+B64,B64)</f>
        <v>96</v>
      </c>
      <c r="C65" s="2">
        <f>IF('Tabela de Jogos'!C65&lt;&gt;"",Arthur!W65+C64,C64)</f>
        <v>107</v>
      </c>
      <c r="D65" s="2">
        <f>IF('Tabela de Jogos'!C65&lt;&gt;"",Dudu!W65+D64,D64)</f>
        <v>96</v>
      </c>
      <c r="E65" s="2">
        <f>IF('Tabela de Jogos'!C65&lt;&gt;"",Carol!W65+E64,E64)</f>
        <v>92</v>
      </c>
      <c r="F65" s="2">
        <f>IF('Tabela de Jogos'!C65&lt;&gt;"",Ana!W65+F64,F64)</f>
        <v>123</v>
      </c>
      <c r="G65" s="2">
        <f>IF('Tabela de Jogos'!C65&lt;&gt;"",Isa!W65+G64,G64)</f>
        <v>105</v>
      </c>
      <c r="H65" s="2">
        <f>IF('Tabela de Jogos'!C65&lt;&gt;"",Trops!W65+H64,H64)</f>
        <v>83</v>
      </c>
      <c r="J65">
        <f>Rodrigo!W65</f>
        <v>0</v>
      </c>
      <c r="K65">
        <f>Arthur!W65</f>
        <v>0</v>
      </c>
      <c r="L65">
        <f>Dudu!W65</f>
        <v>0</v>
      </c>
      <c r="M65">
        <f>Carol!W65</f>
        <v>0</v>
      </c>
      <c r="N65">
        <f>Ana!W65</f>
        <v>0</v>
      </c>
      <c r="O65">
        <f>Isa!W65</f>
        <v>0</v>
      </c>
      <c r="P65">
        <f>Trops!W65</f>
        <v>0</v>
      </c>
    </row>
    <row r="66" spans="1:16" ht="14.25" customHeight="1" x14ac:dyDescent="0.3">
      <c r="A66" s="2">
        <v>64</v>
      </c>
      <c r="B66" s="2">
        <f>IF('Tabela de Jogos'!C66&lt;&gt;"",Rodrigo!W66+B65,B65)</f>
        <v>96</v>
      </c>
      <c r="C66" s="2">
        <f>IF('Tabela de Jogos'!C66&lt;&gt;"",Arthur!W66+C65,C65)</f>
        <v>107</v>
      </c>
      <c r="D66" s="2">
        <f>IF('Tabela de Jogos'!C66&lt;&gt;"",Dudu!W66+D65,D65)</f>
        <v>96</v>
      </c>
      <c r="E66" s="2">
        <f>IF('Tabela de Jogos'!C66&lt;&gt;"",Carol!W66+E65,E65)</f>
        <v>92</v>
      </c>
      <c r="F66" s="2">
        <f>IF('Tabela de Jogos'!C66&lt;&gt;"",Ana!W66+F65,F65)</f>
        <v>123</v>
      </c>
      <c r="G66" s="2">
        <f>IF('Tabela de Jogos'!C66&lt;&gt;"",Isa!W66+G65,G65)</f>
        <v>105</v>
      </c>
      <c r="H66" s="2">
        <f>IF('Tabela de Jogos'!C66&lt;&gt;"",Trops!W66+H65,H65)</f>
        <v>83</v>
      </c>
      <c r="J66">
        <f>Rodrigo!W66</f>
        <v>0</v>
      </c>
      <c r="K66">
        <f>Arthur!W66</f>
        <v>0</v>
      </c>
      <c r="L66">
        <f>Dudu!W66</f>
        <v>0</v>
      </c>
      <c r="M66">
        <f>Carol!W66</f>
        <v>0</v>
      </c>
      <c r="N66">
        <f>Ana!W66</f>
        <v>0</v>
      </c>
      <c r="O66">
        <f>Isa!W66</f>
        <v>0</v>
      </c>
      <c r="P66">
        <f>Trops!W66</f>
        <v>0</v>
      </c>
    </row>
    <row r="67" spans="1:16" ht="14.25" customHeight="1" x14ac:dyDescent="0.3">
      <c r="A67" s="2">
        <v>65</v>
      </c>
      <c r="B67" s="2">
        <f>IF('Tabela de Jogos'!C67&lt;&gt;"",Rodrigo!W67+B66,B66)</f>
        <v>96</v>
      </c>
      <c r="C67" s="2">
        <f>IF('Tabela de Jogos'!C67&lt;&gt;"",Arthur!W67+C66,C66)</f>
        <v>107</v>
      </c>
      <c r="D67" s="2">
        <f>IF('Tabela de Jogos'!C67&lt;&gt;"",Dudu!W67+D66,D66)</f>
        <v>96</v>
      </c>
      <c r="E67" s="2">
        <f>IF('Tabela de Jogos'!C67&lt;&gt;"",Carol!W67+E66,E66)</f>
        <v>92</v>
      </c>
      <c r="F67" s="2">
        <f>IF('Tabela de Jogos'!C67&lt;&gt;"",Ana!W67+F66,F66)</f>
        <v>123</v>
      </c>
      <c r="G67" s="2">
        <f>IF('Tabela de Jogos'!C67&lt;&gt;"",Isa!W67+G66,G66)</f>
        <v>105</v>
      </c>
      <c r="H67" s="2">
        <f>IF('Tabela de Jogos'!C67&lt;&gt;"",Trops!W67+H66,H66)</f>
        <v>83</v>
      </c>
      <c r="J67">
        <f>Rodrigo!W67</f>
        <v>0</v>
      </c>
      <c r="K67">
        <f>Arthur!W67</f>
        <v>0</v>
      </c>
      <c r="L67">
        <f>Dudu!W67</f>
        <v>0</v>
      </c>
      <c r="M67">
        <f>Carol!W67</f>
        <v>0</v>
      </c>
      <c r="N67">
        <f>Ana!W67</f>
        <v>0</v>
      </c>
      <c r="O67">
        <f>Isa!W67</f>
        <v>0</v>
      </c>
      <c r="P67">
        <f>Trops!W67</f>
        <v>0</v>
      </c>
    </row>
    <row r="68" spans="1:16" ht="14.25" customHeight="1" x14ac:dyDescent="0.3">
      <c r="A68" s="2">
        <v>66</v>
      </c>
      <c r="B68" s="2">
        <f>IF('Tabela de Jogos'!C68&lt;&gt;"",Rodrigo!W68+B67,B67)</f>
        <v>96</v>
      </c>
      <c r="C68" s="2">
        <f>IF('Tabela de Jogos'!C68&lt;&gt;"",Arthur!W68+C67,C67)</f>
        <v>107</v>
      </c>
      <c r="D68" s="2">
        <f>IF('Tabela de Jogos'!C68&lt;&gt;"",Dudu!W68+D67,D67)</f>
        <v>96</v>
      </c>
      <c r="E68" s="2">
        <f>IF('Tabela de Jogos'!C68&lt;&gt;"",Carol!W68+E67,E67)</f>
        <v>92</v>
      </c>
      <c r="F68" s="2">
        <f>IF('Tabela de Jogos'!C68&lt;&gt;"",Ana!W68+F67,F67)</f>
        <v>123</v>
      </c>
      <c r="G68" s="2">
        <f>IF('Tabela de Jogos'!C68&lt;&gt;"",Isa!W68+G67,G67)</f>
        <v>105</v>
      </c>
      <c r="H68" s="2">
        <f>IF('Tabela de Jogos'!C68&lt;&gt;"",Trops!W68+H67,H67)</f>
        <v>83</v>
      </c>
      <c r="J68">
        <f>Rodrigo!W68</f>
        <v>0</v>
      </c>
      <c r="K68">
        <f>Arthur!W68</f>
        <v>0</v>
      </c>
      <c r="L68">
        <f>Dudu!W68</f>
        <v>0</v>
      </c>
      <c r="M68">
        <f>Carol!W68</f>
        <v>0</v>
      </c>
      <c r="N68">
        <f>Ana!W68</f>
        <v>0</v>
      </c>
      <c r="O68">
        <f>Isa!W68</f>
        <v>0</v>
      </c>
      <c r="P68">
        <f>Trops!W68</f>
        <v>0</v>
      </c>
    </row>
    <row r="69" spans="1:16" ht="14.25" customHeight="1" x14ac:dyDescent="0.3">
      <c r="A69" s="2">
        <v>67</v>
      </c>
      <c r="B69" s="2">
        <f>IF('Tabela de Jogos'!C69&lt;&gt;"",Rodrigo!W69+B68,B68)</f>
        <v>96</v>
      </c>
      <c r="C69" s="2">
        <f>IF('Tabela de Jogos'!C69&lt;&gt;"",Arthur!W69+C68,C68)</f>
        <v>107</v>
      </c>
      <c r="D69" s="2">
        <f>IF('Tabela de Jogos'!C69&lt;&gt;"",Dudu!W69+D68,D68)</f>
        <v>96</v>
      </c>
      <c r="E69" s="2">
        <f>IF('Tabela de Jogos'!C69&lt;&gt;"",Carol!W69+E68,E68)</f>
        <v>92</v>
      </c>
      <c r="F69" s="2">
        <f>IF('Tabela de Jogos'!C69&lt;&gt;"",Ana!W69+F68,F68)</f>
        <v>123</v>
      </c>
      <c r="G69" s="2">
        <f>IF('Tabela de Jogos'!C69&lt;&gt;"",Isa!W69+G68,G68)</f>
        <v>105</v>
      </c>
      <c r="H69" s="2">
        <f>IF('Tabela de Jogos'!C69&lt;&gt;"",Trops!W69+H68,H68)</f>
        <v>83</v>
      </c>
      <c r="J69">
        <f>Rodrigo!W69</f>
        <v>0</v>
      </c>
      <c r="K69">
        <f>Arthur!W69</f>
        <v>0</v>
      </c>
      <c r="L69">
        <f>Dudu!W69</f>
        <v>0</v>
      </c>
      <c r="M69">
        <f>Carol!W69</f>
        <v>0</v>
      </c>
      <c r="N69">
        <f>Ana!W69</f>
        <v>0</v>
      </c>
      <c r="O69">
        <f>Isa!W69</f>
        <v>0</v>
      </c>
      <c r="P69">
        <f>Trops!W69</f>
        <v>0</v>
      </c>
    </row>
    <row r="70" spans="1:16" ht="14.25" customHeight="1" x14ac:dyDescent="0.3">
      <c r="A70" s="2">
        <v>68</v>
      </c>
      <c r="B70" s="2">
        <f>IF('Tabela de Jogos'!C70&lt;&gt;"",Rodrigo!W70+B69,B69)</f>
        <v>96</v>
      </c>
      <c r="C70" s="2">
        <f>IF('Tabela de Jogos'!C70&lt;&gt;"",Arthur!W70+C69,C69)</f>
        <v>107</v>
      </c>
      <c r="D70" s="2">
        <f>IF('Tabela de Jogos'!C70&lt;&gt;"",Dudu!W70+D69,D69)</f>
        <v>96</v>
      </c>
      <c r="E70" s="2">
        <f>IF('Tabela de Jogos'!C70&lt;&gt;"",Carol!W70+E69,E69)</f>
        <v>92</v>
      </c>
      <c r="F70" s="2">
        <f>IF('Tabela de Jogos'!C70&lt;&gt;"",Ana!W70+F69,F69)</f>
        <v>123</v>
      </c>
      <c r="G70" s="2">
        <f>IF('Tabela de Jogos'!C70&lt;&gt;"",Isa!W70+G69,G69)</f>
        <v>105</v>
      </c>
      <c r="H70" s="2">
        <f>IF('Tabela de Jogos'!C70&lt;&gt;"",Trops!W70+H69,H69)</f>
        <v>83</v>
      </c>
      <c r="J70">
        <f>Rodrigo!W70</f>
        <v>0</v>
      </c>
      <c r="K70">
        <f>Arthur!W70</f>
        <v>0</v>
      </c>
      <c r="L70">
        <f>Dudu!W70</f>
        <v>0</v>
      </c>
      <c r="M70">
        <f>Carol!W70</f>
        <v>0</v>
      </c>
      <c r="N70">
        <f>Ana!W70</f>
        <v>0</v>
      </c>
      <c r="O70">
        <f>Isa!W70</f>
        <v>0</v>
      </c>
      <c r="P70">
        <f>Trops!W70</f>
        <v>0</v>
      </c>
    </row>
    <row r="71" spans="1:16" ht="14.25" customHeight="1" x14ac:dyDescent="0.3">
      <c r="A71" s="2">
        <v>69</v>
      </c>
      <c r="B71" s="2">
        <f>IF('Tabela de Jogos'!C71&lt;&gt;"",Rodrigo!W71+B70,B70)</f>
        <v>96</v>
      </c>
      <c r="C71" s="2">
        <f>IF('Tabela de Jogos'!C71&lt;&gt;"",Arthur!W71+C70,C70)</f>
        <v>107</v>
      </c>
      <c r="D71" s="2">
        <f>IF('Tabela de Jogos'!C71&lt;&gt;"",Dudu!W71+D70,D70)</f>
        <v>96</v>
      </c>
      <c r="E71" s="2">
        <f>IF('Tabela de Jogos'!C71&lt;&gt;"",Carol!W71+E70,E70)</f>
        <v>92</v>
      </c>
      <c r="F71" s="2">
        <f>IF('Tabela de Jogos'!C71&lt;&gt;"",Ana!W71+F70,F70)</f>
        <v>123</v>
      </c>
      <c r="G71" s="2">
        <f>IF('Tabela de Jogos'!C71&lt;&gt;"",Isa!W71+G70,G70)</f>
        <v>105</v>
      </c>
      <c r="H71" s="2">
        <f>IF('Tabela de Jogos'!C71&lt;&gt;"",Trops!W71+H70,H70)</f>
        <v>83</v>
      </c>
      <c r="J71">
        <f>Rodrigo!W71</f>
        <v>0</v>
      </c>
      <c r="K71">
        <f>Arthur!W71</f>
        <v>0</v>
      </c>
      <c r="L71">
        <f>Dudu!W71</f>
        <v>0</v>
      </c>
      <c r="M71">
        <f>Carol!W71</f>
        <v>0</v>
      </c>
      <c r="N71">
        <f>Ana!W71</f>
        <v>0</v>
      </c>
      <c r="O71">
        <f>Isa!W71</f>
        <v>0</v>
      </c>
      <c r="P71">
        <f>Trops!W71</f>
        <v>0</v>
      </c>
    </row>
    <row r="72" spans="1:16" ht="14.25" customHeight="1" x14ac:dyDescent="0.3">
      <c r="A72" s="2">
        <v>70</v>
      </c>
      <c r="B72" s="2">
        <f>IF('Tabela de Jogos'!C72&lt;&gt;"",Rodrigo!W72+B71,B71)</f>
        <v>96</v>
      </c>
      <c r="C72" s="2">
        <f>IF('Tabela de Jogos'!C72&lt;&gt;"",Arthur!W72+C71,C71)</f>
        <v>107</v>
      </c>
      <c r="D72" s="2">
        <f>IF('Tabela de Jogos'!C72&lt;&gt;"",Dudu!W72+D71,D71)</f>
        <v>96</v>
      </c>
      <c r="E72" s="2">
        <f>IF('Tabela de Jogos'!C72&lt;&gt;"",Carol!W72+E71,E71)</f>
        <v>92</v>
      </c>
      <c r="F72" s="2">
        <f>IF('Tabela de Jogos'!C72&lt;&gt;"",Ana!W72+F71,F71)</f>
        <v>123</v>
      </c>
      <c r="G72" s="2">
        <f>IF('Tabela de Jogos'!C72&lt;&gt;"",Isa!W72+G71,G71)</f>
        <v>105</v>
      </c>
      <c r="H72" s="2">
        <f>IF('Tabela de Jogos'!C72&lt;&gt;"",Trops!W72+H71,H71)</f>
        <v>83</v>
      </c>
      <c r="J72">
        <f>Rodrigo!W72</f>
        <v>0</v>
      </c>
      <c r="K72">
        <f>Arthur!W72</f>
        <v>0</v>
      </c>
      <c r="L72">
        <f>Dudu!W72</f>
        <v>0</v>
      </c>
      <c r="M72">
        <f>Carol!W72</f>
        <v>0</v>
      </c>
      <c r="N72">
        <f>Ana!W72</f>
        <v>0</v>
      </c>
      <c r="O72">
        <f>Isa!W72</f>
        <v>0</v>
      </c>
      <c r="P72">
        <f>Trops!W72</f>
        <v>0</v>
      </c>
    </row>
    <row r="73" spans="1:16" ht="14.25" customHeight="1" x14ac:dyDescent="0.3">
      <c r="A73" s="2">
        <v>71</v>
      </c>
      <c r="B73" s="2">
        <f>IF('Tabela de Jogos'!C73&lt;&gt;"",Rodrigo!W73+B72,B72)</f>
        <v>96</v>
      </c>
      <c r="C73" s="2">
        <f>IF('Tabela de Jogos'!C73&lt;&gt;"",Arthur!W73+C72,C72)</f>
        <v>107</v>
      </c>
      <c r="D73" s="2">
        <f>IF('Tabela de Jogos'!C73&lt;&gt;"",Dudu!W73+D72,D72)</f>
        <v>96</v>
      </c>
      <c r="E73" s="2">
        <f>IF('Tabela de Jogos'!C73&lt;&gt;"",Carol!W73+E72,E72)</f>
        <v>92</v>
      </c>
      <c r="F73" s="2">
        <f>IF('Tabela de Jogos'!C73&lt;&gt;"",Ana!W73+F72,F72)</f>
        <v>123</v>
      </c>
      <c r="G73" s="2">
        <f>IF('Tabela de Jogos'!C73&lt;&gt;"",Isa!W73+G72,G72)</f>
        <v>105</v>
      </c>
      <c r="H73" s="2">
        <f>IF('Tabela de Jogos'!C73&lt;&gt;"",Trops!W73+H72,H72)</f>
        <v>83</v>
      </c>
      <c r="J73">
        <f>Rodrigo!W73</f>
        <v>0</v>
      </c>
      <c r="K73">
        <f>Arthur!W73</f>
        <v>0</v>
      </c>
      <c r="L73">
        <f>Dudu!W73</f>
        <v>0</v>
      </c>
      <c r="M73">
        <f>Carol!W73</f>
        <v>0</v>
      </c>
      <c r="N73">
        <f>Ana!W73</f>
        <v>0</v>
      </c>
      <c r="O73">
        <f>Isa!W73</f>
        <v>0</v>
      </c>
      <c r="P73">
        <f>Trops!W73</f>
        <v>0</v>
      </c>
    </row>
    <row r="74" spans="1:16" ht="14.25" customHeight="1" x14ac:dyDescent="0.3">
      <c r="A74" s="2">
        <v>72</v>
      </c>
      <c r="B74" s="2">
        <f>IF('Tabela de Jogos'!C74&lt;&gt;"",Rodrigo!W74+B73,B73)</f>
        <v>96</v>
      </c>
      <c r="C74" s="2">
        <f>IF('Tabela de Jogos'!C74&lt;&gt;"",Arthur!W74+C73,C73)</f>
        <v>107</v>
      </c>
      <c r="D74" s="2">
        <f>IF('Tabela de Jogos'!C74&lt;&gt;"",Dudu!W74+D73,D73)</f>
        <v>96</v>
      </c>
      <c r="E74" s="2">
        <f>IF('Tabela de Jogos'!C74&lt;&gt;"",Carol!W74+E73,E73)</f>
        <v>92</v>
      </c>
      <c r="F74" s="2">
        <f>IF('Tabela de Jogos'!C74&lt;&gt;"",Ana!W74+F73,F73)</f>
        <v>123</v>
      </c>
      <c r="G74" s="2">
        <f>IF('Tabela de Jogos'!C74&lt;&gt;"",Isa!W74+G73,G73)</f>
        <v>105</v>
      </c>
      <c r="H74" s="2">
        <f>IF('Tabela de Jogos'!C74&lt;&gt;"",Trops!W74+H73,H73)</f>
        <v>83</v>
      </c>
      <c r="J74">
        <f>Rodrigo!W74</f>
        <v>0</v>
      </c>
      <c r="K74">
        <f>Arthur!W74</f>
        <v>0</v>
      </c>
      <c r="L74">
        <f>Dudu!W74</f>
        <v>0</v>
      </c>
      <c r="M74">
        <f>Carol!W74</f>
        <v>0</v>
      </c>
      <c r="N74">
        <f>Ana!W74</f>
        <v>0</v>
      </c>
      <c r="O74">
        <f>Isa!W74</f>
        <v>0</v>
      </c>
      <c r="P74">
        <f>Trops!W74</f>
        <v>0</v>
      </c>
    </row>
    <row r="75" spans="1:16" ht="14.25" customHeight="1" x14ac:dyDescent="0.3">
      <c r="A75" s="2">
        <v>73</v>
      </c>
      <c r="B75" s="2">
        <f>IF('Tabela de Jogos'!C75&lt;&gt;"",Rodrigo!W75+B74,B74)</f>
        <v>96</v>
      </c>
      <c r="C75" s="2">
        <f>IF('Tabela de Jogos'!C75&lt;&gt;"",Arthur!W75+C74,C74)</f>
        <v>107</v>
      </c>
      <c r="D75" s="2">
        <f>IF('Tabela de Jogos'!C75&lt;&gt;"",Dudu!W75+D74,D74)</f>
        <v>96</v>
      </c>
      <c r="E75" s="2">
        <f>IF('Tabela de Jogos'!C75&lt;&gt;"",Carol!W75+E74,E74)</f>
        <v>92</v>
      </c>
      <c r="F75" s="2">
        <f>IF('Tabela de Jogos'!C75&lt;&gt;"",Ana!W75+F74,F74)</f>
        <v>123</v>
      </c>
      <c r="G75" s="2">
        <f>IF('Tabela de Jogos'!C75&lt;&gt;"",Isa!W75+G74,G74)</f>
        <v>105</v>
      </c>
      <c r="H75" s="2">
        <f>IF('Tabela de Jogos'!C75&lt;&gt;"",Trops!W75+H74,H74)</f>
        <v>83</v>
      </c>
      <c r="J75">
        <f>Rodrigo!W75</f>
        <v>0</v>
      </c>
      <c r="K75">
        <f>Arthur!W75</f>
        <v>0</v>
      </c>
      <c r="L75">
        <f>Dudu!W75</f>
        <v>0</v>
      </c>
      <c r="M75">
        <f>Carol!W75</f>
        <v>0</v>
      </c>
      <c r="N75">
        <f>Ana!W75</f>
        <v>0</v>
      </c>
      <c r="O75">
        <f>Isa!W75</f>
        <v>0</v>
      </c>
      <c r="P75">
        <f>Trops!W75</f>
        <v>0</v>
      </c>
    </row>
    <row r="76" spans="1:16" ht="14.25" customHeight="1" x14ac:dyDescent="0.3">
      <c r="A76" s="2">
        <v>74</v>
      </c>
      <c r="B76" s="2">
        <f>IF('Tabela de Jogos'!C76&lt;&gt;"",Rodrigo!W76+B75,B75)</f>
        <v>96</v>
      </c>
      <c r="C76" s="2">
        <f>IF('Tabela de Jogos'!C76&lt;&gt;"",Arthur!W76+C75,C75)</f>
        <v>107</v>
      </c>
      <c r="D76" s="2">
        <f>IF('Tabela de Jogos'!C76&lt;&gt;"",Dudu!W76+D75,D75)</f>
        <v>96</v>
      </c>
      <c r="E76" s="2">
        <f>IF('Tabela de Jogos'!C76&lt;&gt;"",Carol!W76+E75,E75)</f>
        <v>92</v>
      </c>
      <c r="F76" s="2">
        <f>IF('Tabela de Jogos'!C76&lt;&gt;"",Ana!W76+F75,F75)</f>
        <v>123</v>
      </c>
      <c r="G76" s="2">
        <f>IF('Tabela de Jogos'!C76&lt;&gt;"",Isa!W76+G75,G75)</f>
        <v>105</v>
      </c>
      <c r="H76" s="2">
        <f>IF('Tabela de Jogos'!C76&lt;&gt;"",Trops!W76+H75,H75)</f>
        <v>83</v>
      </c>
      <c r="J76">
        <f>Rodrigo!W76</f>
        <v>0</v>
      </c>
      <c r="K76">
        <f>Arthur!W76</f>
        <v>0</v>
      </c>
      <c r="L76">
        <f>Dudu!W76</f>
        <v>0</v>
      </c>
      <c r="M76">
        <f>Carol!W76</f>
        <v>0</v>
      </c>
      <c r="N76">
        <f>Ana!W76</f>
        <v>0</v>
      </c>
      <c r="O76">
        <f>Isa!W76</f>
        <v>0</v>
      </c>
      <c r="P76">
        <f>Trops!W76</f>
        <v>0</v>
      </c>
    </row>
    <row r="77" spans="1:16" ht="14.25" customHeight="1" x14ac:dyDescent="0.3">
      <c r="A77" s="2">
        <v>75</v>
      </c>
      <c r="B77" s="2">
        <f>IF('Tabela de Jogos'!C77&lt;&gt;"",Rodrigo!W77+B76,B76)</f>
        <v>96</v>
      </c>
      <c r="C77" s="2">
        <f>IF('Tabela de Jogos'!C77&lt;&gt;"",Arthur!W77+C76,C76)</f>
        <v>107</v>
      </c>
      <c r="D77" s="2">
        <f>IF('Tabela de Jogos'!C77&lt;&gt;"",Dudu!W77+D76,D76)</f>
        <v>96</v>
      </c>
      <c r="E77" s="2">
        <f>IF('Tabela de Jogos'!C77&lt;&gt;"",Carol!W77+E76,E76)</f>
        <v>92</v>
      </c>
      <c r="F77" s="2">
        <f>IF('Tabela de Jogos'!C77&lt;&gt;"",Ana!W77+F76,F76)</f>
        <v>123</v>
      </c>
      <c r="G77" s="2">
        <f>IF('Tabela de Jogos'!C77&lt;&gt;"",Isa!W77+G76,G76)</f>
        <v>105</v>
      </c>
      <c r="H77" s="2">
        <f>IF('Tabela de Jogos'!C77&lt;&gt;"",Trops!W77+H76,H76)</f>
        <v>83</v>
      </c>
      <c r="J77">
        <f>Rodrigo!W77</f>
        <v>0</v>
      </c>
      <c r="K77">
        <f>Arthur!W77</f>
        <v>0</v>
      </c>
      <c r="L77">
        <f>Dudu!W77</f>
        <v>0</v>
      </c>
      <c r="M77">
        <f>Carol!W77</f>
        <v>0</v>
      </c>
      <c r="N77">
        <f>Ana!W77</f>
        <v>0</v>
      </c>
      <c r="O77">
        <f>Isa!W77</f>
        <v>0</v>
      </c>
      <c r="P77">
        <f>Trops!W77</f>
        <v>0</v>
      </c>
    </row>
    <row r="78" spans="1:16" ht="14.25" customHeight="1" x14ac:dyDescent="0.3">
      <c r="A78" s="2">
        <v>76</v>
      </c>
      <c r="B78" s="2">
        <f>IF('Tabela de Jogos'!C78&lt;&gt;"",Rodrigo!W78+B77,B77)</f>
        <v>96</v>
      </c>
      <c r="C78" s="2">
        <f>IF('Tabela de Jogos'!C78&lt;&gt;"",Arthur!W78+C77,C77)</f>
        <v>107</v>
      </c>
      <c r="D78" s="2">
        <f>IF('Tabela de Jogos'!C78&lt;&gt;"",Dudu!W78+D77,D77)</f>
        <v>96</v>
      </c>
      <c r="E78" s="2">
        <f>IF('Tabela de Jogos'!C78&lt;&gt;"",Carol!W78+E77,E77)</f>
        <v>92</v>
      </c>
      <c r="F78" s="2">
        <f>IF('Tabela de Jogos'!C78&lt;&gt;"",Ana!W78+F77,F77)</f>
        <v>123</v>
      </c>
      <c r="G78" s="2">
        <f>IF('Tabela de Jogos'!C78&lt;&gt;"",Isa!W78+G77,G77)</f>
        <v>105</v>
      </c>
      <c r="H78" s="2">
        <f>IF('Tabela de Jogos'!C78&lt;&gt;"",Trops!W78+H77,H77)</f>
        <v>83</v>
      </c>
      <c r="J78">
        <f>Rodrigo!W78</f>
        <v>0</v>
      </c>
      <c r="K78">
        <f>Arthur!W78</f>
        <v>0</v>
      </c>
      <c r="L78">
        <f>Dudu!W78</f>
        <v>0</v>
      </c>
      <c r="M78">
        <f>Carol!W78</f>
        <v>0</v>
      </c>
      <c r="N78">
        <f>Ana!W78</f>
        <v>0</v>
      </c>
      <c r="O78">
        <f>Isa!W78</f>
        <v>0</v>
      </c>
      <c r="P78">
        <f>Trops!W78</f>
        <v>0</v>
      </c>
    </row>
    <row r="79" spans="1:16" ht="14.25" customHeight="1" x14ac:dyDescent="0.3">
      <c r="A79" s="2">
        <v>77</v>
      </c>
      <c r="B79" s="2">
        <f>IF('Tabela de Jogos'!C79&lt;&gt;"",Rodrigo!W79+B78,B78)</f>
        <v>96</v>
      </c>
      <c r="C79" s="2">
        <f>IF('Tabela de Jogos'!C79&lt;&gt;"",Arthur!W79+C78,C78)</f>
        <v>107</v>
      </c>
      <c r="D79" s="2">
        <f>IF('Tabela de Jogos'!C79&lt;&gt;"",Dudu!W79+D78,D78)</f>
        <v>96</v>
      </c>
      <c r="E79" s="2">
        <f>IF('Tabela de Jogos'!C79&lt;&gt;"",Carol!W79+E78,E78)</f>
        <v>92</v>
      </c>
      <c r="F79" s="2">
        <f>IF('Tabela de Jogos'!C79&lt;&gt;"",Ana!W79+F78,F78)</f>
        <v>123</v>
      </c>
      <c r="G79" s="2">
        <f>IF('Tabela de Jogos'!C79&lt;&gt;"",Isa!W79+G78,G78)</f>
        <v>105</v>
      </c>
      <c r="H79" s="2">
        <f>IF('Tabela de Jogos'!C79&lt;&gt;"",Trops!W79+H78,H78)</f>
        <v>83</v>
      </c>
      <c r="J79">
        <f>Rodrigo!W79</f>
        <v>0</v>
      </c>
      <c r="K79">
        <f>Arthur!W79</f>
        <v>0</v>
      </c>
      <c r="L79">
        <f>Dudu!W79</f>
        <v>0</v>
      </c>
      <c r="M79">
        <f>Carol!W79</f>
        <v>0</v>
      </c>
      <c r="N79">
        <f>Ana!W79</f>
        <v>0</v>
      </c>
      <c r="O79">
        <f>Isa!W79</f>
        <v>0</v>
      </c>
      <c r="P79">
        <f>Trops!W79</f>
        <v>0</v>
      </c>
    </row>
    <row r="80" spans="1:16" ht="14.25" customHeight="1" x14ac:dyDescent="0.3">
      <c r="A80" s="2">
        <v>78</v>
      </c>
      <c r="B80" s="2">
        <f>IF('Tabela de Jogos'!C80&lt;&gt;"",Rodrigo!W80+B79,B79)</f>
        <v>96</v>
      </c>
      <c r="C80" s="2">
        <f>IF('Tabela de Jogos'!C80&lt;&gt;"",Arthur!W80+C79,C79)</f>
        <v>107</v>
      </c>
      <c r="D80" s="2">
        <f>IF('Tabela de Jogos'!C80&lt;&gt;"",Dudu!W80+D79,D79)</f>
        <v>96</v>
      </c>
      <c r="E80" s="2">
        <f>IF('Tabela de Jogos'!C80&lt;&gt;"",Carol!W80+E79,E79)</f>
        <v>92</v>
      </c>
      <c r="F80" s="2">
        <f>IF('Tabela de Jogos'!C80&lt;&gt;"",Ana!W80+F79,F79)</f>
        <v>123</v>
      </c>
      <c r="G80" s="2">
        <f>IF('Tabela de Jogos'!C80&lt;&gt;"",Isa!W80+G79,G79)</f>
        <v>105</v>
      </c>
      <c r="H80" s="2">
        <f>IF('Tabela de Jogos'!C80&lt;&gt;"",Trops!W80+H79,H79)</f>
        <v>83</v>
      </c>
      <c r="J80">
        <f>Rodrigo!W80</f>
        <v>0</v>
      </c>
      <c r="K80">
        <f>Arthur!W80</f>
        <v>0</v>
      </c>
      <c r="L80">
        <f>Dudu!W80</f>
        <v>0</v>
      </c>
      <c r="M80">
        <f>Carol!W80</f>
        <v>0</v>
      </c>
      <c r="N80">
        <f>Ana!W80</f>
        <v>0</v>
      </c>
      <c r="O80">
        <f>Isa!W80</f>
        <v>0</v>
      </c>
      <c r="P80">
        <f>Trops!W80</f>
        <v>0</v>
      </c>
    </row>
    <row r="81" spans="1:16" ht="14.25" customHeight="1" x14ac:dyDescent="0.3">
      <c r="A81" s="2">
        <v>79</v>
      </c>
      <c r="B81" s="2">
        <f>IF('Tabela de Jogos'!C81&lt;&gt;"",Rodrigo!W81+B80,B80)</f>
        <v>96</v>
      </c>
      <c r="C81" s="2">
        <f>IF('Tabela de Jogos'!C81&lt;&gt;"",Arthur!W81+C80,C80)</f>
        <v>107</v>
      </c>
      <c r="D81" s="2">
        <f>IF('Tabela de Jogos'!C81&lt;&gt;"",Dudu!W81+D80,D80)</f>
        <v>96</v>
      </c>
      <c r="E81" s="2">
        <f>IF('Tabela de Jogos'!C81&lt;&gt;"",Carol!W81+E80,E80)</f>
        <v>92</v>
      </c>
      <c r="F81" s="2">
        <f>IF('Tabela de Jogos'!C81&lt;&gt;"",Ana!W81+F80,F80)</f>
        <v>123</v>
      </c>
      <c r="G81" s="2">
        <f>IF('Tabela de Jogos'!C81&lt;&gt;"",Isa!W81+G80,G80)</f>
        <v>105</v>
      </c>
      <c r="H81" s="2">
        <f>IF('Tabela de Jogos'!C81&lt;&gt;"",Trops!W81+H80,H80)</f>
        <v>83</v>
      </c>
      <c r="J81">
        <f>Rodrigo!W81</f>
        <v>0</v>
      </c>
      <c r="K81">
        <f>Arthur!W81</f>
        <v>0</v>
      </c>
      <c r="L81">
        <f>Dudu!W81</f>
        <v>0</v>
      </c>
      <c r="M81">
        <f>Carol!W81</f>
        <v>0</v>
      </c>
      <c r="N81">
        <f>Ana!W81</f>
        <v>0</v>
      </c>
      <c r="O81">
        <f>Isa!W81</f>
        <v>0</v>
      </c>
      <c r="P81">
        <f>Trops!W81</f>
        <v>0</v>
      </c>
    </row>
    <row r="82" spans="1:16" ht="14.25" customHeight="1" x14ac:dyDescent="0.3">
      <c r="A82" s="2">
        <v>80</v>
      </c>
      <c r="B82" s="2">
        <f>IF('Tabela de Jogos'!C82&lt;&gt;"",Rodrigo!W82+B81,B81)</f>
        <v>96</v>
      </c>
      <c r="C82" s="2">
        <f>IF('Tabela de Jogos'!C82&lt;&gt;"",Arthur!W82+C81,C81)</f>
        <v>107</v>
      </c>
      <c r="D82" s="2">
        <f>IF('Tabela de Jogos'!C82&lt;&gt;"",Dudu!W82+D81,D81)</f>
        <v>96</v>
      </c>
      <c r="E82" s="2">
        <f>IF('Tabela de Jogos'!C82&lt;&gt;"",Carol!W82+E81,E81)</f>
        <v>92</v>
      </c>
      <c r="F82" s="2">
        <f>IF('Tabela de Jogos'!C82&lt;&gt;"",Ana!W82+F81,F81)</f>
        <v>123</v>
      </c>
      <c r="G82" s="2">
        <f>IF('Tabela de Jogos'!C82&lt;&gt;"",Isa!W82+G81,G81)</f>
        <v>105</v>
      </c>
      <c r="H82" s="2">
        <f>IF('Tabela de Jogos'!C82&lt;&gt;"",Trops!W82+H81,H81)</f>
        <v>83</v>
      </c>
      <c r="J82">
        <f>Rodrigo!W82</f>
        <v>0</v>
      </c>
      <c r="K82">
        <f>Arthur!W82</f>
        <v>0</v>
      </c>
      <c r="L82">
        <f>Dudu!W82</f>
        <v>0</v>
      </c>
      <c r="M82">
        <f>Carol!W82</f>
        <v>0</v>
      </c>
      <c r="N82">
        <f>Ana!W82</f>
        <v>0</v>
      </c>
      <c r="O82">
        <f>Isa!W82</f>
        <v>0</v>
      </c>
      <c r="P82">
        <f>Trops!W82</f>
        <v>0</v>
      </c>
    </row>
    <row r="83" spans="1:16" ht="14.25" customHeight="1" x14ac:dyDescent="0.3">
      <c r="A83" s="2">
        <v>81</v>
      </c>
      <c r="B83" s="2">
        <f>IF('Tabela de Jogos'!C83&lt;&gt;"",Rodrigo!W83+B82,B82)</f>
        <v>96</v>
      </c>
      <c r="C83" s="2">
        <f>IF('Tabela de Jogos'!C83&lt;&gt;"",Arthur!W83+C82,C82)</f>
        <v>107</v>
      </c>
      <c r="D83" s="2">
        <f>IF('Tabela de Jogos'!C83&lt;&gt;"",Dudu!W83+D82,D82)</f>
        <v>96</v>
      </c>
      <c r="E83" s="2">
        <f>IF('Tabela de Jogos'!C83&lt;&gt;"",Carol!W83+E82,E82)</f>
        <v>92</v>
      </c>
      <c r="F83" s="2">
        <f>IF('Tabela de Jogos'!C83&lt;&gt;"",Ana!W83+F82,F82)</f>
        <v>123</v>
      </c>
      <c r="G83" s="2">
        <f>IF('Tabela de Jogos'!C83&lt;&gt;"",Isa!W83+G82,G82)</f>
        <v>105</v>
      </c>
      <c r="H83" s="2">
        <f>IF('Tabela de Jogos'!C83&lt;&gt;"",Trops!W83+H82,H82)</f>
        <v>83</v>
      </c>
      <c r="J83">
        <f>Rodrigo!W83</f>
        <v>0</v>
      </c>
      <c r="K83">
        <f>Arthur!W83</f>
        <v>0</v>
      </c>
      <c r="L83">
        <f>Dudu!W83</f>
        <v>0</v>
      </c>
      <c r="M83">
        <f>Carol!W83</f>
        <v>0</v>
      </c>
      <c r="N83">
        <f>Ana!W83</f>
        <v>0</v>
      </c>
      <c r="O83">
        <f>Isa!W83</f>
        <v>0</v>
      </c>
      <c r="P83">
        <f>Trops!W83</f>
        <v>0</v>
      </c>
    </row>
    <row r="84" spans="1:16" ht="14.25" customHeight="1" x14ac:dyDescent="0.3">
      <c r="A84" s="2">
        <v>82</v>
      </c>
      <c r="B84" s="2">
        <f>IF('Tabela de Jogos'!C84&lt;&gt;"",Rodrigo!W84+B83,B83)</f>
        <v>96</v>
      </c>
      <c r="C84" s="2">
        <f>IF('Tabela de Jogos'!C84&lt;&gt;"",Arthur!W84+C83,C83)</f>
        <v>107</v>
      </c>
      <c r="D84" s="2">
        <f>IF('Tabela de Jogos'!C84&lt;&gt;"",Dudu!W84+D83,D83)</f>
        <v>96</v>
      </c>
      <c r="E84" s="2">
        <f>IF('Tabela de Jogos'!C84&lt;&gt;"",Carol!W84+E83,E83)</f>
        <v>92</v>
      </c>
      <c r="F84" s="2">
        <f>IF('Tabela de Jogos'!C84&lt;&gt;"",Ana!W84+F83,F83)</f>
        <v>123</v>
      </c>
      <c r="G84" s="2">
        <f>IF('Tabela de Jogos'!C84&lt;&gt;"",Isa!W84+G83,G83)</f>
        <v>105</v>
      </c>
      <c r="H84" s="2">
        <f>IF('Tabela de Jogos'!C84&lt;&gt;"",Trops!W84+H83,H83)</f>
        <v>83</v>
      </c>
      <c r="J84">
        <f>Rodrigo!W84</f>
        <v>0</v>
      </c>
      <c r="K84">
        <f>Arthur!W84</f>
        <v>0</v>
      </c>
      <c r="L84">
        <f>Dudu!W84</f>
        <v>0</v>
      </c>
      <c r="M84">
        <f>Carol!W84</f>
        <v>0</v>
      </c>
      <c r="N84">
        <f>Ana!W84</f>
        <v>0</v>
      </c>
      <c r="O84">
        <f>Isa!W84</f>
        <v>0</v>
      </c>
      <c r="P84">
        <f>Trops!W84</f>
        <v>0</v>
      </c>
    </row>
    <row r="85" spans="1:16" ht="14.25" customHeight="1" x14ac:dyDescent="0.3">
      <c r="A85" s="2">
        <v>83</v>
      </c>
      <c r="B85" s="2">
        <f>IF('Tabela de Jogos'!C85&lt;&gt;"",Rodrigo!W85+B84,B84)</f>
        <v>96</v>
      </c>
      <c r="C85" s="2">
        <f>IF('Tabela de Jogos'!C85&lt;&gt;"",Arthur!W85+C84,C84)</f>
        <v>107</v>
      </c>
      <c r="D85" s="2">
        <f>IF('Tabela de Jogos'!C85&lt;&gt;"",Dudu!W85+D84,D84)</f>
        <v>96</v>
      </c>
      <c r="E85" s="2">
        <f>IF('Tabela de Jogos'!C85&lt;&gt;"",Carol!W85+E84,E84)</f>
        <v>92</v>
      </c>
      <c r="F85" s="2">
        <f>IF('Tabela de Jogos'!C85&lt;&gt;"",Ana!W85+F84,F84)</f>
        <v>123</v>
      </c>
      <c r="G85" s="2">
        <f>IF('Tabela de Jogos'!C85&lt;&gt;"",Isa!W85+G84,G84)</f>
        <v>105</v>
      </c>
      <c r="H85" s="2">
        <f>IF('Tabela de Jogos'!C85&lt;&gt;"",Trops!W85+H84,H84)</f>
        <v>83</v>
      </c>
      <c r="J85">
        <f>Rodrigo!W85</f>
        <v>0</v>
      </c>
      <c r="K85">
        <f>Arthur!W85</f>
        <v>0</v>
      </c>
      <c r="L85">
        <f>Dudu!W85</f>
        <v>0</v>
      </c>
      <c r="M85">
        <f>Carol!W85</f>
        <v>0</v>
      </c>
      <c r="N85">
        <f>Ana!W85</f>
        <v>0</v>
      </c>
      <c r="O85">
        <f>Isa!W85</f>
        <v>0</v>
      </c>
      <c r="P85">
        <f>Trops!W85</f>
        <v>0</v>
      </c>
    </row>
    <row r="86" spans="1:16" ht="14.25" customHeight="1" x14ac:dyDescent="0.3">
      <c r="A86" s="2">
        <v>84</v>
      </c>
      <c r="B86" s="2">
        <f>IF('Tabela de Jogos'!C86&lt;&gt;"",Rodrigo!W86+B85,B85)</f>
        <v>96</v>
      </c>
      <c r="C86" s="2">
        <f>IF('Tabela de Jogos'!C86&lt;&gt;"",Arthur!W86+C85,C85)</f>
        <v>107</v>
      </c>
      <c r="D86" s="2">
        <f>IF('Tabela de Jogos'!C86&lt;&gt;"",Dudu!W86+D85,D85)</f>
        <v>96</v>
      </c>
      <c r="E86" s="2">
        <f>IF('Tabela de Jogos'!C86&lt;&gt;"",Carol!W86+E85,E85)</f>
        <v>92</v>
      </c>
      <c r="F86" s="2">
        <f>IF('Tabela de Jogos'!C86&lt;&gt;"",Ana!W86+F85,F85)</f>
        <v>123</v>
      </c>
      <c r="G86" s="2">
        <f>IF('Tabela de Jogos'!C86&lt;&gt;"",Isa!W86+G85,G85)</f>
        <v>105</v>
      </c>
      <c r="H86" s="2">
        <f>IF('Tabela de Jogos'!C86&lt;&gt;"",Trops!W86+H85,H85)</f>
        <v>83</v>
      </c>
      <c r="J86">
        <f>Rodrigo!W86</f>
        <v>0</v>
      </c>
      <c r="K86">
        <f>Arthur!W86</f>
        <v>0</v>
      </c>
      <c r="L86">
        <f>Dudu!W86</f>
        <v>0</v>
      </c>
      <c r="M86">
        <f>Carol!W86</f>
        <v>0</v>
      </c>
      <c r="N86">
        <f>Ana!W86</f>
        <v>0</v>
      </c>
      <c r="O86">
        <f>Isa!W86</f>
        <v>0</v>
      </c>
      <c r="P86">
        <f>Trops!W86</f>
        <v>0</v>
      </c>
    </row>
    <row r="87" spans="1:16" ht="14.25" customHeight="1" x14ac:dyDescent="0.3">
      <c r="A87" s="2">
        <v>85</v>
      </c>
      <c r="B87" s="2">
        <f>IF('Tabela de Jogos'!C87&lt;&gt;"",Rodrigo!W87+B86,B86)</f>
        <v>96</v>
      </c>
      <c r="C87" s="2">
        <f>IF('Tabela de Jogos'!C87&lt;&gt;"",Arthur!W87+C86,C86)</f>
        <v>107</v>
      </c>
      <c r="D87" s="2">
        <f>IF('Tabela de Jogos'!C87&lt;&gt;"",Dudu!W87+D86,D86)</f>
        <v>96</v>
      </c>
      <c r="E87" s="2">
        <f>IF('Tabela de Jogos'!C87&lt;&gt;"",Carol!W87+E86,E86)</f>
        <v>92</v>
      </c>
      <c r="F87" s="2">
        <f>IF('Tabela de Jogos'!C87&lt;&gt;"",Ana!W87+F86,F86)</f>
        <v>123</v>
      </c>
      <c r="G87" s="2">
        <f>IF('Tabela de Jogos'!C87&lt;&gt;"",Isa!W87+G86,G86)</f>
        <v>105</v>
      </c>
      <c r="H87" s="2">
        <f>IF('Tabela de Jogos'!C87&lt;&gt;"",Trops!W87+H86,H86)</f>
        <v>83</v>
      </c>
      <c r="J87">
        <f>Rodrigo!W87</f>
        <v>0</v>
      </c>
      <c r="K87">
        <f>Arthur!W87</f>
        <v>0</v>
      </c>
      <c r="L87">
        <f>Dudu!W87</f>
        <v>0</v>
      </c>
      <c r="M87">
        <f>Carol!W87</f>
        <v>0</v>
      </c>
      <c r="N87">
        <f>Ana!W87</f>
        <v>0</v>
      </c>
      <c r="O87">
        <f>Isa!W87</f>
        <v>0</v>
      </c>
      <c r="P87">
        <f>Trops!W87</f>
        <v>0</v>
      </c>
    </row>
    <row r="88" spans="1:16" ht="14.25" customHeight="1" x14ac:dyDescent="0.3">
      <c r="A88" s="2">
        <v>86</v>
      </c>
      <c r="B88" s="2">
        <f>IF('Tabela de Jogos'!C88&lt;&gt;"",Rodrigo!W88+B87,B87)</f>
        <v>96</v>
      </c>
      <c r="C88" s="2">
        <f>IF('Tabela de Jogos'!C88&lt;&gt;"",Arthur!W88+C87,C87)</f>
        <v>107</v>
      </c>
      <c r="D88" s="2">
        <f>IF('Tabela de Jogos'!C88&lt;&gt;"",Dudu!W88+D87,D87)</f>
        <v>96</v>
      </c>
      <c r="E88" s="2">
        <f>IF('Tabela de Jogos'!C88&lt;&gt;"",Carol!W88+E87,E87)</f>
        <v>92</v>
      </c>
      <c r="F88" s="2">
        <f>IF('Tabela de Jogos'!C88&lt;&gt;"",Ana!W88+F87,F87)</f>
        <v>123</v>
      </c>
      <c r="G88" s="2">
        <f>IF('Tabela de Jogos'!C88&lt;&gt;"",Isa!W88+G87,G87)</f>
        <v>105</v>
      </c>
      <c r="H88" s="2">
        <f>IF('Tabela de Jogos'!C88&lt;&gt;"",Trops!W88+H87,H87)</f>
        <v>83</v>
      </c>
      <c r="J88">
        <f>Rodrigo!W88</f>
        <v>0</v>
      </c>
      <c r="K88">
        <f>Arthur!W88</f>
        <v>0</v>
      </c>
      <c r="L88">
        <f>Dudu!W88</f>
        <v>0</v>
      </c>
      <c r="M88">
        <f>Carol!W88</f>
        <v>0</v>
      </c>
      <c r="N88">
        <f>Ana!W88</f>
        <v>0</v>
      </c>
      <c r="O88">
        <f>Isa!W88</f>
        <v>0</v>
      </c>
      <c r="P88">
        <f>Trops!W88</f>
        <v>0</v>
      </c>
    </row>
    <row r="89" spans="1:16" ht="14.25" customHeight="1" x14ac:dyDescent="0.3">
      <c r="A89" s="2">
        <v>87</v>
      </c>
      <c r="B89" s="2">
        <f>IF('Tabela de Jogos'!C89&lt;&gt;"",Rodrigo!W89+B88,B88)</f>
        <v>96</v>
      </c>
      <c r="C89" s="2">
        <f>IF('Tabela de Jogos'!C89&lt;&gt;"",Arthur!W89+C88,C88)</f>
        <v>107</v>
      </c>
      <c r="D89" s="2">
        <f>IF('Tabela de Jogos'!C89&lt;&gt;"",Dudu!W89+D88,D88)</f>
        <v>96</v>
      </c>
      <c r="E89" s="2">
        <f>IF('Tabela de Jogos'!C89&lt;&gt;"",Carol!W89+E88,E88)</f>
        <v>92</v>
      </c>
      <c r="F89" s="2">
        <f>IF('Tabela de Jogos'!C89&lt;&gt;"",Ana!W89+F88,F88)</f>
        <v>123</v>
      </c>
      <c r="G89" s="2">
        <f>IF('Tabela de Jogos'!C89&lt;&gt;"",Isa!W89+G88,G88)</f>
        <v>105</v>
      </c>
      <c r="H89" s="2">
        <f>IF('Tabela de Jogos'!C89&lt;&gt;"",Trops!W89+H88,H88)</f>
        <v>83</v>
      </c>
      <c r="J89">
        <f>Rodrigo!W89</f>
        <v>0</v>
      </c>
      <c r="K89">
        <f>Arthur!W89</f>
        <v>0</v>
      </c>
      <c r="L89">
        <f>Dudu!W89</f>
        <v>0</v>
      </c>
      <c r="M89">
        <f>Carol!W89</f>
        <v>0</v>
      </c>
      <c r="N89">
        <f>Ana!W89</f>
        <v>0</v>
      </c>
      <c r="O89">
        <f>Isa!W89</f>
        <v>0</v>
      </c>
      <c r="P89">
        <f>Trops!W89</f>
        <v>0</v>
      </c>
    </row>
    <row r="90" spans="1:16" ht="14.25" customHeight="1" x14ac:dyDescent="0.3">
      <c r="A90" s="2">
        <v>88</v>
      </c>
      <c r="B90" s="2">
        <f>IF('Tabela de Jogos'!C90&lt;&gt;"",Rodrigo!W90+B89,B89)</f>
        <v>96</v>
      </c>
      <c r="C90" s="2">
        <f>IF('Tabela de Jogos'!C90&lt;&gt;"",Arthur!W90+C89,C89)</f>
        <v>107</v>
      </c>
      <c r="D90" s="2">
        <f>IF('Tabela de Jogos'!C90&lt;&gt;"",Dudu!W90+D89,D89)</f>
        <v>96</v>
      </c>
      <c r="E90" s="2">
        <f>IF('Tabela de Jogos'!C90&lt;&gt;"",Carol!W90+E89,E89)</f>
        <v>92</v>
      </c>
      <c r="F90" s="2">
        <f>IF('Tabela de Jogos'!C90&lt;&gt;"",Ana!W90+F89,F89)</f>
        <v>123</v>
      </c>
      <c r="G90" s="2">
        <f>IF('Tabela de Jogos'!C90&lt;&gt;"",Isa!W90+G89,G89)</f>
        <v>105</v>
      </c>
      <c r="H90" s="2">
        <f>IF('Tabela de Jogos'!C90&lt;&gt;"",Trops!W90+H89,H89)</f>
        <v>83</v>
      </c>
      <c r="J90">
        <f>Rodrigo!W90</f>
        <v>0</v>
      </c>
      <c r="K90">
        <f>Arthur!W90</f>
        <v>0</v>
      </c>
      <c r="L90">
        <f>Dudu!W90</f>
        <v>0</v>
      </c>
      <c r="M90">
        <f>Carol!W90</f>
        <v>0</v>
      </c>
      <c r="N90">
        <f>Ana!W90</f>
        <v>0</v>
      </c>
      <c r="O90">
        <f>Isa!W90</f>
        <v>0</v>
      </c>
      <c r="P90">
        <f>Trops!W90</f>
        <v>0</v>
      </c>
    </row>
    <row r="91" spans="1:16" ht="14.25" customHeight="1" x14ac:dyDescent="0.3">
      <c r="A91" s="2">
        <v>89</v>
      </c>
      <c r="B91" s="2">
        <f>IF('Tabela de Jogos'!C91&lt;&gt;"",Rodrigo!W91+B90,B90)</f>
        <v>96</v>
      </c>
      <c r="C91" s="2">
        <f>IF('Tabela de Jogos'!C91&lt;&gt;"",Arthur!W91+C90,C90)</f>
        <v>107</v>
      </c>
      <c r="D91" s="2">
        <f>IF('Tabela de Jogos'!C91&lt;&gt;"",Dudu!W91+D90,D90)</f>
        <v>96</v>
      </c>
      <c r="E91" s="2">
        <f>IF('Tabela de Jogos'!C91&lt;&gt;"",Carol!W91+E90,E90)</f>
        <v>92</v>
      </c>
      <c r="F91" s="2">
        <f>IF('Tabela de Jogos'!C91&lt;&gt;"",Ana!W91+F90,F90)</f>
        <v>123</v>
      </c>
      <c r="G91" s="2">
        <f>IF('Tabela de Jogos'!C91&lt;&gt;"",Isa!W91+G90,G90)</f>
        <v>105</v>
      </c>
      <c r="H91" s="2">
        <f>IF('Tabela de Jogos'!C91&lt;&gt;"",Trops!W91+H90,H90)</f>
        <v>83</v>
      </c>
      <c r="J91">
        <f>Rodrigo!W91</f>
        <v>0</v>
      </c>
      <c r="K91">
        <f>Arthur!W91</f>
        <v>0</v>
      </c>
      <c r="L91">
        <f>Dudu!W91</f>
        <v>0</v>
      </c>
      <c r="M91">
        <f>Carol!W91</f>
        <v>0</v>
      </c>
      <c r="N91">
        <f>Ana!W91</f>
        <v>0</v>
      </c>
      <c r="O91">
        <f>Isa!W91</f>
        <v>0</v>
      </c>
      <c r="P91">
        <f>Trops!W91</f>
        <v>0</v>
      </c>
    </row>
    <row r="92" spans="1:16" ht="14.25" customHeight="1" x14ac:dyDescent="0.3">
      <c r="A92" s="2">
        <v>90</v>
      </c>
      <c r="B92" s="2">
        <f>IF('Tabela de Jogos'!C92&lt;&gt;"",Rodrigo!W92+B91,B91)</f>
        <v>96</v>
      </c>
      <c r="C92" s="2">
        <f>IF('Tabela de Jogos'!C92&lt;&gt;"",Arthur!W92+C91,C91)</f>
        <v>107</v>
      </c>
      <c r="D92" s="2">
        <f>IF('Tabela de Jogos'!C92&lt;&gt;"",Dudu!W92+D91,D91)</f>
        <v>96</v>
      </c>
      <c r="E92" s="2">
        <f>IF('Tabela de Jogos'!C92&lt;&gt;"",Carol!W92+E91,E91)</f>
        <v>92</v>
      </c>
      <c r="F92" s="2">
        <f>IF('Tabela de Jogos'!C92&lt;&gt;"",Ana!W92+F91,F91)</f>
        <v>123</v>
      </c>
      <c r="G92" s="2">
        <f>IF('Tabela de Jogos'!C92&lt;&gt;"",Isa!W92+G91,G91)</f>
        <v>105</v>
      </c>
      <c r="H92" s="2">
        <f>IF('Tabela de Jogos'!C92&lt;&gt;"",Trops!W92+H91,H91)</f>
        <v>83</v>
      </c>
      <c r="J92">
        <f>Rodrigo!W92</f>
        <v>0</v>
      </c>
      <c r="K92">
        <f>Arthur!W92</f>
        <v>0</v>
      </c>
      <c r="L92">
        <f>Dudu!W92</f>
        <v>0</v>
      </c>
      <c r="M92">
        <f>Carol!W92</f>
        <v>0</v>
      </c>
      <c r="N92">
        <f>Ana!W92</f>
        <v>0</v>
      </c>
      <c r="O92">
        <f>Isa!W92</f>
        <v>0</v>
      </c>
      <c r="P92">
        <f>Trops!W92</f>
        <v>0</v>
      </c>
    </row>
    <row r="93" spans="1:16" ht="14.25" customHeight="1" x14ac:dyDescent="0.3">
      <c r="A93" s="2">
        <v>91</v>
      </c>
      <c r="B93" s="2">
        <f>IF('Tabela de Jogos'!C93&lt;&gt;"",Rodrigo!W93+B92,B92)</f>
        <v>96</v>
      </c>
      <c r="C93" s="2">
        <f>IF('Tabela de Jogos'!C93&lt;&gt;"",Arthur!W93+C92,C92)</f>
        <v>107</v>
      </c>
      <c r="D93" s="2">
        <f>IF('Tabela de Jogos'!C93&lt;&gt;"",Dudu!W93+D92,D92)</f>
        <v>96</v>
      </c>
      <c r="E93" s="2">
        <f>IF('Tabela de Jogos'!C93&lt;&gt;"",Carol!W93+E92,E92)</f>
        <v>92</v>
      </c>
      <c r="F93" s="2">
        <f>IF('Tabela de Jogos'!C93&lt;&gt;"",Ana!W93+F92,F92)</f>
        <v>123</v>
      </c>
      <c r="G93" s="2">
        <f>IF('Tabela de Jogos'!C93&lt;&gt;"",Isa!W93+G92,G92)</f>
        <v>105</v>
      </c>
      <c r="H93" s="2">
        <f>IF('Tabela de Jogos'!C93&lt;&gt;"",Trops!W93+H92,H92)</f>
        <v>83</v>
      </c>
      <c r="J93">
        <f>Rodrigo!W93</f>
        <v>0</v>
      </c>
      <c r="K93">
        <f>Arthur!W93</f>
        <v>0</v>
      </c>
      <c r="L93">
        <f>Dudu!W93</f>
        <v>0</v>
      </c>
      <c r="M93">
        <f>Carol!W93</f>
        <v>0</v>
      </c>
      <c r="N93">
        <f>Ana!W93</f>
        <v>0</v>
      </c>
      <c r="O93">
        <f>Isa!W93</f>
        <v>0</v>
      </c>
      <c r="P93">
        <f>Trops!W93</f>
        <v>0</v>
      </c>
    </row>
    <row r="94" spans="1:16" ht="14.25" customHeight="1" x14ac:dyDescent="0.3">
      <c r="A94" s="2">
        <v>92</v>
      </c>
      <c r="B94" s="2">
        <f>IF('Tabela de Jogos'!C94&lt;&gt;"",Rodrigo!W94+B93,B93)</f>
        <v>96</v>
      </c>
      <c r="C94" s="2">
        <f>IF('Tabela de Jogos'!C94&lt;&gt;"",Arthur!W94+C93,C93)</f>
        <v>107</v>
      </c>
      <c r="D94" s="2">
        <f>IF('Tabela de Jogos'!C94&lt;&gt;"",Dudu!W94+D93,D93)</f>
        <v>96</v>
      </c>
      <c r="E94" s="2">
        <f>IF('Tabela de Jogos'!C94&lt;&gt;"",Carol!W94+E93,E93)</f>
        <v>92</v>
      </c>
      <c r="F94" s="2">
        <f>IF('Tabela de Jogos'!C94&lt;&gt;"",Ana!W94+F93,F93)</f>
        <v>123</v>
      </c>
      <c r="G94" s="2">
        <f>IF('Tabela de Jogos'!C94&lt;&gt;"",Isa!W94+G93,G93)</f>
        <v>105</v>
      </c>
      <c r="H94" s="2">
        <f>IF('Tabela de Jogos'!C94&lt;&gt;"",Trops!W94+H93,H93)</f>
        <v>83</v>
      </c>
      <c r="J94">
        <f>Rodrigo!W94</f>
        <v>0</v>
      </c>
      <c r="K94">
        <f>Arthur!W94</f>
        <v>0</v>
      </c>
      <c r="L94">
        <f>Dudu!W94</f>
        <v>0</v>
      </c>
      <c r="M94">
        <f>Carol!W94</f>
        <v>0</v>
      </c>
      <c r="N94">
        <f>Ana!W94</f>
        <v>0</v>
      </c>
      <c r="O94">
        <f>Isa!W94</f>
        <v>0</v>
      </c>
      <c r="P94">
        <f>Trops!W94</f>
        <v>0</v>
      </c>
    </row>
    <row r="95" spans="1:16" ht="14.25" customHeight="1" x14ac:dyDescent="0.3">
      <c r="A95" s="2">
        <v>93</v>
      </c>
      <c r="B95" s="2">
        <f>IF('Tabela de Jogos'!C95&lt;&gt;"",Rodrigo!W95+B94,B94)</f>
        <v>96</v>
      </c>
      <c r="C95" s="2">
        <f>IF('Tabela de Jogos'!C95&lt;&gt;"",Arthur!W95+C94,C94)</f>
        <v>107</v>
      </c>
      <c r="D95" s="2">
        <f>IF('Tabela de Jogos'!C95&lt;&gt;"",Dudu!W95+D94,D94)</f>
        <v>96</v>
      </c>
      <c r="E95" s="2">
        <f>IF('Tabela de Jogos'!C95&lt;&gt;"",Carol!W95+E94,E94)</f>
        <v>92</v>
      </c>
      <c r="F95" s="2">
        <f>IF('Tabela de Jogos'!C95&lt;&gt;"",Ana!W95+F94,F94)</f>
        <v>123</v>
      </c>
      <c r="G95" s="2">
        <f>IF('Tabela de Jogos'!C95&lt;&gt;"",Isa!W95+G94,G94)</f>
        <v>105</v>
      </c>
      <c r="H95" s="2">
        <f>IF('Tabela de Jogos'!C95&lt;&gt;"",Trops!W95+H94,H94)</f>
        <v>83</v>
      </c>
      <c r="J95">
        <f>Rodrigo!W95</f>
        <v>0</v>
      </c>
      <c r="K95">
        <f>Arthur!W95</f>
        <v>0</v>
      </c>
      <c r="L95">
        <f>Dudu!W95</f>
        <v>0</v>
      </c>
      <c r="M95">
        <f>Carol!W95</f>
        <v>0</v>
      </c>
      <c r="N95">
        <f>Ana!W95</f>
        <v>0</v>
      </c>
      <c r="O95">
        <f>Isa!W95</f>
        <v>0</v>
      </c>
      <c r="P95">
        <f>Trops!W95</f>
        <v>0</v>
      </c>
    </row>
    <row r="96" spans="1:16" ht="14.25" customHeight="1" x14ac:dyDescent="0.3">
      <c r="A96" s="2">
        <v>94</v>
      </c>
      <c r="B96" s="2">
        <f>IF('Tabela de Jogos'!C96&lt;&gt;"",Rodrigo!W96+B95,B95)</f>
        <v>96</v>
      </c>
      <c r="C96" s="2">
        <f>IF('Tabela de Jogos'!C96&lt;&gt;"",Arthur!W96+C95,C95)</f>
        <v>107</v>
      </c>
      <c r="D96" s="2">
        <f>IF('Tabela de Jogos'!C96&lt;&gt;"",Dudu!W96+D95,D95)</f>
        <v>96</v>
      </c>
      <c r="E96" s="2">
        <f>IF('Tabela de Jogos'!C96&lt;&gt;"",Carol!W96+E95,E95)</f>
        <v>92</v>
      </c>
      <c r="F96" s="2">
        <f>IF('Tabela de Jogos'!C96&lt;&gt;"",Ana!W96+F95,F95)</f>
        <v>123</v>
      </c>
      <c r="G96" s="2">
        <f>IF('Tabela de Jogos'!C96&lt;&gt;"",Isa!W96+G95,G95)</f>
        <v>105</v>
      </c>
      <c r="H96" s="2">
        <f>IF('Tabela de Jogos'!C96&lt;&gt;"",Trops!W96+H95,H95)</f>
        <v>83</v>
      </c>
      <c r="J96">
        <f>Rodrigo!W96</f>
        <v>0</v>
      </c>
      <c r="K96">
        <f>Arthur!W96</f>
        <v>0</v>
      </c>
      <c r="L96">
        <f>Dudu!W96</f>
        <v>0</v>
      </c>
      <c r="M96">
        <f>Carol!W96</f>
        <v>0</v>
      </c>
      <c r="N96">
        <f>Ana!W96</f>
        <v>0</v>
      </c>
      <c r="O96">
        <f>Isa!W96</f>
        <v>0</v>
      </c>
      <c r="P96">
        <f>Trops!W96</f>
        <v>0</v>
      </c>
    </row>
    <row r="97" spans="1:16" ht="14.25" customHeight="1" x14ac:dyDescent="0.3">
      <c r="A97" s="2">
        <v>95</v>
      </c>
      <c r="B97" s="2">
        <f>IF('Tabela de Jogos'!C97&lt;&gt;"",Rodrigo!W97+B96,B96)</f>
        <v>96</v>
      </c>
      <c r="C97" s="2">
        <f>IF('Tabela de Jogos'!C97&lt;&gt;"",Arthur!W97+C96,C96)</f>
        <v>107</v>
      </c>
      <c r="D97" s="2">
        <f>IF('Tabela de Jogos'!C97&lt;&gt;"",Dudu!W97+D96,D96)</f>
        <v>96</v>
      </c>
      <c r="E97" s="2">
        <f>IF('Tabela de Jogos'!C97&lt;&gt;"",Carol!W97+E96,E96)</f>
        <v>92</v>
      </c>
      <c r="F97" s="2">
        <f>IF('Tabela de Jogos'!C97&lt;&gt;"",Ana!W97+F96,F96)</f>
        <v>123</v>
      </c>
      <c r="G97" s="2">
        <f>IF('Tabela de Jogos'!C97&lt;&gt;"",Isa!W97+G96,G96)</f>
        <v>105</v>
      </c>
      <c r="H97" s="2">
        <f>IF('Tabela de Jogos'!C97&lt;&gt;"",Trops!W97+H96,H96)</f>
        <v>83</v>
      </c>
      <c r="J97">
        <f>Rodrigo!W97</f>
        <v>0</v>
      </c>
      <c r="K97">
        <f>Arthur!W97</f>
        <v>0</v>
      </c>
      <c r="L97">
        <f>Dudu!W97</f>
        <v>0</v>
      </c>
      <c r="M97">
        <f>Carol!W97</f>
        <v>0</v>
      </c>
      <c r="N97">
        <f>Ana!W97</f>
        <v>0</v>
      </c>
      <c r="O97">
        <f>Isa!W97</f>
        <v>0</v>
      </c>
      <c r="P97">
        <f>Trops!W97</f>
        <v>0</v>
      </c>
    </row>
    <row r="98" spans="1:16" ht="14.25" customHeight="1" x14ac:dyDescent="0.3">
      <c r="A98" s="2">
        <v>96</v>
      </c>
      <c r="B98" s="2">
        <f>IF('Tabela de Jogos'!C98&lt;&gt;"",Rodrigo!W98+B97,B97)</f>
        <v>96</v>
      </c>
      <c r="C98" s="2">
        <f>IF('Tabela de Jogos'!C98&lt;&gt;"",Arthur!W98+C97,C97)</f>
        <v>107</v>
      </c>
      <c r="D98" s="2">
        <f>IF('Tabela de Jogos'!C98&lt;&gt;"",Dudu!W98+D97,D97)</f>
        <v>96</v>
      </c>
      <c r="E98" s="2">
        <f>IF('Tabela de Jogos'!C98&lt;&gt;"",Carol!W98+E97,E97)</f>
        <v>92</v>
      </c>
      <c r="F98" s="2">
        <f>IF('Tabela de Jogos'!C98&lt;&gt;"",Ana!W98+F97,F97)</f>
        <v>123</v>
      </c>
      <c r="G98" s="2">
        <f>IF('Tabela de Jogos'!C98&lt;&gt;"",Isa!W98+G97,G97)</f>
        <v>105</v>
      </c>
      <c r="H98" s="2">
        <f>IF('Tabela de Jogos'!C98&lt;&gt;"",Trops!W98+H97,H97)</f>
        <v>83</v>
      </c>
      <c r="J98">
        <f>Rodrigo!W98</f>
        <v>0</v>
      </c>
      <c r="K98">
        <f>Arthur!W98</f>
        <v>0</v>
      </c>
      <c r="L98">
        <f>Dudu!W98</f>
        <v>0</v>
      </c>
      <c r="M98">
        <f>Carol!W98</f>
        <v>0</v>
      </c>
      <c r="N98">
        <f>Ana!W98</f>
        <v>0</v>
      </c>
      <c r="O98">
        <f>Isa!W98</f>
        <v>0</v>
      </c>
      <c r="P98">
        <f>Trops!W98</f>
        <v>0</v>
      </c>
    </row>
    <row r="99" spans="1:16" ht="14.25" customHeight="1" x14ac:dyDescent="0.3">
      <c r="A99" s="2">
        <v>97</v>
      </c>
      <c r="B99" s="2">
        <f>IF('Tabela de Jogos'!C99&lt;&gt;"",Rodrigo!W99+B98,B98)</f>
        <v>96</v>
      </c>
      <c r="C99" s="2">
        <f>IF('Tabela de Jogos'!C99&lt;&gt;"",Arthur!W99+C98,C98)</f>
        <v>107</v>
      </c>
      <c r="D99" s="2">
        <f>IF('Tabela de Jogos'!C99&lt;&gt;"",Dudu!W99+D98,D98)</f>
        <v>96</v>
      </c>
      <c r="E99" s="2">
        <f>IF('Tabela de Jogos'!C99&lt;&gt;"",Carol!W99+E98,E98)</f>
        <v>92</v>
      </c>
      <c r="F99" s="2">
        <f>IF('Tabela de Jogos'!C99&lt;&gt;"",Ana!W99+F98,F98)</f>
        <v>123</v>
      </c>
      <c r="G99" s="2">
        <f>IF('Tabela de Jogos'!C99&lt;&gt;"",Isa!W99+G98,G98)</f>
        <v>105</v>
      </c>
      <c r="H99" s="2">
        <f>IF('Tabela de Jogos'!C99&lt;&gt;"",Trops!W99+H98,H98)</f>
        <v>83</v>
      </c>
      <c r="J99">
        <f>Rodrigo!W99</f>
        <v>0</v>
      </c>
      <c r="K99">
        <f>Arthur!W99</f>
        <v>0</v>
      </c>
      <c r="L99">
        <f>Dudu!W99</f>
        <v>0</v>
      </c>
      <c r="M99">
        <f>Carol!W99</f>
        <v>0</v>
      </c>
      <c r="N99">
        <f>Ana!W99</f>
        <v>0</v>
      </c>
      <c r="O99">
        <f>Isa!W99</f>
        <v>0</v>
      </c>
      <c r="P99">
        <f>Trops!W99</f>
        <v>0</v>
      </c>
    </row>
    <row r="100" spans="1:16" ht="14.25" customHeight="1" x14ac:dyDescent="0.3">
      <c r="A100" s="2">
        <v>98</v>
      </c>
      <c r="B100" s="2">
        <f>IF('Tabela de Jogos'!C100&lt;&gt;"",Rodrigo!W100+B99,B99)</f>
        <v>96</v>
      </c>
      <c r="C100" s="2">
        <f>IF('Tabela de Jogos'!C100&lt;&gt;"",Arthur!W100+C99,C99)</f>
        <v>107</v>
      </c>
      <c r="D100" s="2">
        <f>IF('Tabela de Jogos'!C100&lt;&gt;"",Dudu!W100+D99,D99)</f>
        <v>96</v>
      </c>
      <c r="E100" s="2">
        <f>IF('Tabela de Jogos'!C100&lt;&gt;"",Carol!W100+E99,E99)</f>
        <v>92</v>
      </c>
      <c r="F100" s="2">
        <f>IF('Tabela de Jogos'!C100&lt;&gt;"",Ana!W100+F99,F99)</f>
        <v>123</v>
      </c>
      <c r="G100" s="2">
        <f>IF('Tabela de Jogos'!C100&lt;&gt;"",Isa!W100+G99,G99)</f>
        <v>105</v>
      </c>
      <c r="H100" s="2">
        <f>IF('Tabela de Jogos'!C100&lt;&gt;"",Trops!W100+H99,H99)</f>
        <v>83</v>
      </c>
      <c r="J100">
        <f>Rodrigo!W100</f>
        <v>0</v>
      </c>
      <c r="K100">
        <f>Arthur!W100</f>
        <v>0</v>
      </c>
      <c r="L100">
        <f>Dudu!W100</f>
        <v>0</v>
      </c>
      <c r="M100">
        <f>Carol!W100</f>
        <v>0</v>
      </c>
      <c r="N100">
        <f>Ana!W100</f>
        <v>0</v>
      </c>
      <c r="O100">
        <f>Isa!W100</f>
        <v>0</v>
      </c>
      <c r="P100">
        <f>Trops!W100</f>
        <v>0</v>
      </c>
    </row>
    <row r="101" spans="1:16" ht="14.25" customHeight="1" x14ac:dyDescent="0.3">
      <c r="A101" s="2">
        <v>99</v>
      </c>
      <c r="B101" s="2">
        <f>IF('Tabela de Jogos'!C101&lt;&gt;"",Rodrigo!W101+B100,B100)</f>
        <v>96</v>
      </c>
      <c r="C101" s="2">
        <f>IF('Tabela de Jogos'!C101&lt;&gt;"",Arthur!W101+C100,C100)</f>
        <v>107</v>
      </c>
      <c r="D101" s="2">
        <f>IF('Tabela de Jogos'!C101&lt;&gt;"",Dudu!W101+D100,D100)</f>
        <v>96</v>
      </c>
      <c r="E101" s="2">
        <f>IF('Tabela de Jogos'!C101&lt;&gt;"",Carol!W101+E100,E100)</f>
        <v>92</v>
      </c>
      <c r="F101" s="2">
        <f>IF('Tabela de Jogos'!C101&lt;&gt;"",Ana!W101+F100,F100)</f>
        <v>123</v>
      </c>
      <c r="G101" s="2">
        <f>IF('Tabela de Jogos'!C101&lt;&gt;"",Isa!W101+G100,G100)</f>
        <v>105</v>
      </c>
      <c r="H101" s="2">
        <f>IF('Tabela de Jogos'!C101&lt;&gt;"",Trops!W101+H100,H100)</f>
        <v>83</v>
      </c>
      <c r="J101">
        <f>Rodrigo!W101</f>
        <v>0</v>
      </c>
      <c r="K101">
        <f>Arthur!W101</f>
        <v>0</v>
      </c>
      <c r="L101">
        <f>Dudu!W101</f>
        <v>0</v>
      </c>
      <c r="M101">
        <f>Carol!W101</f>
        <v>0</v>
      </c>
      <c r="N101">
        <f>Ana!W101</f>
        <v>0</v>
      </c>
      <c r="O101">
        <f>Isa!W101</f>
        <v>0</v>
      </c>
      <c r="P101">
        <f>Trops!W101</f>
        <v>0</v>
      </c>
    </row>
    <row r="102" spans="1:16" ht="14.25" customHeight="1" x14ac:dyDescent="0.3">
      <c r="A102" s="2">
        <v>100</v>
      </c>
      <c r="B102" s="2">
        <f>IF('Tabela de Jogos'!C102&lt;&gt;"",Rodrigo!W102+B101,B101)</f>
        <v>96</v>
      </c>
      <c r="C102" s="2">
        <f>IF('Tabela de Jogos'!C102&lt;&gt;"",Arthur!W102+C101,C101)</f>
        <v>107</v>
      </c>
      <c r="D102" s="2">
        <f>IF('Tabela de Jogos'!C102&lt;&gt;"",Dudu!W102+D101,D101)</f>
        <v>96</v>
      </c>
      <c r="E102" s="2">
        <f>IF('Tabela de Jogos'!C102&lt;&gt;"",Carol!W102+E101,E101)</f>
        <v>92</v>
      </c>
      <c r="F102" s="2">
        <f>IF('Tabela de Jogos'!C102&lt;&gt;"",Ana!W102+F101,F101)</f>
        <v>123</v>
      </c>
      <c r="G102" s="2">
        <f>IF('Tabela de Jogos'!C102&lt;&gt;"",Isa!W102+G101,G101)</f>
        <v>105</v>
      </c>
      <c r="H102" s="2">
        <f>IF('Tabela de Jogos'!C102&lt;&gt;"",Trops!W102+H101,H101)</f>
        <v>83</v>
      </c>
      <c r="J102">
        <f>Rodrigo!W102</f>
        <v>0</v>
      </c>
      <c r="K102">
        <f>Arthur!W102</f>
        <v>0</v>
      </c>
      <c r="L102">
        <f>Dudu!W102</f>
        <v>0</v>
      </c>
      <c r="M102">
        <f>Carol!W102</f>
        <v>0</v>
      </c>
      <c r="N102">
        <f>Ana!W102</f>
        <v>0</v>
      </c>
      <c r="O102">
        <f>Isa!W102</f>
        <v>0</v>
      </c>
      <c r="P102">
        <f>Trops!W102</f>
        <v>0</v>
      </c>
    </row>
    <row r="103" spans="1:16" ht="14.25" customHeight="1" x14ac:dyDescent="0.3">
      <c r="A103" s="2">
        <v>101</v>
      </c>
      <c r="B103" s="2">
        <f>IF('Tabela de Jogos'!C103&lt;&gt;"",Rodrigo!W103+B102,B102)</f>
        <v>96</v>
      </c>
      <c r="C103" s="2">
        <f>IF('Tabela de Jogos'!C103&lt;&gt;"",Arthur!W103+C102,C102)</f>
        <v>107</v>
      </c>
      <c r="D103" s="2">
        <f>IF('Tabela de Jogos'!C103&lt;&gt;"",Dudu!W103+D102,D102)</f>
        <v>96</v>
      </c>
      <c r="E103" s="2">
        <f>IF('Tabela de Jogos'!C103&lt;&gt;"",Carol!W103+E102,E102)</f>
        <v>92</v>
      </c>
      <c r="F103" s="2">
        <f>IF('Tabela de Jogos'!C103&lt;&gt;"",Ana!W103+F102,F102)</f>
        <v>123</v>
      </c>
      <c r="G103" s="2">
        <f>IF('Tabela de Jogos'!C103&lt;&gt;"",Isa!W103+G102,G102)</f>
        <v>105</v>
      </c>
      <c r="H103" s="2">
        <f>IF('Tabela de Jogos'!C103&lt;&gt;"",Trops!W103+H102,H102)</f>
        <v>83</v>
      </c>
      <c r="J103">
        <f>Rodrigo!W103</f>
        <v>0</v>
      </c>
      <c r="K103">
        <f>Arthur!W103</f>
        <v>0</v>
      </c>
      <c r="L103">
        <f>Dudu!W103</f>
        <v>0</v>
      </c>
      <c r="M103">
        <f>Carol!W103</f>
        <v>0</v>
      </c>
      <c r="N103">
        <f>Ana!W103</f>
        <v>0</v>
      </c>
      <c r="O103">
        <f>Isa!W103</f>
        <v>0</v>
      </c>
      <c r="P103">
        <f>Trops!W103</f>
        <v>0</v>
      </c>
    </row>
    <row r="104" spans="1:16" ht="14.25" customHeight="1" x14ac:dyDescent="0.3">
      <c r="A104" s="2">
        <v>102</v>
      </c>
      <c r="B104" s="2">
        <f>IF('Tabela de Jogos'!C104&lt;&gt;"",Rodrigo!W104+B103,B103)</f>
        <v>96</v>
      </c>
      <c r="C104" s="2">
        <f>IF('Tabela de Jogos'!C104&lt;&gt;"",Arthur!W104+C103,C103)</f>
        <v>107</v>
      </c>
      <c r="D104" s="2">
        <f>IF('Tabela de Jogos'!C104&lt;&gt;"",Dudu!W104+D103,D103)</f>
        <v>96</v>
      </c>
      <c r="E104" s="2">
        <f>IF('Tabela de Jogos'!C104&lt;&gt;"",Carol!W104+E103,E103)</f>
        <v>92</v>
      </c>
      <c r="F104" s="2">
        <f>IF('Tabela de Jogos'!C104&lt;&gt;"",Ana!W104+F103,F103)</f>
        <v>123</v>
      </c>
      <c r="G104" s="2">
        <f>IF('Tabela de Jogos'!C104&lt;&gt;"",Isa!W104+G103,G103)</f>
        <v>105</v>
      </c>
      <c r="H104" s="2">
        <f>IF('Tabela de Jogos'!C104&lt;&gt;"",Trops!W104+H103,H103)</f>
        <v>83</v>
      </c>
      <c r="J104">
        <f>Rodrigo!W104</f>
        <v>0</v>
      </c>
      <c r="K104">
        <f>Arthur!W104</f>
        <v>0</v>
      </c>
      <c r="L104">
        <f>Dudu!W104</f>
        <v>0</v>
      </c>
      <c r="M104">
        <f>Carol!W104</f>
        <v>0</v>
      </c>
      <c r="N104">
        <f>Ana!W104</f>
        <v>0</v>
      </c>
      <c r="O104">
        <f>Isa!W104</f>
        <v>0</v>
      </c>
      <c r="P104">
        <f>Trops!W104</f>
        <v>0</v>
      </c>
    </row>
    <row r="105" spans="1:16" ht="14.25" customHeight="1" x14ac:dyDescent="0.3">
      <c r="A105" s="2">
        <v>103</v>
      </c>
      <c r="B105" s="2">
        <f>IF('Tabela de Jogos'!C105&lt;&gt;"",Rodrigo!W105+B104,B104)</f>
        <v>96</v>
      </c>
      <c r="C105" s="2">
        <f>IF('Tabela de Jogos'!C105&lt;&gt;"",Arthur!W105+C104,C104)</f>
        <v>107</v>
      </c>
      <c r="D105" s="2">
        <f>IF('Tabela de Jogos'!C105&lt;&gt;"",Dudu!W105+D104,D104)</f>
        <v>96</v>
      </c>
      <c r="E105" s="2">
        <f>IF('Tabela de Jogos'!C105&lt;&gt;"",Carol!W105+E104,E104)</f>
        <v>92</v>
      </c>
      <c r="F105" s="2">
        <f>IF('Tabela de Jogos'!C105&lt;&gt;"",Ana!W105+F104,F104)</f>
        <v>123</v>
      </c>
      <c r="G105" s="2">
        <f>IF('Tabela de Jogos'!C105&lt;&gt;"",Isa!W105+G104,G104)</f>
        <v>105</v>
      </c>
      <c r="H105" s="2">
        <f>IF('Tabela de Jogos'!C105&lt;&gt;"",Trops!W105+H104,H104)</f>
        <v>83</v>
      </c>
      <c r="J105">
        <f>Rodrigo!W105</f>
        <v>0</v>
      </c>
      <c r="K105">
        <f>Arthur!W105</f>
        <v>0</v>
      </c>
      <c r="L105">
        <f>Dudu!W105</f>
        <v>0</v>
      </c>
      <c r="M105">
        <f>Carol!W105</f>
        <v>0</v>
      </c>
      <c r="N105">
        <f>Ana!W105</f>
        <v>0</v>
      </c>
      <c r="O105">
        <f>Isa!W105</f>
        <v>0</v>
      </c>
      <c r="P105">
        <f>Trops!W105</f>
        <v>0</v>
      </c>
    </row>
    <row r="106" spans="1:16" ht="14.25" customHeight="1" x14ac:dyDescent="0.3">
      <c r="A106" s="2">
        <v>104</v>
      </c>
      <c r="B106" s="2">
        <f>IF('Tabela de Jogos'!C106&lt;&gt;"",Rodrigo!W106+B105,B105)</f>
        <v>96</v>
      </c>
      <c r="C106" s="2">
        <f>IF('Tabela de Jogos'!C106&lt;&gt;"",Arthur!W106+C105,C105)</f>
        <v>107</v>
      </c>
      <c r="D106" s="2">
        <f>IF('Tabela de Jogos'!C106&lt;&gt;"",Dudu!W106+D105,D105)</f>
        <v>96</v>
      </c>
      <c r="E106" s="2">
        <f>IF('Tabela de Jogos'!C106&lt;&gt;"",Carol!W106+E105,E105)</f>
        <v>92</v>
      </c>
      <c r="F106" s="2">
        <f>IF('Tabela de Jogos'!C106&lt;&gt;"",Ana!W106+F105,F105)</f>
        <v>123</v>
      </c>
      <c r="G106" s="2">
        <f>IF('Tabela de Jogos'!C106&lt;&gt;"",Isa!W106+G105,G105)</f>
        <v>105</v>
      </c>
      <c r="H106" s="2">
        <f>IF('Tabela de Jogos'!C106&lt;&gt;"",Trops!W106+H105,H105)</f>
        <v>83</v>
      </c>
      <c r="J106">
        <f>Rodrigo!W106</f>
        <v>0</v>
      </c>
      <c r="K106">
        <f>Arthur!W106</f>
        <v>0</v>
      </c>
      <c r="L106">
        <f>Dudu!W106</f>
        <v>0</v>
      </c>
      <c r="M106">
        <f>Carol!W106</f>
        <v>0</v>
      </c>
      <c r="N106">
        <f>Ana!W106</f>
        <v>0</v>
      </c>
      <c r="O106">
        <f>Isa!W106</f>
        <v>0</v>
      </c>
      <c r="P106">
        <f>Trops!W106</f>
        <v>0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Tabela de Jogos</vt:lpstr>
      <vt:lpstr>Classificação</vt:lpstr>
      <vt:lpstr>Rodrigo</vt:lpstr>
      <vt:lpstr>Arthur</vt:lpstr>
      <vt:lpstr>Dudu</vt:lpstr>
      <vt:lpstr>Carol</vt:lpstr>
      <vt:lpstr>Ana</vt:lpstr>
      <vt:lpstr>Isa</vt:lpstr>
      <vt:lpstr>Trops</vt:lpstr>
      <vt:lpstr>Pontuação por rodada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Sauter</dc:creator>
  <cp:keywords/>
  <dc:description/>
  <cp:lastModifiedBy>Rodrigo Sauter</cp:lastModifiedBy>
  <cp:revision/>
  <dcterms:created xsi:type="dcterms:W3CDTF">2026-06-10T15:12:58Z</dcterms:created>
  <dcterms:modified xsi:type="dcterms:W3CDTF">2026-06-26T01:30:00Z</dcterms:modified>
  <cp:category/>
  <cp:contentStatus/>
</cp:coreProperties>
</file>