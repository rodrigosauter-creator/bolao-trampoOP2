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89620484-B406-4FFA-B45B-D7DBECCFB7A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60" i="10" l="1"/>
  <c r="W52" i="9" a="1"/>
  <c r="W53" i="9" a="1"/>
  <c r="W54" i="9" a="1"/>
  <c r="L41" i="10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C56" i="9"/>
  <c r="B56" i="9"/>
  <c r="A56" i="9"/>
  <c r="O55" i="9"/>
  <c r="F55" i="9"/>
  <c r="E55" i="9"/>
  <c r="C55" i="9"/>
  <c r="B55" i="9"/>
  <c r="A55" i="9"/>
  <c r="O54" i="9"/>
  <c r="F54" i="9"/>
  <c r="E54" i="9"/>
  <c r="C54" i="9"/>
  <c r="B54" i="9"/>
  <c r="A54" i="9"/>
  <c r="O53" i="9"/>
  <c r="F53" i="9"/>
  <c r="E53" i="9"/>
  <c r="C53" i="9"/>
  <c r="B53" i="9"/>
  <c r="A53" i="9"/>
  <c r="O52" i="9"/>
  <c r="F52" i="9"/>
  <c r="E52" i="9"/>
  <c r="C52" i="9"/>
  <c r="B52" i="9"/>
  <c r="A52" i="9"/>
  <c r="O51" i="9"/>
  <c r="F51" i="9"/>
  <c r="E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C56" i="8"/>
  <c r="B56" i="8"/>
  <c r="A56" i="8"/>
  <c r="O55" i="8"/>
  <c r="F55" i="8"/>
  <c r="E55" i="8"/>
  <c r="C55" i="8"/>
  <c r="B55" i="8"/>
  <c r="A55" i="8"/>
  <c r="O54" i="8"/>
  <c r="F54" i="8"/>
  <c r="E54" i="8"/>
  <c r="C54" i="8"/>
  <c r="B54" i="8"/>
  <c r="A54" i="8"/>
  <c r="O53" i="8"/>
  <c r="F53" i="8"/>
  <c r="E53" i="8"/>
  <c r="C53" i="8"/>
  <c r="B53" i="8"/>
  <c r="A53" i="8"/>
  <c r="O52" i="8"/>
  <c r="F52" i="8"/>
  <c r="E52" i="8"/>
  <c r="C52" i="8"/>
  <c r="B52" i="8"/>
  <c r="A52" i="8"/>
  <c r="O51" i="8"/>
  <c r="F51" i="8"/>
  <c r="E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C56" i="7"/>
  <c r="B56" i="7"/>
  <c r="A56" i="7"/>
  <c r="O55" i="7"/>
  <c r="F55" i="7"/>
  <c r="E55" i="7"/>
  <c r="C55" i="7"/>
  <c r="B55" i="7"/>
  <c r="A55" i="7"/>
  <c r="O54" i="7"/>
  <c r="F54" i="7"/>
  <c r="E54" i="7"/>
  <c r="C54" i="7"/>
  <c r="B54" i="7"/>
  <c r="A54" i="7"/>
  <c r="O53" i="7"/>
  <c r="F53" i="7"/>
  <c r="E53" i="7"/>
  <c r="C53" i="7"/>
  <c r="B53" i="7"/>
  <c r="A53" i="7"/>
  <c r="O52" i="7"/>
  <c r="F52" i="7"/>
  <c r="E52" i="7"/>
  <c r="C52" i="7"/>
  <c r="B52" i="7"/>
  <c r="A52" i="7"/>
  <c r="O51" i="7"/>
  <c r="F51" i="7"/>
  <c r="E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C56" i="6"/>
  <c r="B56" i="6"/>
  <c r="A56" i="6"/>
  <c r="O55" i="6"/>
  <c r="F55" i="6"/>
  <c r="E55" i="6"/>
  <c r="C55" i="6"/>
  <c r="B55" i="6"/>
  <c r="A55" i="6"/>
  <c r="O54" i="6"/>
  <c r="F54" i="6"/>
  <c r="E54" i="6"/>
  <c r="C54" i="6"/>
  <c r="B54" i="6"/>
  <c r="A54" i="6"/>
  <c r="O53" i="6"/>
  <c r="F53" i="6"/>
  <c r="E53" i="6"/>
  <c r="C53" i="6"/>
  <c r="B53" i="6"/>
  <c r="A53" i="6"/>
  <c r="O52" i="6"/>
  <c r="F52" i="6"/>
  <c r="E52" i="6"/>
  <c r="C52" i="6"/>
  <c r="B52" i="6"/>
  <c r="A52" i="6"/>
  <c r="O51" i="6"/>
  <c r="F51" i="6"/>
  <c r="E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C56" i="5"/>
  <c r="B56" i="5"/>
  <c r="A56" i="5"/>
  <c r="O55" i="5"/>
  <c r="F55" i="5"/>
  <c r="E55" i="5"/>
  <c r="C55" i="5"/>
  <c r="B55" i="5"/>
  <c r="A55" i="5"/>
  <c r="O54" i="5"/>
  <c r="F54" i="5"/>
  <c r="E54" i="5"/>
  <c r="C54" i="5"/>
  <c r="B54" i="5"/>
  <c r="A54" i="5"/>
  <c r="O53" i="5"/>
  <c r="F53" i="5"/>
  <c r="E53" i="5"/>
  <c r="C53" i="5"/>
  <c r="B53" i="5"/>
  <c r="A53" i="5"/>
  <c r="O52" i="5"/>
  <c r="F52" i="5"/>
  <c r="E52" i="5"/>
  <c r="C52" i="5"/>
  <c r="B52" i="5"/>
  <c r="A52" i="5"/>
  <c r="O51" i="5"/>
  <c r="F51" i="5"/>
  <c r="E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N61" i="10"/>
  <c r="L61" i="10"/>
  <c r="J61" i="10"/>
  <c r="I61" i="10"/>
  <c r="G61" i="10"/>
  <c r="N60" i="10"/>
  <c r="J60" i="10"/>
  <c r="I60" i="10"/>
  <c r="G60" i="10"/>
  <c r="N59" i="10"/>
  <c r="L59" i="10"/>
  <c r="J59" i="10"/>
  <c r="I59" i="10"/>
  <c r="N58" i="10"/>
  <c r="L58" i="10"/>
  <c r="J58" i="10"/>
  <c r="I58" i="10"/>
  <c r="N57" i="10"/>
  <c r="L57" i="10"/>
  <c r="J57" i="10"/>
  <c r="I57" i="10"/>
  <c r="N56" i="10"/>
  <c r="J56" i="10"/>
  <c r="I56" i="10"/>
  <c r="N55" i="10"/>
  <c r="L55" i="10"/>
  <c r="J55" i="10"/>
  <c r="I55" i="10"/>
  <c r="N54" i="10"/>
  <c r="L54" i="10"/>
  <c r="J54" i="10"/>
  <c r="I54" i="10"/>
  <c r="N53" i="10"/>
  <c r="L53" i="10"/>
  <c r="J53" i="10"/>
  <c r="I53" i="10"/>
  <c r="N52" i="10"/>
  <c r="L52" i="10"/>
  <c r="J52" i="10"/>
  <c r="I52" i="10"/>
  <c r="N51" i="10"/>
  <c r="L51" i="10"/>
  <c r="J51" i="10"/>
  <c r="I51" i="10"/>
  <c r="N50" i="10"/>
  <c r="L50" i="10"/>
  <c r="J50" i="10"/>
  <c r="I50" i="10"/>
  <c r="N49" i="10"/>
  <c r="L49" i="10"/>
  <c r="J49" i="10"/>
  <c r="I49" i="10"/>
  <c r="N48" i="10"/>
  <c r="L48" i="10"/>
  <c r="J48" i="10"/>
  <c r="I48" i="10"/>
  <c r="G48" i="10"/>
  <c r="N47" i="10"/>
  <c r="L47" i="10"/>
  <c r="J47" i="10"/>
  <c r="I47" i="10"/>
  <c r="N46" i="10"/>
  <c r="L46" i="10"/>
  <c r="J46" i="10"/>
  <c r="I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I58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N58" i="9"/>
  <c r="L58" i="9"/>
  <c r="J58" i="9"/>
  <c r="I58" i="9"/>
  <c r="N57" i="9"/>
  <c r="L57" i="9"/>
  <c r="J57" i="9"/>
  <c r="I57" i="9"/>
  <c r="N56" i="9"/>
  <c r="J56" i="9"/>
  <c r="I56" i="9"/>
  <c r="N55" i="9"/>
  <c r="J55" i="9"/>
  <c r="I55" i="9"/>
  <c r="N54" i="9"/>
  <c r="J54" i="9"/>
  <c r="I54" i="9"/>
  <c r="N53" i="9"/>
  <c r="J53" i="9"/>
  <c r="I53" i="9"/>
  <c r="N52" i="9"/>
  <c r="J52" i="9"/>
  <c r="I52" i="9"/>
  <c r="N51" i="9"/>
  <c r="J51" i="9"/>
  <c r="I51" i="9"/>
  <c r="N50" i="9"/>
  <c r="L50" i="9"/>
  <c r="J50" i="9"/>
  <c r="I50" i="9"/>
  <c r="N49" i="9"/>
  <c r="L49" i="9"/>
  <c r="J49" i="9"/>
  <c r="I49" i="9"/>
  <c r="N48" i="9"/>
  <c r="L48" i="9"/>
  <c r="J48" i="9"/>
  <c r="I48" i="9"/>
  <c r="G48" i="9"/>
  <c r="N47" i="9"/>
  <c r="L47" i="9"/>
  <c r="J47" i="9"/>
  <c r="I47" i="9"/>
  <c r="N46" i="9"/>
  <c r="L46" i="9"/>
  <c r="J46" i="9"/>
  <c r="I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N61" i="8"/>
  <c r="L61" i="8"/>
  <c r="J61" i="8"/>
  <c r="I61" i="8"/>
  <c r="G61" i="8"/>
  <c r="N60" i="8"/>
  <c r="L60" i="8"/>
  <c r="J60" i="8"/>
  <c r="I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J56" i="8"/>
  <c r="I56" i="8"/>
  <c r="N55" i="8"/>
  <c r="J55" i="8"/>
  <c r="I55" i="8"/>
  <c r="N54" i="8"/>
  <c r="J54" i="8"/>
  <c r="I54" i="8"/>
  <c r="N53" i="8"/>
  <c r="J53" i="8"/>
  <c r="I53" i="8"/>
  <c r="N52" i="8"/>
  <c r="J52" i="8"/>
  <c r="I52" i="8"/>
  <c r="N51" i="8"/>
  <c r="J51" i="8"/>
  <c r="I51" i="8"/>
  <c r="N50" i="8"/>
  <c r="L50" i="8"/>
  <c r="J50" i="8"/>
  <c r="I50" i="8"/>
  <c r="N49" i="8"/>
  <c r="L49" i="8"/>
  <c r="J49" i="8"/>
  <c r="I49" i="8"/>
  <c r="N48" i="8"/>
  <c r="L48" i="8"/>
  <c r="J48" i="8"/>
  <c r="I48" i="8"/>
  <c r="G48" i="8"/>
  <c r="N47" i="8"/>
  <c r="L47" i="8"/>
  <c r="J47" i="8"/>
  <c r="I47" i="8"/>
  <c r="N46" i="8"/>
  <c r="L46" i="8"/>
  <c r="J46" i="8"/>
  <c r="I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N61" i="7"/>
  <c r="L61" i="7"/>
  <c r="J61" i="7"/>
  <c r="I61" i="7"/>
  <c r="G61" i="7"/>
  <c r="N60" i="7"/>
  <c r="L60" i="7"/>
  <c r="J60" i="7"/>
  <c r="I60" i="7"/>
  <c r="N59" i="7"/>
  <c r="L59" i="7"/>
  <c r="J59" i="7"/>
  <c r="I59" i="7"/>
  <c r="N58" i="7"/>
  <c r="L58" i="7"/>
  <c r="J58" i="7"/>
  <c r="I58" i="7"/>
  <c r="N57" i="7"/>
  <c r="L57" i="7"/>
  <c r="J57" i="7"/>
  <c r="I57" i="7"/>
  <c r="N56" i="7"/>
  <c r="J56" i="7"/>
  <c r="I56" i="7"/>
  <c r="N55" i="7"/>
  <c r="J55" i="7"/>
  <c r="I55" i="7"/>
  <c r="N54" i="7"/>
  <c r="J54" i="7"/>
  <c r="I54" i="7"/>
  <c r="N53" i="7"/>
  <c r="J53" i="7"/>
  <c r="I53" i="7"/>
  <c r="N52" i="7"/>
  <c r="J52" i="7"/>
  <c r="I52" i="7"/>
  <c r="N51" i="7"/>
  <c r="J51" i="7"/>
  <c r="I51" i="7"/>
  <c r="N50" i="7"/>
  <c r="L50" i="7"/>
  <c r="J50" i="7"/>
  <c r="I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N46" i="7"/>
  <c r="L46" i="7"/>
  <c r="J46" i="7"/>
  <c r="I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N61" i="5"/>
  <c r="L61" i="5"/>
  <c r="J61" i="5"/>
  <c r="I61" i="5"/>
  <c r="G61" i="5"/>
  <c r="J60" i="5"/>
  <c r="N59" i="5"/>
  <c r="L59" i="5"/>
  <c r="J59" i="5"/>
  <c r="I59" i="5"/>
  <c r="I58" i="5"/>
  <c r="N57" i="5"/>
  <c r="L57" i="5"/>
  <c r="J57" i="5"/>
  <c r="I57" i="5"/>
  <c r="I56" i="5"/>
  <c r="N55" i="5"/>
  <c r="J55" i="5"/>
  <c r="I55" i="5"/>
  <c r="I54" i="5"/>
  <c r="I53" i="5"/>
  <c r="J52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N59" i="6"/>
  <c r="L59" i="6"/>
  <c r="J59" i="6"/>
  <c r="I59" i="6"/>
  <c r="G59" i="6"/>
  <c r="N58" i="6"/>
  <c r="L58" i="6"/>
  <c r="J58" i="6"/>
  <c r="I58" i="6"/>
  <c r="N57" i="6"/>
  <c r="L57" i="6"/>
  <c r="J57" i="6"/>
  <c r="I57" i="6"/>
  <c r="N56" i="6"/>
  <c r="J56" i="6"/>
  <c r="I56" i="6"/>
  <c r="N55" i="6"/>
  <c r="J55" i="6"/>
  <c r="I55" i="6"/>
  <c r="N54" i="6"/>
  <c r="J54" i="6"/>
  <c r="I54" i="6"/>
  <c r="N53" i="6"/>
  <c r="J53" i="6"/>
  <c r="I53" i="6"/>
  <c r="N52" i="6"/>
  <c r="J52" i="6"/>
  <c r="I52" i="6"/>
  <c r="N51" i="6"/>
  <c r="J51" i="6"/>
  <c r="I51" i="6"/>
  <c r="N50" i="6"/>
  <c r="L50" i="6"/>
  <c r="J50" i="6"/>
  <c r="I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N46" i="6"/>
  <c r="L46" i="6"/>
  <c r="J46" i="6"/>
  <c r="I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N56" i="5"/>
  <c r="J56" i="5"/>
  <c r="N54" i="5"/>
  <c r="J54" i="5"/>
  <c r="N53" i="5"/>
  <c r="J53" i="5"/>
  <c r="N52" i="5"/>
  <c r="I52" i="5"/>
  <c r="N51" i="5"/>
  <c r="J51" i="5"/>
  <c r="I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N46" i="5"/>
  <c r="L46" i="5"/>
  <c r="J46" i="5"/>
  <c r="I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N56" i="4"/>
  <c r="J56" i="4"/>
  <c r="I56" i="4"/>
  <c r="N55" i="4"/>
  <c r="J55" i="4"/>
  <c r="I55" i="4"/>
  <c r="N54" i="4"/>
  <c r="J54" i="4"/>
  <c r="I54" i="4"/>
  <c r="N53" i="4"/>
  <c r="J53" i="4"/>
  <c r="I53" i="4"/>
  <c r="N52" i="4"/>
  <c r="J52" i="4"/>
  <c r="I52" i="4"/>
  <c r="N51" i="4"/>
  <c r="J51" i="4"/>
  <c r="I51" i="4"/>
  <c r="N50" i="4"/>
  <c r="L50" i="4"/>
  <c r="J50" i="4"/>
  <c r="I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N46" i="4"/>
  <c r="L46" i="4"/>
  <c r="J46" i="4"/>
  <c r="I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1" i="10"/>
  <c r="R61" i="10"/>
  <c r="Q61" i="10"/>
  <c r="S48" i="10"/>
  <c r="R48" i="10"/>
  <c r="Q48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1" i="9"/>
  <c r="R61" i="9"/>
  <c r="Q61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48" i="9"/>
  <c r="R48" i="9"/>
  <c r="Q48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1" i="8"/>
  <c r="R61" i="8"/>
  <c r="Q61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48" i="8"/>
  <c r="R48" i="8"/>
  <c r="Q48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1" i="5"/>
  <c r="Q61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49" i="7"/>
  <c r="R49" i="7"/>
  <c r="Q49" i="7"/>
  <c r="S48" i="7"/>
  <c r="R48" i="7"/>
  <c r="Q48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1" i="6"/>
  <c r="R61" i="6"/>
  <c r="Q61" i="6"/>
  <c r="S49" i="6"/>
  <c r="R49" i="6"/>
  <c r="Q49" i="6"/>
  <c r="S48" i="6"/>
  <c r="R48" i="6"/>
  <c r="Q48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T89" i="4"/>
  <c r="Q6" i="6"/>
  <c r="R5" i="6"/>
  <c r="R4" i="6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1" i="4"/>
  <c r="R61" i="4"/>
  <c r="Q61" i="4"/>
  <c r="S49" i="4"/>
  <c r="R49" i="4"/>
  <c r="Q49" i="4"/>
  <c r="S48" i="4"/>
  <c r="R48" i="4"/>
  <c r="Q48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96" i="9"/>
  <c r="U104" i="9"/>
  <c r="U95" i="9"/>
  <c r="U94" i="8"/>
  <c r="T89" i="9"/>
  <c r="U70" i="8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70" i="6"/>
  <c r="U65" i="6"/>
  <c r="U95" i="5"/>
  <c r="U92" i="5"/>
  <c r="U89" i="5"/>
  <c r="U97" i="8"/>
  <c r="U73" i="8"/>
  <c r="U3" i="8"/>
  <c r="U85" i="8"/>
  <c r="U72" i="6"/>
  <c r="U99" i="5"/>
  <c r="U88" i="5"/>
  <c r="U91" i="4"/>
  <c r="U89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68" i="10"/>
  <c r="T67" i="10"/>
  <c r="T66" i="10"/>
  <c r="T65" i="10"/>
  <c r="T64" i="10"/>
  <c r="T63" i="10"/>
  <c r="T61" i="10"/>
  <c r="T48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84" i="4"/>
  <c r="T77" i="4"/>
  <c r="T93" i="9"/>
  <c r="T10" i="4"/>
  <c r="T61" i="9"/>
  <c r="T3" i="9"/>
  <c r="T106" i="8"/>
  <c r="T105" i="8"/>
  <c r="T103" i="8"/>
  <c r="T102" i="8"/>
  <c r="T98" i="8"/>
  <c r="T96" i="8"/>
  <c r="T84" i="8"/>
  <c r="T81" i="8"/>
  <c r="T7" i="5"/>
  <c r="T81" i="4"/>
  <c r="T80" i="4"/>
  <c r="T79" i="4"/>
  <c r="T66" i="4"/>
  <c r="T63" i="4"/>
  <c r="T100" i="8"/>
  <c r="T65" i="8"/>
  <c r="T64" i="8"/>
  <c r="T63" i="8"/>
  <c r="T61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48" i="8"/>
  <c r="T106" i="5"/>
  <c r="T105" i="5"/>
  <c r="T104" i="5"/>
  <c r="T103" i="5"/>
  <c r="T102" i="5"/>
  <c r="T100" i="5"/>
  <c r="T101" i="4"/>
  <c r="T94" i="4"/>
  <c r="T93" i="4"/>
  <c r="T92" i="4"/>
  <c r="T88" i="8"/>
  <c r="T29" i="8"/>
  <c r="T69" i="6"/>
  <c r="T61" i="6"/>
  <c r="T87" i="5"/>
  <c r="T70" i="5"/>
  <c r="T66" i="5"/>
  <c r="T4" i="6"/>
  <c r="T9" i="6"/>
  <c r="T8" i="6"/>
  <c r="T3" i="6"/>
  <c r="T94" i="5"/>
  <c r="T86" i="4"/>
  <c r="T85" i="4"/>
  <c r="T83" i="4"/>
  <c r="T82" i="4"/>
  <c r="T76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49" i="5"/>
  <c r="T70" i="6"/>
  <c r="T65" i="6"/>
  <c r="T65" i="5"/>
  <c r="T6" i="6"/>
  <c r="T8" i="5"/>
  <c r="T6" i="5"/>
  <c r="T5" i="5"/>
  <c r="T71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86" i="5"/>
  <c r="T63" i="5"/>
  <c r="T10" i="6"/>
  <c r="T93" i="5"/>
  <c r="T4" i="5"/>
  <c r="T78" i="4"/>
  <c r="T70" i="4"/>
  <c r="T68" i="4"/>
  <c r="T103" i="9"/>
  <c r="T101" i="9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48" i="6"/>
  <c r="T85" i="5"/>
  <c r="T5" i="6"/>
  <c r="T10" i="5"/>
  <c r="T9" i="5"/>
  <c r="T75" i="4"/>
  <c r="T74" i="4"/>
  <c r="T73" i="4"/>
  <c r="T72" i="4"/>
  <c r="T65" i="4"/>
  <c r="T99" i="9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105" i="7"/>
  <c r="U103" i="7"/>
  <c r="U101" i="7"/>
  <c r="U97" i="7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3" i="9"/>
  <c r="U106" i="8"/>
  <c r="U105" i="8"/>
  <c r="U103" i="8"/>
  <c r="U102" i="8"/>
  <c r="U100" i="8"/>
  <c r="U96" i="8"/>
  <c r="U84" i="8"/>
  <c r="U48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48" i="6"/>
  <c r="U87" i="5"/>
  <c r="U86" i="5"/>
  <c r="U85" i="5"/>
  <c r="U70" i="5"/>
  <c r="U66" i="5"/>
  <c r="U64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58" i="5" l="1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T59" i="6"/>
  <c r="G60" i="8"/>
  <c r="G60" i="7"/>
  <c r="G60" i="5"/>
  <c r="G60" i="6"/>
  <c r="G60" i="4"/>
  <c r="S60" i="10"/>
  <c r="R60" i="10"/>
  <c r="Q60" i="10"/>
  <c r="S60" i="9"/>
  <c r="R60" i="9"/>
  <c r="Q60" i="9"/>
  <c r="T60" i="10"/>
  <c r="T60" i="9"/>
  <c r="G62" i="5"/>
  <c r="G59" i="10"/>
  <c r="T59" i="4"/>
  <c r="S62" i="5"/>
  <c r="R62" i="5"/>
  <c r="Q62" i="5"/>
  <c r="S62" i="6"/>
  <c r="R62" i="6"/>
  <c r="Q62" i="6"/>
  <c r="S62" i="4"/>
  <c r="R62" i="4"/>
  <c r="Q62" i="4"/>
  <c r="G62" i="10"/>
  <c r="G62" i="9"/>
  <c r="G62" i="8"/>
  <c r="G62" i="7"/>
  <c r="U61" i="9"/>
  <c r="Q58" i="5"/>
  <c r="S58" i="4"/>
  <c r="R58" i="4"/>
  <c r="Q58" i="4"/>
  <c r="S58" i="5"/>
  <c r="R58" i="5"/>
  <c r="T62" i="5"/>
  <c r="T61" i="5"/>
  <c r="U61" i="5"/>
  <c r="W61" i="5" a="1"/>
  <c r="K61" i="3" s="1"/>
  <c r="S59" i="5"/>
  <c r="Q59" i="5"/>
  <c r="R59" i="5"/>
  <c r="T59" i="5"/>
  <c r="T61" i="4"/>
  <c r="U61" i="4"/>
  <c r="U59" i="4"/>
  <c r="U61" i="8"/>
  <c r="W61" i="8" a="1"/>
  <c r="N61" i="3" s="1"/>
  <c r="W61" i="9" a="1"/>
  <c r="O61" i="3" s="1"/>
  <c r="U60" i="9"/>
  <c r="W60" i="9" a="1"/>
  <c r="O60" i="3" s="1"/>
  <c r="T62" i="6"/>
  <c r="U61" i="6"/>
  <c r="W61" i="6" a="1"/>
  <c r="L61" i="3" s="1"/>
  <c r="S58" i="6"/>
  <c r="R58" i="6"/>
  <c r="Q58" i="6"/>
  <c r="U61" i="10"/>
  <c r="U60" i="10"/>
  <c r="S59" i="10"/>
  <c r="R59" i="10"/>
  <c r="Q59" i="10"/>
  <c r="T59" i="10"/>
  <c r="S61" i="7"/>
  <c r="R61" i="7"/>
  <c r="Q61" i="7"/>
  <c r="T61" i="7"/>
  <c r="G56" i="9"/>
  <c r="G56" i="7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R51" i="5"/>
  <c r="L56" i="4"/>
  <c r="G56" i="4"/>
  <c r="L55" i="4"/>
  <c r="G55" i="4"/>
  <c r="L54" i="4"/>
  <c r="G54" i="4"/>
  <c r="L53" i="4"/>
  <c r="G53" i="4"/>
  <c r="L52" i="4"/>
  <c r="G52" i="4"/>
  <c r="L51" i="4"/>
  <c r="G51" i="4"/>
  <c r="R55" i="9"/>
  <c r="Q55" i="9"/>
  <c r="S54" i="9"/>
  <c r="R54" i="9"/>
  <c r="Q54" i="9"/>
  <c r="R52" i="9"/>
  <c r="Q52" i="9"/>
  <c r="S51" i="9"/>
  <c r="R51" i="9"/>
  <c r="Q51" i="9"/>
  <c r="S55" i="5"/>
  <c r="Q55" i="5"/>
  <c r="R53" i="5"/>
  <c r="S52" i="5"/>
  <c r="R52" i="5"/>
  <c r="R55" i="5"/>
  <c r="S53" i="5"/>
  <c r="Q53" i="5"/>
  <c r="Q52" i="5"/>
  <c r="S51" i="5"/>
  <c r="Q51" i="5"/>
  <c r="S55" i="8"/>
  <c r="R55" i="8"/>
  <c r="Q55" i="8"/>
  <c r="S53" i="8"/>
  <c r="R53" i="8"/>
  <c r="Q53" i="8"/>
  <c r="S52" i="8"/>
  <c r="R52" i="8"/>
  <c r="Q52" i="8"/>
  <c r="S51" i="8"/>
  <c r="R51" i="8"/>
  <c r="Q51" i="8"/>
  <c r="S55" i="6"/>
  <c r="R55" i="6"/>
  <c r="Q55" i="6"/>
  <c r="S53" i="6"/>
  <c r="R53" i="6"/>
  <c r="Q53" i="6"/>
  <c r="S52" i="6"/>
  <c r="R52" i="6"/>
  <c r="Q52" i="6"/>
  <c r="S51" i="6"/>
  <c r="R51" i="6"/>
  <c r="Q51" i="6"/>
  <c r="S52" i="10"/>
  <c r="R53" i="10"/>
  <c r="R52" i="10"/>
  <c r="Q52" i="10"/>
  <c r="R51" i="10"/>
  <c r="S55" i="10"/>
  <c r="R55" i="10"/>
  <c r="Q55" i="10"/>
  <c r="S53" i="10"/>
  <c r="Q53" i="10"/>
  <c r="S51" i="10"/>
  <c r="Q51" i="10"/>
  <c r="Q55" i="7"/>
  <c r="S55" i="7"/>
  <c r="R53" i="7"/>
  <c r="R52" i="7"/>
  <c r="S51" i="7"/>
  <c r="S56" i="7"/>
  <c r="S53" i="7"/>
  <c r="Q53" i="7"/>
  <c r="S52" i="7"/>
  <c r="Q52" i="7"/>
  <c r="R51" i="7"/>
  <c r="Q51" i="7"/>
  <c r="G50" i="10"/>
  <c r="G50" i="9"/>
  <c r="G50" i="8"/>
  <c r="G50" i="7"/>
  <c r="G50" i="5"/>
  <c r="G50" i="6"/>
  <c r="G50" i="4"/>
  <c r="G49" i="10"/>
  <c r="G49" i="9"/>
  <c r="G49" i="8"/>
  <c r="U49" i="5"/>
  <c r="U49" i="7"/>
  <c r="G47" i="10"/>
  <c r="G47" i="9"/>
  <c r="G47" i="7"/>
  <c r="G47" i="5"/>
  <c r="G47" i="8"/>
  <c r="G47" i="6"/>
  <c r="G47" i="4"/>
  <c r="Q50" i="10"/>
  <c r="U48" i="10"/>
  <c r="T48" i="9"/>
  <c r="U48" i="9" s="1"/>
  <c r="W48" i="9" a="1"/>
  <c r="O48" i="3" s="1"/>
  <c r="W48" i="8" a="1"/>
  <c r="N48" i="3" s="1"/>
  <c r="T48" i="7"/>
  <c r="T49" i="6"/>
  <c r="W48" i="6" a="1"/>
  <c r="L48" i="3" s="1"/>
  <c r="W49" i="5" a="1"/>
  <c r="K49" i="3" s="1"/>
  <c r="T48" i="5"/>
  <c r="U48" i="5"/>
  <c r="W48" i="5" a="1"/>
  <c r="K48" i="3" s="1"/>
  <c r="T49" i="4"/>
  <c r="U49" i="4" s="1"/>
  <c r="T48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59" i="4" a="1"/>
  <c r="J59" i="3" s="1"/>
  <c r="W61" i="4" a="1"/>
  <c r="J61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S57" i="9" l="1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8" i="4"/>
  <c r="T57" i="6"/>
  <c r="R57" i="9"/>
  <c r="Q57" i="9"/>
  <c r="T57" i="9" s="1"/>
  <c r="T57" i="10"/>
  <c r="T57" i="5"/>
  <c r="T57" i="8"/>
  <c r="R59" i="8"/>
  <c r="Q59" i="8"/>
  <c r="S59" i="8"/>
  <c r="Q59" i="9"/>
  <c r="R59" i="9"/>
  <c r="S59" i="9"/>
  <c r="Q59" i="7"/>
  <c r="R59" i="7"/>
  <c r="S59" i="7"/>
  <c r="U59" i="6"/>
  <c r="W59" i="6" s="1" a="1"/>
  <c r="L59" i="3" s="1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U62" i="5"/>
  <c r="W62" i="5" a="1"/>
  <c r="K62" i="3" s="1"/>
  <c r="T62" i="4"/>
  <c r="U62" i="6"/>
  <c r="T58" i="6"/>
  <c r="T58" i="5"/>
  <c r="U59" i="5"/>
  <c r="W59" i="5" s="1" a="1"/>
  <c r="K59" i="3" s="1"/>
  <c r="W62" i="6" a="1"/>
  <c r="L62" i="3" s="1"/>
  <c r="W61" i="10" a="1"/>
  <c r="P61" i="3" s="1"/>
  <c r="W60" i="10" a="1"/>
  <c r="P60" i="3" s="1"/>
  <c r="U59" i="10"/>
  <c r="U61" i="7"/>
  <c r="W61" i="7" s="1" a="1"/>
  <c r="M61" i="3" s="1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U57" i="10"/>
  <c r="U57" i="5"/>
  <c r="U57" i="6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O52" i="3" s="1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W49" i="7" a="1"/>
  <c r="M49" i="3" s="1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U48" i="4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U57" i="8" l="1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U60" i="8"/>
  <c r="T60" i="4"/>
  <c r="T62" i="9"/>
  <c r="T62" i="7"/>
  <c r="U62" i="7"/>
  <c r="U62" i="4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8" i="6" a="1"/>
  <c r="L58" i="3" s="1"/>
  <c r="W59" i="10" a="1"/>
  <c r="P59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O54" i="3" s="1"/>
  <c r="T54" i="5"/>
  <c r="T54" i="10"/>
  <c r="T54" i="7"/>
  <c r="T54" i="8"/>
  <c r="T54" i="6"/>
  <c r="U54" i="6" s="1"/>
  <c r="W54" i="6" s="1" a="1"/>
  <c r="L54" i="3" s="1"/>
  <c r="T53" i="9"/>
  <c r="U53" i="9" s="1"/>
  <c r="O53" i="3" s="1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58" i="9" l="1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U54" i="8"/>
  <c r="W54" i="8" s="1" a="1"/>
  <c r="N54" i="3" s="1"/>
  <c r="U50" i="6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4" i="7" a="1"/>
  <c r="M54" i="3" s="1"/>
  <c r="W52" i="7" a="1"/>
  <c r="M52" i="3" s="1"/>
  <c r="O50" i="3"/>
  <c r="U50" i="8"/>
  <c r="U50" i="7"/>
  <c r="W50" i="6" a="1"/>
  <c r="L50" i="3" s="1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58" i="8" l="1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Y3" i="10"/>
  <c r="Y3" i="7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K50" i="3" s="1"/>
  <c r="W50" i="8" a="1"/>
  <c r="N50" i="3" s="1"/>
  <c r="W50" i="7" a="1"/>
  <c r="M50" i="3" s="1"/>
  <c r="W49" i="8" a="1"/>
  <c r="N49" i="3" s="1"/>
  <c r="W49" i="10" a="1"/>
  <c r="P49" i="3" s="1"/>
  <c r="W49" i="9" a="1"/>
  <c r="O49" i="3" s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Y3" i="5" l="1"/>
  <c r="K60" i="3"/>
  <c r="Y3" i="6"/>
  <c r="L60" i="3"/>
  <c r="Y3" i="8"/>
  <c r="N62" i="3"/>
  <c r="Y3" i="9"/>
  <c r="O62" i="3"/>
  <c r="J55" i="3"/>
  <c r="Y3" i="4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C9" i="2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5" i="2" l="1"/>
  <c r="E9" i="2"/>
  <c r="E4" i="2"/>
  <c r="E8" i="2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<sst xmlns="http://schemas.openxmlformats.org/spreadsheetml/2006/main" count="355" uniqueCount="77">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</sst>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/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94</c:v>
                </c:pt>
                <c:pt idx="58">
                  <c:v>94</c:v>
                </c:pt>
                <c:pt idx="59">
                  <c:v>94</c:v>
                </c:pt>
                <c:pt idx="60">
                  <c:v>94</c:v>
                </c:pt>
                <c:pt idx="61">
                  <c:v>94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94</c:v>
                </c:pt>
                <c:pt idx="66">
                  <c:v>94</c:v>
                </c:pt>
                <c:pt idx="67">
                  <c:v>94</c:v>
                </c:pt>
                <c:pt idx="68">
                  <c:v>94</c:v>
                </c:pt>
                <c:pt idx="69">
                  <c:v>94</c:v>
                </c:pt>
                <c:pt idx="70">
                  <c:v>94</c:v>
                </c:pt>
                <c:pt idx="71">
                  <c:v>94</c:v>
                </c:pt>
                <c:pt idx="72">
                  <c:v>94</c:v>
                </c:pt>
                <c:pt idx="73">
                  <c:v>94</c:v>
                </c:pt>
                <c:pt idx="74">
                  <c:v>94</c:v>
                </c:pt>
                <c:pt idx="75">
                  <c:v>94</c:v>
                </c:pt>
                <c:pt idx="76">
                  <c:v>94</c:v>
                </c:pt>
                <c:pt idx="77">
                  <c:v>94</c:v>
                </c:pt>
                <c:pt idx="78">
                  <c:v>94</c:v>
                </c:pt>
                <c:pt idx="79">
                  <c:v>94</c:v>
                </c:pt>
                <c:pt idx="80">
                  <c:v>94</c:v>
                </c:pt>
                <c:pt idx="81">
                  <c:v>94</c:v>
                </c:pt>
                <c:pt idx="82">
                  <c:v>94</c:v>
                </c:pt>
                <c:pt idx="83">
                  <c:v>94</c:v>
                </c:pt>
                <c:pt idx="84">
                  <c:v>94</c:v>
                </c:pt>
                <c:pt idx="85">
                  <c:v>94</c:v>
                </c:pt>
                <c:pt idx="86">
                  <c:v>94</c:v>
                </c:pt>
                <c:pt idx="87">
                  <c:v>94</c:v>
                </c:pt>
                <c:pt idx="88">
                  <c:v>94</c:v>
                </c:pt>
                <c:pt idx="89">
                  <c:v>94</c:v>
                </c:pt>
                <c:pt idx="90">
                  <c:v>94</c:v>
                </c:pt>
                <c:pt idx="91">
                  <c:v>94</c:v>
                </c:pt>
                <c:pt idx="92">
                  <c:v>94</c:v>
                </c:pt>
                <c:pt idx="93">
                  <c:v>94</c:v>
                </c:pt>
                <c:pt idx="94">
                  <c:v>94</c:v>
                </c:pt>
                <c:pt idx="95">
                  <c:v>94</c:v>
                </c:pt>
                <c:pt idx="96">
                  <c:v>94</c:v>
                </c:pt>
                <c:pt idx="97">
                  <c:v>94</c:v>
                </c:pt>
                <c:pt idx="98">
                  <c:v>94</c:v>
                </c:pt>
                <c:pt idx="99">
                  <c:v>94</c:v>
                </c:pt>
                <c:pt idx="100">
                  <c:v>94</c:v>
                </c:pt>
                <c:pt idx="101">
                  <c:v>94</c:v>
                </c:pt>
                <c:pt idx="102">
                  <c:v>94</c:v>
                </c:pt>
                <c:pt idx="103">
                  <c:v>94</c:v>
                </c:pt>
                <c:pt idx="104">
                  <c:v>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107</c:v>
                </c:pt>
                <c:pt idx="58">
                  <c:v>107</c:v>
                </c:pt>
                <c:pt idx="59">
                  <c:v>107</c:v>
                </c:pt>
                <c:pt idx="60">
                  <c:v>107</c:v>
                </c:pt>
                <c:pt idx="61">
                  <c:v>107</c:v>
                </c:pt>
                <c:pt idx="62">
                  <c:v>107</c:v>
                </c:pt>
                <c:pt idx="63">
                  <c:v>107</c:v>
                </c:pt>
                <c:pt idx="64">
                  <c:v>107</c:v>
                </c:pt>
                <c:pt idx="65">
                  <c:v>107</c:v>
                </c:pt>
                <c:pt idx="66">
                  <c:v>107</c:v>
                </c:pt>
                <c:pt idx="67">
                  <c:v>107</c:v>
                </c:pt>
                <c:pt idx="68">
                  <c:v>107</c:v>
                </c:pt>
                <c:pt idx="69">
                  <c:v>107</c:v>
                </c:pt>
                <c:pt idx="70">
                  <c:v>107</c:v>
                </c:pt>
                <c:pt idx="71">
                  <c:v>107</c:v>
                </c:pt>
                <c:pt idx="72">
                  <c:v>107</c:v>
                </c:pt>
                <c:pt idx="73">
                  <c:v>107</c:v>
                </c:pt>
                <c:pt idx="74">
                  <c:v>107</c:v>
                </c:pt>
                <c:pt idx="75">
                  <c:v>107</c:v>
                </c:pt>
                <c:pt idx="76">
                  <c:v>107</c:v>
                </c:pt>
                <c:pt idx="77">
                  <c:v>107</c:v>
                </c:pt>
                <c:pt idx="78">
                  <c:v>107</c:v>
                </c:pt>
                <c:pt idx="79">
                  <c:v>107</c:v>
                </c:pt>
                <c:pt idx="80">
                  <c:v>107</c:v>
                </c:pt>
                <c:pt idx="81">
                  <c:v>107</c:v>
                </c:pt>
                <c:pt idx="82">
                  <c:v>107</c:v>
                </c:pt>
                <c:pt idx="83">
                  <c:v>107</c:v>
                </c:pt>
                <c:pt idx="84">
                  <c:v>107</c:v>
                </c:pt>
                <c:pt idx="85">
                  <c:v>107</c:v>
                </c:pt>
                <c:pt idx="86">
                  <c:v>107</c:v>
                </c:pt>
                <c:pt idx="87">
                  <c:v>107</c:v>
                </c:pt>
                <c:pt idx="88">
                  <c:v>107</c:v>
                </c:pt>
                <c:pt idx="89">
                  <c:v>107</c:v>
                </c:pt>
                <c:pt idx="90">
                  <c:v>107</c:v>
                </c:pt>
                <c:pt idx="91">
                  <c:v>107</c:v>
                </c:pt>
                <c:pt idx="92">
                  <c:v>107</c:v>
                </c:pt>
                <c:pt idx="93">
                  <c:v>107</c:v>
                </c:pt>
                <c:pt idx="94">
                  <c:v>107</c:v>
                </c:pt>
                <c:pt idx="95">
                  <c:v>107</c:v>
                </c:pt>
                <c:pt idx="96">
                  <c:v>107</c:v>
                </c:pt>
                <c:pt idx="97">
                  <c:v>107</c:v>
                </c:pt>
                <c:pt idx="98">
                  <c:v>107</c:v>
                </c:pt>
                <c:pt idx="99">
                  <c:v>107</c:v>
                </c:pt>
                <c:pt idx="100">
                  <c:v>107</c:v>
                </c:pt>
                <c:pt idx="101">
                  <c:v>107</c:v>
                </c:pt>
                <c:pt idx="102">
                  <c:v>107</c:v>
                </c:pt>
                <c:pt idx="103">
                  <c:v>107</c:v>
                </c:pt>
                <c:pt idx="104">
                  <c:v>107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92</c:v>
                </c:pt>
                <c:pt idx="63">
                  <c:v>92</c:v>
                </c:pt>
                <c:pt idx="64">
                  <c:v>92</c:v>
                </c:pt>
                <c:pt idx="65">
                  <c:v>92</c:v>
                </c:pt>
                <c:pt idx="66">
                  <c:v>92</c:v>
                </c:pt>
                <c:pt idx="67">
                  <c:v>92</c:v>
                </c:pt>
                <c:pt idx="68">
                  <c:v>92</c:v>
                </c:pt>
                <c:pt idx="69">
                  <c:v>92</c:v>
                </c:pt>
                <c:pt idx="70">
                  <c:v>92</c:v>
                </c:pt>
                <c:pt idx="71">
                  <c:v>92</c:v>
                </c:pt>
                <c:pt idx="72">
                  <c:v>92</c:v>
                </c:pt>
                <c:pt idx="73">
                  <c:v>92</c:v>
                </c:pt>
                <c:pt idx="74">
                  <c:v>92</c:v>
                </c:pt>
                <c:pt idx="75">
                  <c:v>92</c:v>
                </c:pt>
                <c:pt idx="76">
                  <c:v>92</c:v>
                </c:pt>
                <c:pt idx="77">
                  <c:v>92</c:v>
                </c:pt>
                <c:pt idx="78">
                  <c:v>92</c:v>
                </c:pt>
                <c:pt idx="79">
                  <c:v>92</c:v>
                </c:pt>
                <c:pt idx="80">
                  <c:v>92</c:v>
                </c:pt>
                <c:pt idx="81">
                  <c:v>92</c:v>
                </c:pt>
                <c:pt idx="82">
                  <c:v>92</c:v>
                </c:pt>
                <c:pt idx="83">
                  <c:v>92</c:v>
                </c:pt>
                <c:pt idx="84">
                  <c:v>92</c:v>
                </c:pt>
                <c:pt idx="85">
                  <c:v>92</c:v>
                </c:pt>
                <c:pt idx="86">
                  <c:v>92</c:v>
                </c:pt>
                <c:pt idx="87">
                  <c:v>92</c:v>
                </c:pt>
                <c:pt idx="88">
                  <c:v>92</c:v>
                </c:pt>
                <c:pt idx="89">
                  <c:v>92</c:v>
                </c:pt>
                <c:pt idx="90">
                  <c:v>92</c:v>
                </c:pt>
                <c:pt idx="91">
                  <c:v>92</c:v>
                </c:pt>
                <c:pt idx="92">
                  <c:v>92</c:v>
                </c:pt>
                <c:pt idx="93">
                  <c:v>92</c:v>
                </c:pt>
                <c:pt idx="94">
                  <c:v>92</c:v>
                </c:pt>
                <c:pt idx="95">
                  <c:v>92</c:v>
                </c:pt>
                <c:pt idx="96">
                  <c:v>92</c:v>
                </c:pt>
                <c:pt idx="97">
                  <c:v>92</c:v>
                </c:pt>
                <c:pt idx="98">
                  <c:v>92</c:v>
                </c:pt>
                <c:pt idx="99">
                  <c:v>92</c:v>
                </c:pt>
                <c:pt idx="100">
                  <c:v>92</c:v>
                </c:pt>
                <c:pt idx="101">
                  <c:v>92</c:v>
                </c:pt>
                <c:pt idx="102">
                  <c:v>92</c:v>
                </c:pt>
                <c:pt idx="103">
                  <c:v>92</c:v>
                </c:pt>
                <c:pt idx="104">
                  <c:v>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88</c:v>
                </c:pt>
                <c:pt idx="58">
                  <c:v>88</c:v>
                </c:pt>
                <c:pt idx="59">
                  <c:v>88</c:v>
                </c:pt>
                <c:pt idx="60">
                  <c:v>88</c:v>
                </c:pt>
                <c:pt idx="61">
                  <c:v>88</c:v>
                </c:pt>
                <c:pt idx="62">
                  <c:v>88</c:v>
                </c:pt>
                <c:pt idx="63">
                  <c:v>88</c:v>
                </c:pt>
                <c:pt idx="64">
                  <c:v>88</c:v>
                </c:pt>
                <c:pt idx="65">
                  <c:v>88</c:v>
                </c:pt>
                <c:pt idx="66">
                  <c:v>88</c:v>
                </c:pt>
                <c:pt idx="67">
                  <c:v>88</c:v>
                </c:pt>
                <c:pt idx="68">
                  <c:v>88</c:v>
                </c:pt>
                <c:pt idx="69">
                  <c:v>88</c:v>
                </c:pt>
                <c:pt idx="70">
                  <c:v>88</c:v>
                </c:pt>
                <c:pt idx="71">
                  <c:v>88</c:v>
                </c:pt>
                <c:pt idx="72">
                  <c:v>88</c:v>
                </c:pt>
                <c:pt idx="73">
                  <c:v>88</c:v>
                </c:pt>
                <c:pt idx="74">
                  <c:v>88</c:v>
                </c:pt>
                <c:pt idx="75">
                  <c:v>88</c:v>
                </c:pt>
                <c:pt idx="76">
                  <c:v>88</c:v>
                </c:pt>
                <c:pt idx="77">
                  <c:v>88</c:v>
                </c:pt>
                <c:pt idx="78">
                  <c:v>88</c:v>
                </c:pt>
                <c:pt idx="79">
                  <c:v>88</c:v>
                </c:pt>
                <c:pt idx="80">
                  <c:v>88</c:v>
                </c:pt>
                <c:pt idx="81">
                  <c:v>88</c:v>
                </c:pt>
                <c:pt idx="82">
                  <c:v>88</c:v>
                </c:pt>
                <c:pt idx="83">
                  <c:v>88</c:v>
                </c:pt>
                <c:pt idx="84">
                  <c:v>88</c:v>
                </c:pt>
                <c:pt idx="85">
                  <c:v>88</c:v>
                </c:pt>
                <c:pt idx="86">
                  <c:v>88</c:v>
                </c:pt>
                <c:pt idx="87">
                  <c:v>88</c:v>
                </c:pt>
                <c:pt idx="88">
                  <c:v>88</c:v>
                </c:pt>
                <c:pt idx="89">
                  <c:v>88</c:v>
                </c:pt>
                <c:pt idx="90">
                  <c:v>88</c:v>
                </c:pt>
                <c:pt idx="91">
                  <c:v>88</c:v>
                </c:pt>
                <c:pt idx="92">
                  <c:v>88</c:v>
                </c:pt>
                <c:pt idx="93">
                  <c:v>88</c:v>
                </c:pt>
                <c:pt idx="94">
                  <c:v>88</c:v>
                </c:pt>
                <c:pt idx="95">
                  <c:v>88</c:v>
                </c:pt>
                <c:pt idx="96">
                  <c:v>88</c:v>
                </c:pt>
                <c:pt idx="97">
                  <c:v>88</c:v>
                </c:pt>
                <c:pt idx="98">
                  <c:v>88</c:v>
                </c:pt>
                <c:pt idx="99">
                  <c:v>88</c:v>
                </c:pt>
                <c:pt idx="100">
                  <c:v>88</c:v>
                </c:pt>
                <c:pt idx="101">
                  <c:v>88</c:v>
                </c:pt>
                <c:pt idx="102">
                  <c:v>88</c:v>
                </c:pt>
                <c:pt idx="103">
                  <c:v>88</c:v>
                </c:pt>
                <c:pt idx="104">
                  <c:v>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119</c:v>
                </c:pt>
                <c:pt idx="58">
                  <c:v>119</c:v>
                </c:pt>
                <c:pt idx="59">
                  <c:v>119</c:v>
                </c:pt>
                <c:pt idx="60">
                  <c:v>119</c:v>
                </c:pt>
                <c:pt idx="61">
                  <c:v>119</c:v>
                </c:pt>
                <c:pt idx="62">
                  <c:v>119</c:v>
                </c:pt>
                <c:pt idx="63">
                  <c:v>119</c:v>
                </c:pt>
                <c:pt idx="64">
                  <c:v>119</c:v>
                </c:pt>
                <c:pt idx="65">
                  <c:v>119</c:v>
                </c:pt>
                <c:pt idx="66">
                  <c:v>119</c:v>
                </c:pt>
                <c:pt idx="67">
                  <c:v>119</c:v>
                </c:pt>
                <c:pt idx="68">
                  <c:v>119</c:v>
                </c:pt>
                <c:pt idx="69">
                  <c:v>119</c:v>
                </c:pt>
                <c:pt idx="70">
                  <c:v>119</c:v>
                </c:pt>
                <c:pt idx="71">
                  <c:v>119</c:v>
                </c:pt>
                <c:pt idx="72">
                  <c:v>119</c:v>
                </c:pt>
                <c:pt idx="73">
                  <c:v>119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119</c:v>
                </c:pt>
                <c:pt idx="78">
                  <c:v>119</c:v>
                </c:pt>
                <c:pt idx="79">
                  <c:v>119</c:v>
                </c:pt>
                <c:pt idx="80">
                  <c:v>119</c:v>
                </c:pt>
                <c:pt idx="81">
                  <c:v>119</c:v>
                </c:pt>
                <c:pt idx="82">
                  <c:v>119</c:v>
                </c:pt>
                <c:pt idx="83">
                  <c:v>119</c:v>
                </c:pt>
                <c:pt idx="84">
                  <c:v>119</c:v>
                </c:pt>
                <c:pt idx="85">
                  <c:v>119</c:v>
                </c:pt>
                <c:pt idx="86">
                  <c:v>119</c:v>
                </c:pt>
                <c:pt idx="87">
                  <c:v>119</c:v>
                </c:pt>
                <c:pt idx="88">
                  <c:v>119</c:v>
                </c:pt>
                <c:pt idx="89">
                  <c:v>119</c:v>
                </c:pt>
                <c:pt idx="90">
                  <c:v>119</c:v>
                </c:pt>
                <c:pt idx="91">
                  <c:v>119</c:v>
                </c:pt>
                <c:pt idx="92">
                  <c:v>119</c:v>
                </c:pt>
                <c:pt idx="93">
                  <c:v>119</c:v>
                </c:pt>
                <c:pt idx="94">
                  <c:v>119</c:v>
                </c:pt>
                <c:pt idx="95">
                  <c:v>119</c:v>
                </c:pt>
                <c:pt idx="96">
                  <c:v>119</c:v>
                </c:pt>
                <c:pt idx="97">
                  <c:v>119</c:v>
                </c:pt>
                <c:pt idx="98">
                  <c:v>119</c:v>
                </c:pt>
                <c:pt idx="99">
                  <c:v>119</c:v>
                </c:pt>
                <c:pt idx="100">
                  <c:v>119</c:v>
                </c:pt>
                <c:pt idx="101">
                  <c:v>119</c:v>
                </c:pt>
                <c:pt idx="102">
                  <c:v>119</c:v>
                </c:pt>
                <c:pt idx="103">
                  <c:v>119</c:v>
                </c:pt>
                <c:pt idx="104">
                  <c:v>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103</c:v>
                </c:pt>
                <c:pt idx="58">
                  <c:v>103</c:v>
                </c:pt>
                <c:pt idx="59">
                  <c:v>103</c:v>
                </c:pt>
                <c:pt idx="60">
                  <c:v>103</c:v>
                </c:pt>
                <c:pt idx="61">
                  <c:v>103</c:v>
                </c:pt>
                <c:pt idx="62">
                  <c:v>103</c:v>
                </c:pt>
                <c:pt idx="63">
                  <c:v>103</c:v>
                </c:pt>
                <c:pt idx="64">
                  <c:v>103</c:v>
                </c:pt>
                <c:pt idx="65">
                  <c:v>103</c:v>
                </c:pt>
                <c:pt idx="66">
                  <c:v>103</c:v>
                </c:pt>
                <c:pt idx="67">
                  <c:v>103</c:v>
                </c:pt>
                <c:pt idx="68">
                  <c:v>103</c:v>
                </c:pt>
                <c:pt idx="69">
                  <c:v>103</c:v>
                </c:pt>
                <c:pt idx="70">
                  <c:v>103</c:v>
                </c:pt>
                <c:pt idx="71">
                  <c:v>103</c:v>
                </c:pt>
                <c:pt idx="72">
                  <c:v>103</c:v>
                </c:pt>
                <c:pt idx="73">
                  <c:v>103</c:v>
                </c:pt>
                <c:pt idx="74">
                  <c:v>103</c:v>
                </c:pt>
                <c:pt idx="75">
                  <c:v>103</c:v>
                </c:pt>
                <c:pt idx="76">
                  <c:v>103</c:v>
                </c:pt>
                <c:pt idx="77">
                  <c:v>103</c:v>
                </c:pt>
                <c:pt idx="78">
                  <c:v>103</c:v>
                </c:pt>
                <c:pt idx="79">
                  <c:v>103</c:v>
                </c:pt>
                <c:pt idx="80">
                  <c:v>103</c:v>
                </c:pt>
                <c:pt idx="81">
                  <c:v>103</c:v>
                </c:pt>
                <c:pt idx="82">
                  <c:v>103</c:v>
                </c:pt>
                <c:pt idx="83">
                  <c:v>103</c:v>
                </c:pt>
                <c:pt idx="84">
                  <c:v>103</c:v>
                </c:pt>
                <c:pt idx="85">
                  <c:v>103</c:v>
                </c:pt>
                <c:pt idx="86">
                  <c:v>103</c:v>
                </c:pt>
                <c:pt idx="87">
                  <c:v>103</c:v>
                </c:pt>
                <c:pt idx="88">
                  <c:v>103</c:v>
                </c:pt>
                <c:pt idx="89">
                  <c:v>103</c:v>
                </c:pt>
                <c:pt idx="90">
                  <c:v>103</c:v>
                </c:pt>
                <c:pt idx="91">
                  <c:v>103</c:v>
                </c:pt>
                <c:pt idx="92">
                  <c:v>103</c:v>
                </c:pt>
                <c:pt idx="93">
                  <c:v>103</c:v>
                </c:pt>
                <c:pt idx="94">
                  <c:v>103</c:v>
                </c:pt>
                <c:pt idx="95">
                  <c:v>103</c:v>
                </c:pt>
                <c:pt idx="96">
                  <c:v>103</c:v>
                </c:pt>
                <c:pt idx="97">
                  <c:v>103</c:v>
                </c:pt>
                <c:pt idx="98">
                  <c:v>103</c:v>
                </c:pt>
                <c:pt idx="99">
                  <c:v>103</c:v>
                </c:pt>
                <c:pt idx="100">
                  <c:v>103</c:v>
                </c:pt>
                <c:pt idx="101">
                  <c:v>103</c:v>
                </c:pt>
                <c:pt idx="102">
                  <c:v>103</c:v>
                </c:pt>
                <c:pt idx="103">
                  <c:v>103</c:v>
                </c:pt>
                <c:pt idx="104">
                  <c:v>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81</c:v>
                </c:pt>
                <c:pt idx="58">
                  <c:v>81</c:v>
                </c:pt>
                <c:pt idx="59">
                  <c:v>81</c:v>
                </c:pt>
                <c:pt idx="60">
                  <c:v>81</c:v>
                </c:pt>
                <c:pt idx="61">
                  <c:v>81</c:v>
                </c:pt>
                <c:pt idx="62">
                  <c:v>81</c:v>
                </c:pt>
                <c:pt idx="63">
                  <c:v>81</c:v>
                </c:pt>
                <c:pt idx="64">
                  <c:v>81</c:v>
                </c:pt>
                <c:pt idx="65">
                  <c:v>81</c:v>
                </c:pt>
                <c:pt idx="66">
                  <c:v>81</c:v>
                </c:pt>
                <c:pt idx="67">
                  <c:v>81</c:v>
                </c:pt>
                <c:pt idx="68">
                  <c:v>81</c:v>
                </c:pt>
                <c:pt idx="69">
                  <c:v>81</c:v>
                </c:pt>
                <c:pt idx="70">
                  <c:v>81</c:v>
                </c:pt>
                <c:pt idx="71">
                  <c:v>81</c:v>
                </c:pt>
                <c:pt idx="72">
                  <c:v>81</c:v>
                </c:pt>
                <c:pt idx="73">
                  <c:v>81</c:v>
                </c:pt>
                <c:pt idx="74">
                  <c:v>81</c:v>
                </c:pt>
                <c:pt idx="75">
                  <c:v>81</c:v>
                </c:pt>
                <c:pt idx="76">
                  <c:v>81</c:v>
                </c:pt>
                <c:pt idx="77">
                  <c:v>81</c:v>
                </c:pt>
                <c:pt idx="78">
                  <c:v>81</c:v>
                </c:pt>
                <c:pt idx="79">
                  <c:v>81</c:v>
                </c:pt>
                <c:pt idx="80">
                  <c:v>81</c:v>
                </c:pt>
                <c:pt idx="81">
                  <c:v>81</c:v>
                </c:pt>
                <c:pt idx="82">
                  <c:v>81</c:v>
                </c:pt>
                <c:pt idx="83">
                  <c:v>81</c:v>
                </c:pt>
                <c:pt idx="84">
                  <c:v>81</c:v>
                </c:pt>
                <c:pt idx="85">
                  <c:v>81</c:v>
                </c:pt>
                <c:pt idx="86">
                  <c:v>81</c:v>
                </c:pt>
                <c:pt idx="87">
                  <c:v>81</c:v>
                </c:pt>
                <c:pt idx="88">
                  <c:v>81</c:v>
                </c:pt>
                <c:pt idx="89">
                  <c:v>81</c:v>
                </c:pt>
                <c:pt idx="90">
                  <c:v>81</c:v>
                </c:pt>
                <c:pt idx="91">
                  <c:v>81</c:v>
                </c:pt>
                <c:pt idx="92">
                  <c:v>81</c:v>
                </c:pt>
                <c:pt idx="93">
                  <c:v>81</c:v>
                </c:pt>
                <c:pt idx="94">
                  <c:v>81</c:v>
                </c:pt>
                <c:pt idx="95">
                  <c:v>81</c:v>
                </c:pt>
                <c:pt idx="96">
                  <c:v>81</c:v>
                </c:pt>
                <c:pt idx="97">
                  <c:v>81</c:v>
                </c:pt>
                <c:pt idx="98">
                  <c:v>81</c:v>
                </c:pt>
                <c:pt idx="99">
                  <c:v>81</c:v>
                </c:pt>
                <c:pt idx="100">
                  <c:v>81</c:v>
                </c:pt>
                <c:pt idx="101">
                  <c:v>81</c:v>
                </c:pt>
                <c:pt idx="102">
                  <c:v>81</c:v>
                </c:pt>
                <c:pt idx="103">
                  <c:v>81</c:v>
                </c:pt>
                <c:pt idx="104">
                  <c:v>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36" workbookViewId="0">
      <selection activeCell="C59" sqref="C59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7" t="s">
        <v>0</v>
      </c>
      <c r="B1" s="8"/>
      <c r="C1" s="8"/>
      <c r="D1" s="8"/>
      <c r="E1" s="8"/>
      <c r="F1" s="8"/>
      <c r="G1" s="8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G16" sqref="G16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9" t="s">
        <v>56</v>
      </c>
      <c r="F1" s="9"/>
      <c r="G1" s="9"/>
      <c r="H1" s="9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94</v>
      </c>
      <c r="C3" s="1">
        <f>Rodrigo!Y3</f>
        <v>4</v>
      </c>
      <c r="E3" s="1">
        <v>1</v>
      </c>
      <c r="F3" s="1" t="str" cm="1">
        <f t="array" ref="F3:H9">_xlfn.SORTBY(A3:C9,B3:B9,-1,C3:C9,-1,A3:A9,1)</f>
        <v>Ana</v>
      </c>
      <c r="G3" s="1">
        <v>119</v>
      </c>
      <c r="H3" s="1">
        <v>5</v>
      </c>
    </row>
    <row r="4" spans="1:8" x14ac:dyDescent="0.45">
      <c r="A4" s="1" t="s">
        <v>62</v>
      </c>
      <c r="B4" s="1">
        <f>Arthur!X3</f>
        <v>107</v>
      </c>
      <c r="C4" s="1">
        <f>Arthur!Y3</f>
        <v>4</v>
      </c>
      <c r="E4" s="1">
        <f>IF(AND(G4=G3,H4=H3),E3,2)</f>
        <v>2</v>
      </c>
      <c r="F4" s="1" t="str">
        <v>Arthur</v>
      </c>
      <c r="G4" s="1">
        <v>107</v>
      </c>
      <c r="H4" s="1">
        <v>4</v>
      </c>
    </row>
    <row r="5" spans="1:8" x14ac:dyDescent="0.45">
      <c r="A5" s="1" t="s">
        <v>63</v>
      </c>
      <c r="B5" s="1">
        <f>Dudu!X3</f>
        <v>92</v>
      </c>
      <c r="C5" s="1">
        <f>Dudu!Y3</f>
        <v>6</v>
      </c>
      <c r="E5" s="1">
        <f>IF(AND(G5=G4,H5=H4),E4,3)</f>
        <v>3</v>
      </c>
      <c r="F5" s="1" t="str">
        <v>Isa</v>
      </c>
      <c r="G5" s="1">
        <v>103</v>
      </c>
      <c r="H5" s="1">
        <v>3</v>
      </c>
    </row>
    <row r="6" spans="1:8" x14ac:dyDescent="0.45">
      <c r="A6" s="1" t="s">
        <v>64</v>
      </c>
      <c r="B6" s="1">
        <f>Carol!X3</f>
        <v>88</v>
      </c>
      <c r="C6" s="1">
        <f>Carol!Y3</f>
        <v>3</v>
      </c>
      <c r="E6" s="1">
        <f>IF(AND(G6=G5,H6=H5),E5,4)</f>
        <v>4</v>
      </c>
      <c r="F6" s="1" t="str">
        <v>Rodrigo</v>
      </c>
      <c r="G6" s="1">
        <v>94</v>
      </c>
      <c r="H6" s="1">
        <v>4</v>
      </c>
    </row>
    <row r="7" spans="1:8" x14ac:dyDescent="0.45">
      <c r="A7" s="1" t="s">
        <v>65</v>
      </c>
      <c r="B7" s="1">
        <f>Ana!X3</f>
        <v>119</v>
      </c>
      <c r="C7" s="1">
        <f>Ana!Y3</f>
        <v>5</v>
      </c>
      <c r="E7" s="1">
        <f>IF(AND(G7=G6,H7=H6),E6,5)</f>
        <v>5</v>
      </c>
      <c r="F7" s="1" t="str">
        <v>Dudu</v>
      </c>
      <c r="G7" s="1">
        <v>92</v>
      </c>
      <c r="H7" s="1">
        <v>6</v>
      </c>
    </row>
    <row r="8" spans="1:8" x14ac:dyDescent="0.45">
      <c r="A8" s="1" t="s">
        <v>66</v>
      </c>
      <c r="B8" s="1">
        <f>Isa!X3</f>
        <v>103</v>
      </c>
      <c r="C8" s="1">
        <f>Isa!Y3</f>
        <v>3</v>
      </c>
      <c r="E8" s="1">
        <f>IF(AND(G8=G7,H8=H7),E7,6)</f>
        <v>6</v>
      </c>
      <c r="F8" s="1" t="str">
        <v>Carol</v>
      </c>
      <c r="G8" s="1">
        <v>88</v>
      </c>
      <c r="H8" s="1">
        <v>3</v>
      </c>
    </row>
    <row r="9" spans="1:8" x14ac:dyDescent="0.45">
      <c r="A9" s="1" t="s">
        <v>67</v>
      </c>
      <c r="B9" s="1">
        <f>Trops!X3</f>
        <v>81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81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47" workbookViewId="0">
      <selection activeCell="L63" sqref="L6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94</v>
      </c>
      <c r="Y3" s="3">
        <f>COUNTIF(W3:W106,6)+COUNTIF(W3:W106,12)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1</v>
      </c>
      <c r="U47" s="3" t="b">
        <f t="shared" si="8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1</v>
      </c>
      <c r="U49" s="3" t="b">
        <f t="shared" si="8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1</v>
      </c>
      <c r="U50" s="3" t="b">
        <f t="shared" si="8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3">A51</f>
        <v>49</v>
      </c>
      <c r="J51" s="3" t="str">
        <f t="shared" si="63"/>
        <v>Suíça</v>
      </c>
      <c r="K51" s="4">
        <v>1</v>
      </c>
      <c r="L51" s="3" t="str">
        <f t="shared" si="41"/>
        <v>x</v>
      </c>
      <c r="M51" s="4">
        <v>1</v>
      </c>
      <c r="N51" s="3" t="str">
        <f t="shared" si="42"/>
        <v>Canadá</v>
      </c>
      <c r="O51" s="3" t="str">
        <f t="shared" si="43"/>
        <v>Empate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4">A52</f>
        <v>50</v>
      </c>
      <c r="J52" s="3" t="str">
        <f t="shared" si="64"/>
        <v>Bósnia</v>
      </c>
      <c r="K52" s="4">
        <v>2</v>
      </c>
      <c r="L52" s="3" t="str">
        <f t="shared" si="41"/>
        <v>x</v>
      </c>
      <c r="M52" s="4">
        <v>1</v>
      </c>
      <c r="N52" s="3" t="str">
        <f t="shared" si="42"/>
        <v>Catar</v>
      </c>
      <c r="O52" s="3" t="str">
        <f t="shared" si="43"/>
        <v>Bósnia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1</v>
      </c>
      <c r="U52" s="3" t="b">
        <f t="shared" si="8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5">A53</f>
        <v>51</v>
      </c>
      <c r="J53" s="3" t="str">
        <f t="shared" si="65"/>
        <v>Marrocos</v>
      </c>
      <c r="K53" s="4">
        <v>4</v>
      </c>
      <c r="L53" s="3" t="str">
        <f t="shared" si="41"/>
        <v>x</v>
      </c>
      <c r="M53" s="4">
        <v>0</v>
      </c>
      <c r="N53" s="3" t="str">
        <f t="shared" si="42"/>
        <v>Haiti</v>
      </c>
      <c r="O53" s="3" t="str">
        <f t="shared" si="43"/>
        <v>Marrocos</v>
      </c>
      <c r="P53" s="3"/>
      <c r="Q53" s="3" t="b">
        <f t="shared" si="44"/>
        <v>0</v>
      </c>
      <c r="R53" s="3" t="b">
        <f t="shared" si="45"/>
        <v>1</v>
      </c>
      <c r="S53" s="3" t="b">
        <f t="shared" si="46"/>
        <v>0</v>
      </c>
      <c r="T53" s="3" t="b">
        <f t="shared" si="47"/>
        <v>0</v>
      </c>
      <c r="U53" s="3" t="b">
        <f t="shared" si="8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6">A54</f>
        <v>52</v>
      </c>
      <c r="J54" s="3" t="str">
        <f t="shared" si="66"/>
        <v>Escócia</v>
      </c>
      <c r="K54" s="4">
        <v>1</v>
      </c>
      <c r="L54" s="3" t="str">
        <f t="shared" si="41"/>
        <v>x</v>
      </c>
      <c r="M54" s="4">
        <v>3</v>
      </c>
      <c r="N54" s="3" t="str">
        <f t="shared" si="42"/>
        <v>Brasil</v>
      </c>
      <c r="O54" s="3" t="str">
        <f t="shared" si="43"/>
        <v>Brasil</v>
      </c>
      <c r="P54" s="3"/>
      <c r="Q54" s="3" t="b">
        <f t="shared" si="44"/>
        <v>0</v>
      </c>
      <c r="R54" s="3" t="b">
        <f t="shared" si="45"/>
        <v>1</v>
      </c>
      <c r="S54" s="3" t="b">
        <f t="shared" si="46"/>
        <v>0</v>
      </c>
      <c r="T54" s="3" t="b">
        <f t="shared" si="47"/>
        <v>0</v>
      </c>
      <c r="U54" s="3" t="b">
        <f t="shared" si="8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7">A55</f>
        <v>53</v>
      </c>
      <c r="J55" s="3" t="str">
        <f t="shared" si="67"/>
        <v>África do Sul</v>
      </c>
      <c r="K55" s="4">
        <v>0</v>
      </c>
      <c r="L55" s="3" t="str">
        <f t="shared" si="41"/>
        <v>x</v>
      </c>
      <c r="M55" s="4">
        <v>1</v>
      </c>
      <c r="N55" s="3" t="str">
        <f t="shared" si="42"/>
        <v>Coreia do Sul</v>
      </c>
      <c r="O55" s="3" t="str">
        <f t="shared" si="43"/>
        <v>Coreia do Sul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8">A56</f>
        <v>54</v>
      </c>
      <c r="J56" s="3" t="str">
        <f t="shared" si="68"/>
        <v>Tchéquia</v>
      </c>
      <c r="K56" s="4">
        <v>1</v>
      </c>
      <c r="L56" s="3" t="str">
        <f t="shared" si="41"/>
        <v>x</v>
      </c>
      <c r="M56" s="4">
        <v>2</v>
      </c>
      <c r="N56" s="3" t="str">
        <f t="shared" si="42"/>
        <v>México</v>
      </c>
      <c r="O56" s="3" t="str">
        <f t="shared" si="43"/>
        <v>México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1</v>
      </c>
      <c r="U56" s="3" t="b">
        <f t="shared" si="8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9">A57</f>
        <v>55</v>
      </c>
      <c r="J57" s="3" t="str">
        <f t="shared" si="69"/>
        <v>Curaçao</v>
      </c>
      <c r="K57" s="3">
        <v>0</v>
      </c>
      <c r="L57" s="3" t="str">
        <f t="shared" si="41"/>
        <v>x</v>
      </c>
      <c r="M57" s="3">
        <v>2</v>
      </c>
      <c r="N57" s="3" t="str">
        <f t="shared" si="42"/>
        <v>Costa do Marfim</v>
      </c>
      <c r="O57" s="3" t="str">
        <f t="shared" si="43"/>
        <v>Costa do Marfim</v>
      </c>
      <c r="P57" s="3"/>
      <c r="Q57" s="3" t="b">
        <f t="shared" si="44"/>
        <v>1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0">A58</f>
        <v>56</v>
      </c>
      <c r="J58" s="3" t="str">
        <f t="shared" si="70"/>
        <v>Equador</v>
      </c>
      <c r="K58" s="3">
        <v>1</v>
      </c>
      <c r="L58" s="3" t="str">
        <f t="shared" si="41"/>
        <v>x</v>
      </c>
      <c r="M58" s="3">
        <v>2</v>
      </c>
      <c r="N58" s="3" t="str">
        <f t="shared" si="42"/>
        <v>Alemanha</v>
      </c>
      <c r="O58" s="3" t="str">
        <f t="shared" si="43"/>
        <v>Alemanha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71">A59</f>
        <v>57</v>
      </c>
      <c r="J59" s="3" t="str">
        <f t="shared" si="71"/>
        <v>Tunísia</v>
      </c>
      <c r="K59" s="3">
        <v>0</v>
      </c>
      <c r="L59" s="3" t="str">
        <f t="shared" si="41"/>
        <v>x</v>
      </c>
      <c r="M59" s="3">
        <v>4</v>
      </c>
      <c r="N59" s="3" t="str">
        <f t="shared" si="42"/>
        <v>Holanda</v>
      </c>
      <c r="O59" s="3" t="str">
        <f t="shared" si="43"/>
        <v>Holanda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0</v>
      </c>
      <c r="U59" s="3" t="b">
        <f t="shared" si="8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72">A60</f>
        <v>58</v>
      </c>
      <c r="J60" s="3" t="str">
        <f t="shared" si="72"/>
        <v>Japão</v>
      </c>
      <c r="K60" s="3">
        <v>3</v>
      </c>
      <c r="L60" s="3" t="str">
        <f t="shared" si="41"/>
        <v>x</v>
      </c>
      <c r="M60" s="3">
        <v>1</v>
      </c>
      <c r="N60" s="3" t="str">
        <f t="shared" si="42"/>
        <v>Suécia</v>
      </c>
      <c r="O60" s="3" t="str">
        <f t="shared" si="43"/>
        <v>Japão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>
        <v>0</v>
      </c>
      <c r="L61" s="3" t="str">
        <f t="shared" si="41"/>
        <v>x</v>
      </c>
      <c r="M61" s="3">
        <v>3</v>
      </c>
      <c r="N61" s="3" t="str">
        <f t="shared" si="42"/>
        <v>EUA</v>
      </c>
      <c r="O61" s="3" t="str">
        <f t="shared" si="43"/>
        <v>EUA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>
        <v>1</v>
      </c>
      <c r="L62" s="3" t="str">
        <f t="shared" si="41"/>
        <v>x</v>
      </c>
      <c r="M62" s="3">
        <v>0</v>
      </c>
      <c r="N62" s="3" t="str">
        <f t="shared" si="42"/>
        <v>Austrália</v>
      </c>
      <c r="O62" s="3" t="str">
        <f t="shared" si="43"/>
        <v>Paraguai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45" workbookViewId="0">
      <selection activeCell="M63" sqref="M6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107</v>
      </c>
      <c r="Y3" s="3">
        <f>COUNTIF(W3:W106,6)+COUNTIF(W3:W106,12)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2</v>
      </c>
      <c r="L59" s="3" t="str">
        <f t="shared" si="2"/>
        <v>x</v>
      </c>
      <c r="M59" s="3">
        <v>1</v>
      </c>
      <c r="N59" s="3" t="str">
        <f t="shared" si="3"/>
        <v>Holanda</v>
      </c>
      <c r="O59" s="3" t="str">
        <f t="shared" si="4"/>
        <v>Tunísia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>
        <v>0</v>
      </c>
      <c r="L60" s="3" t="str">
        <f t="shared" si="2"/>
        <v>x</v>
      </c>
      <c r="M60" s="3">
        <v>4</v>
      </c>
      <c r="N60" s="3" t="str">
        <f t="shared" si="3"/>
        <v>Suécia</v>
      </c>
      <c r="O60" s="3" t="str">
        <f t="shared" si="4"/>
        <v>Suécia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46" workbookViewId="0">
      <selection activeCell="M63" sqref="M6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92</v>
      </c>
      <c r="Y3" s="3">
        <f>COUNTIF(W3:W106,6)+COUNTIF(W3:W106,12)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41" workbookViewId="0">
      <selection activeCell="M63" sqref="M6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88</v>
      </c>
      <c r="Y3" s="3">
        <f>COUNTIF(W3:W106,6)+COUNTIF(W3:W106,12)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48" workbookViewId="0">
      <selection activeCell="M63" sqref="M6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119</v>
      </c>
      <c r="Y3" s="3">
        <f>COUNTIF(W3:W106,6)+COUNTIF(W3:W106,12)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38" workbookViewId="0">
      <selection activeCell="M63" sqref="M6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103</v>
      </c>
      <c r="Y3" s="3">
        <f>COUNTIF(W3:W106,6)+COUNTIF(W3:W106,12)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38" workbookViewId="0">
      <selection activeCell="M62" sqref="M6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81</v>
      </c>
      <c r="Y3" s="3">
        <f>COUNTIF(W3:W106,6)+COUNTIF(W3:W106,12)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12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94</v>
      </c>
      <c r="C59" s="2">
        <f>IF('Tabela de Jogos'!C59&lt;&gt;"",Arthur!W59+C58,C58)</f>
        <v>107</v>
      </c>
      <c r="D59" s="2">
        <f>IF('Tabela de Jogos'!C59&lt;&gt;"",Dudu!W59+D58,D58)</f>
        <v>92</v>
      </c>
      <c r="E59" s="2">
        <f>IF('Tabela de Jogos'!C59&lt;&gt;"",Carol!W59+E58,E58)</f>
        <v>88</v>
      </c>
      <c r="F59" s="2">
        <f>IF('Tabela de Jogos'!C59&lt;&gt;"",Ana!W59+F58,F58)</f>
        <v>119</v>
      </c>
      <c r="G59" s="2">
        <f>IF('Tabela de Jogos'!C59&lt;&gt;"",Isa!W59+G58,G58)</f>
        <v>103</v>
      </c>
      <c r="H59" s="2">
        <f>IF('Tabela de Jogos'!C59&lt;&gt;"",Trops!W59+H58,H58)</f>
        <v>81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94</v>
      </c>
      <c r="C60" s="2">
        <f>IF('Tabela de Jogos'!C60&lt;&gt;"",Arthur!W60+C59,C59)</f>
        <v>107</v>
      </c>
      <c r="D60" s="2">
        <f>IF('Tabela de Jogos'!C60&lt;&gt;"",Dudu!W60+D59,D59)</f>
        <v>92</v>
      </c>
      <c r="E60" s="2">
        <f>IF('Tabela de Jogos'!C60&lt;&gt;"",Carol!W60+E59,E59)</f>
        <v>88</v>
      </c>
      <c r="F60" s="2">
        <f>IF('Tabela de Jogos'!C60&lt;&gt;"",Ana!W60+F59,F59)</f>
        <v>119</v>
      </c>
      <c r="G60" s="2">
        <f>IF('Tabela de Jogos'!C60&lt;&gt;"",Isa!W60+G59,G59)</f>
        <v>103</v>
      </c>
      <c r="H60" s="2">
        <f>IF('Tabela de Jogos'!C60&lt;&gt;"",Trops!W60+H59,H59)</f>
        <v>81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94</v>
      </c>
      <c r="C61" s="2">
        <f>IF('Tabela de Jogos'!C61&lt;&gt;"",Arthur!W61+C60,C60)</f>
        <v>107</v>
      </c>
      <c r="D61" s="2">
        <f>IF('Tabela de Jogos'!C61&lt;&gt;"",Dudu!W61+D60,D60)</f>
        <v>92</v>
      </c>
      <c r="E61" s="2">
        <f>IF('Tabela de Jogos'!C61&lt;&gt;"",Carol!W61+E60,E60)</f>
        <v>88</v>
      </c>
      <c r="F61" s="2">
        <f>IF('Tabela de Jogos'!C61&lt;&gt;"",Ana!W61+F60,F60)</f>
        <v>119</v>
      </c>
      <c r="G61" s="2">
        <f>IF('Tabela de Jogos'!C61&lt;&gt;"",Isa!W61+G60,G60)</f>
        <v>103</v>
      </c>
      <c r="H61" s="2">
        <f>IF('Tabela de Jogos'!C61&lt;&gt;"",Trops!W61+H60,H60)</f>
        <v>81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94</v>
      </c>
      <c r="C62" s="2">
        <f>IF('Tabela de Jogos'!C62&lt;&gt;"",Arthur!W62+C61,C61)</f>
        <v>107</v>
      </c>
      <c r="D62" s="2">
        <f>IF('Tabela de Jogos'!C62&lt;&gt;"",Dudu!W62+D61,D61)</f>
        <v>92</v>
      </c>
      <c r="E62" s="2">
        <f>IF('Tabela de Jogos'!C62&lt;&gt;"",Carol!W62+E61,E61)</f>
        <v>88</v>
      </c>
      <c r="F62" s="2">
        <f>IF('Tabela de Jogos'!C62&lt;&gt;"",Ana!W62+F61,F61)</f>
        <v>119</v>
      </c>
      <c r="G62" s="2">
        <f>IF('Tabela de Jogos'!C62&lt;&gt;"",Isa!W62+G61,G61)</f>
        <v>103</v>
      </c>
      <c r="H62" s="2">
        <f>IF('Tabela de Jogos'!C62&lt;&gt;"",Trops!W62+H61,H61)</f>
        <v>81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94</v>
      </c>
      <c r="C63" s="2">
        <f>IF('Tabela de Jogos'!C63&lt;&gt;"",Arthur!W63+C62,C62)</f>
        <v>107</v>
      </c>
      <c r="D63" s="2">
        <f>IF('Tabela de Jogos'!C63&lt;&gt;"",Dudu!W63+D62,D62)</f>
        <v>92</v>
      </c>
      <c r="E63" s="2">
        <f>IF('Tabela de Jogos'!C63&lt;&gt;"",Carol!W63+E62,E62)</f>
        <v>88</v>
      </c>
      <c r="F63" s="2">
        <f>IF('Tabela de Jogos'!C63&lt;&gt;"",Ana!W63+F62,F62)</f>
        <v>119</v>
      </c>
      <c r="G63" s="2">
        <f>IF('Tabela de Jogos'!C63&lt;&gt;"",Isa!W63+G62,G62)</f>
        <v>103</v>
      </c>
      <c r="H63" s="2">
        <f>IF('Tabela de Jogos'!C63&lt;&gt;"",Trops!W63+H62,H62)</f>
        <v>81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94</v>
      </c>
      <c r="C64" s="2">
        <f>IF('Tabela de Jogos'!C64&lt;&gt;"",Arthur!W64+C63,C63)</f>
        <v>107</v>
      </c>
      <c r="D64" s="2">
        <f>IF('Tabela de Jogos'!C64&lt;&gt;"",Dudu!W64+D63,D63)</f>
        <v>92</v>
      </c>
      <c r="E64" s="2">
        <f>IF('Tabela de Jogos'!C64&lt;&gt;"",Carol!W64+E63,E63)</f>
        <v>88</v>
      </c>
      <c r="F64" s="2">
        <f>IF('Tabela de Jogos'!C64&lt;&gt;"",Ana!W64+F63,F63)</f>
        <v>119</v>
      </c>
      <c r="G64" s="2">
        <f>IF('Tabela de Jogos'!C64&lt;&gt;"",Isa!W64+G63,G63)</f>
        <v>103</v>
      </c>
      <c r="H64" s="2">
        <f>IF('Tabela de Jogos'!C64&lt;&gt;"",Trops!W64+H63,H63)</f>
        <v>81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94</v>
      </c>
      <c r="C65" s="2">
        <f>IF('Tabela de Jogos'!C65&lt;&gt;"",Arthur!W65+C64,C64)</f>
        <v>107</v>
      </c>
      <c r="D65" s="2">
        <f>IF('Tabela de Jogos'!C65&lt;&gt;"",Dudu!W65+D64,D64)</f>
        <v>92</v>
      </c>
      <c r="E65" s="2">
        <f>IF('Tabela de Jogos'!C65&lt;&gt;"",Carol!W65+E64,E64)</f>
        <v>88</v>
      </c>
      <c r="F65" s="2">
        <f>IF('Tabela de Jogos'!C65&lt;&gt;"",Ana!W65+F64,F64)</f>
        <v>119</v>
      </c>
      <c r="G65" s="2">
        <f>IF('Tabela de Jogos'!C65&lt;&gt;"",Isa!W65+G64,G64)</f>
        <v>103</v>
      </c>
      <c r="H65" s="2">
        <f>IF('Tabela de Jogos'!C65&lt;&gt;"",Trops!W65+H64,H64)</f>
        <v>81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94</v>
      </c>
      <c r="C66" s="2">
        <f>IF('Tabela de Jogos'!C66&lt;&gt;"",Arthur!W66+C65,C65)</f>
        <v>107</v>
      </c>
      <c r="D66" s="2">
        <f>IF('Tabela de Jogos'!C66&lt;&gt;"",Dudu!W66+D65,D65)</f>
        <v>92</v>
      </c>
      <c r="E66" s="2">
        <f>IF('Tabela de Jogos'!C66&lt;&gt;"",Carol!W66+E65,E65)</f>
        <v>88</v>
      </c>
      <c r="F66" s="2">
        <f>IF('Tabela de Jogos'!C66&lt;&gt;"",Ana!W66+F65,F65)</f>
        <v>119</v>
      </c>
      <c r="G66" s="2">
        <f>IF('Tabela de Jogos'!C66&lt;&gt;"",Isa!W66+G65,G65)</f>
        <v>103</v>
      </c>
      <c r="H66" s="2">
        <f>IF('Tabela de Jogos'!C66&lt;&gt;"",Trops!W66+H65,H65)</f>
        <v>81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94</v>
      </c>
      <c r="C67" s="2">
        <f>IF('Tabela de Jogos'!C67&lt;&gt;"",Arthur!W67+C66,C66)</f>
        <v>107</v>
      </c>
      <c r="D67" s="2">
        <f>IF('Tabela de Jogos'!C67&lt;&gt;"",Dudu!W67+D66,D66)</f>
        <v>92</v>
      </c>
      <c r="E67" s="2">
        <f>IF('Tabela de Jogos'!C67&lt;&gt;"",Carol!W67+E66,E66)</f>
        <v>88</v>
      </c>
      <c r="F67" s="2">
        <f>IF('Tabela de Jogos'!C67&lt;&gt;"",Ana!W67+F66,F66)</f>
        <v>119</v>
      </c>
      <c r="G67" s="2">
        <f>IF('Tabela de Jogos'!C67&lt;&gt;"",Isa!W67+G66,G66)</f>
        <v>103</v>
      </c>
      <c r="H67" s="2">
        <f>IF('Tabela de Jogos'!C67&lt;&gt;"",Trops!W67+H66,H66)</f>
        <v>81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94</v>
      </c>
      <c r="C68" s="2">
        <f>IF('Tabela de Jogos'!C68&lt;&gt;"",Arthur!W68+C67,C67)</f>
        <v>107</v>
      </c>
      <c r="D68" s="2">
        <f>IF('Tabela de Jogos'!C68&lt;&gt;"",Dudu!W68+D67,D67)</f>
        <v>92</v>
      </c>
      <c r="E68" s="2">
        <f>IF('Tabela de Jogos'!C68&lt;&gt;"",Carol!W68+E67,E67)</f>
        <v>88</v>
      </c>
      <c r="F68" s="2">
        <f>IF('Tabela de Jogos'!C68&lt;&gt;"",Ana!W68+F67,F67)</f>
        <v>119</v>
      </c>
      <c r="G68" s="2">
        <f>IF('Tabela de Jogos'!C68&lt;&gt;"",Isa!W68+G67,G67)</f>
        <v>103</v>
      </c>
      <c r="H68" s="2">
        <f>IF('Tabela de Jogos'!C68&lt;&gt;"",Trops!W68+H67,H67)</f>
        <v>81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94</v>
      </c>
      <c r="C69" s="2">
        <f>IF('Tabela de Jogos'!C69&lt;&gt;"",Arthur!W69+C68,C68)</f>
        <v>107</v>
      </c>
      <c r="D69" s="2">
        <f>IF('Tabela de Jogos'!C69&lt;&gt;"",Dudu!W69+D68,D68)</f>
        <v>92</v>
      </c>
      <c r="E69" s="2">
        <f>IF('Tabela de Jogos'!C69&lt;&gt;"",Carol!W69+E68,E68)</f>
        <v>88</v>
      </c>
      <c r="F69" s="2">
        <f>IF('Tabela de Jogos'!C69&lt;&gt;"",Ana!W69+F68,F68)</f>
        <v>119</v>
      </c>
      <c r="G69" s="2">
        <f>IF('Tabela de Jogos'!C69&lt;&gt;"",Isa!W69+G68,G68)</f>
        <v>103</v>
      </c>
      <c r="H69" s="2">
        <f>IF('Tabela de Jogos'!C69&lt;&gt;"",Trops!W69+H68,H68)</f>
        <v>81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94</v>
      </c>
      <c r="C70" s="2">
        <f>IF('Tabela de Jogos'!C70&lt;&gt;"",Arthur!W70+C69,C69)</f>
        <v>107</v>
      </c>
      <c r="D70" s="2">
        <f>IF('Tabela de Jogos'!C70&lt;&gt;"",Dudu!W70+D69,D69)</f>
        <v>92</v>
      </c>
      <c r="E70" s="2">
        <f>IF('Tabela de Jogos'!C70&lt;&gt;"",Carol!W70+E69,E69)</f>
        <v>88</v>
      </c>
      <c r="F70" s="2">
        <f>IF('Tabela de Jogos'!C70&lt;&gt;"",Ana!W70+F69,F69)</f>
        <v>119</v>
      </c>
      <c r="G70" s="2">
        <f>IF('Tabela de Jogos'!C70&lt;&gt;"",Isa!W70+G69,G69)</f>
        <v>103</v>
      </c>
      <c r="H70" s="2">
        <f>IF('Tabela de Jogos'!C70&lt;&gt;"",Trops!W70+H69,H69)</f>
        <v>81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94</v>
      </c>
      <c r="C71" s="2">
        <f>IF('Tabela de Jogos'!C71&lt;&gt;"",Arthur!W71+C70,C70)</f>
        <v>107</v>
      </c>
      <c r="D71" s="2">
        <f>IF('Tabela de Jogos'!C71&lt;&gt;"",Dudu!W71+D70,D70)</f>
        <v>92</v>
      </c>
      <c r="E71" s="2">
        <f>IF('Tabela de Jogos'!C71&lt;&gt;"",Carol!W71+E70,E70)</f>
        <v>88</v>
      </c>
      <c r="F71" s="2">
        <f>IF('Tabela de Jogos'!C71&lt;&gt;"",Ana!W71+F70,F70)</f>
        <v>119</v>
      </c>
      <c r="G71" s="2">
        <f>IF('Tabela de Jogos'!C71&lt;&gt;"",Isa!W71+G70,G70)</f>
        <v>103</v>
      </c>
      <c r="H71" s="2">
        <f>IF('Tabela de Jogos'!C71&lt;&gt;"",Trops!W71+H70,H70)</f>
        <v>81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94</v>
      </c>
      <c r="C72" s="2">
        <f>IF('Tabela de Jogos'!C72&lt;&gt;"",Arthur!W72+C71,C71)</f>
        <v>107</v>
      </c>
      <c r="D72" s="2">
        <f>IF('Tabela de Jogos'!C72&lt;&gt;"",Dudu!W72+D71,D71)</f>
        <v>92</v>
      </c>
      <c r="E72" s="2">
        <f>IF('Tabela de Jogos'!C72&lt;&gt;"",Carol!W72+E71,E71)</f>
        <v>88</v>
      </c>
      <c r="F72" s="2">
        <f>IF('Tabela de Jogos'!C72&lt;&gt;"",Ana!W72+F71,F71)</f>
        <v>119</v>
      </c>
      <c r="G72" s="2">
        <f>IF('Tabela de Jogos'!C72&lt;&gt;"",Isa!W72+G71,G71)</f>
        <v>103</v>
      </c>
      <c r="H72" s="2">
        <f>IF('Tabela de Jogos'!C72&lt;&gt;"",Trops!W72+H71,H71)</f>
        <v>81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94</v>
      </c>
      <c r="C73" s="2">
        <f>IF('Tabela de Jogos'!C73&lt;&gt;"",Arthur!W73+C72,C72)</f>
        <v>107</v>
      </c>
      <c r="D73" s="2">
        <f>IF('Tabela de Jogos'!C73&lt;&gt;"",Dudu!W73+D72,D72)</f>
        <v>92</v>
      </c>
      <c r="E73" s="2">
        <f>IF('Tabela de Jogos'!C73&lt;&gt;"",Carol!W73+E72,E72)</f>
        <v>88</v>
      </c>
      <c r="F73" s="2">
        <f>IF('Tabela de Jogos'!C73&lt;&gt;"",Ana!W73+F72,F72)</f>
        <v>119</v>
      </c>
      <c r="G73" s="2">
        <f>IF('Tabela de Jogos'!C73&lt;&gt;"",Isa!W73+G72,G72)</f>
        <v>103</v>
      </c>
      <c r="H73" s="2">
        <f>IF('Tabela de Jogos'!C73&lt;&gt;"",Trops!W73+H72,H72)</f>
        <v>81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94</v>
      </c>
      <c r="C74" s="2">
        <f>IF('Tabela de Jogos'!C74&lt;&gt;"",Arthur!W74+C73,C73)</f>
        <v>107</v>
      </c>
      <c r="D74" s="2">
        <f>IF('Tabela de Jogos'!C74&lt;&gt;"",Dudu!W74+D73,D73)</f>
        <v>92</v>
      </c>
      <c r="E74" s="2">
        <f>IF('Tabela de Jogos'!C74&lt;&gt;"",Carol!W74+E73,E73)</f>
        <v>88</v>
      </c>
      <c r="F74" s="2">
        <f>IF('Tabela de Jogos'!C74&lt;&gt;"",Ana!W74+F73,F73)</f>
        <v>119</v>
      </c>
      <c r="G74" s="2">
        <f>IF('Tabela de Jogos'!C74&lt;&gt;"",Isa!W74+G73,G73)</f>
        <v>103</v>
      </c>
      <c r="H74" s="2">
        <f>IF('Tabela de Jogos'!C74&lt;&gt;"",Trops!W74+H73,H73)</f>
        <v>81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94</v>
      </c>
      <c r="C75" s="2">
        <f>IF('Tabela de Jogos'!C75&lt;&gt;"",Arthur!W75+C74,C74)</f>
        <v>107</v>
      </c>
      <c r="D75" s="2">
        <f>IF('Tabela de Jogos'!C75&lt;&gt;"",Dudu!W75+D74,D74)</f>
        <v>92</v>
      </c>
      <c r="E75" s="2">
        <f>IF('Tabela de Jogos'!C75&lt;&gt;"",Carol!W75+E74,E74)</f>
        <v>88</v>
      </c>
      <c r="F75" s="2">
        <f>IF('Tabela de Jogos'!C75&lt;&gt;"",Ana!W75+F74,F74)</f>
        <v>119</v>
      </c>
      <c r="G75" s="2">
        <f>IF('Tabela de Jogos'!C75&lt;&gt;"",Isa!W75+G74,G74)</f>
        <v>103</v>
      </c>
      <c r="H75" s="2">
        <f>IF('Tabela de Jogos'!C75&lt;&gt;"",Trops!W75+H74,H74)</f>
        <v>81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94</v>
      </c>
      <c r="C76" s="2">
        <f>IF('Tabela de Jogos'!C76&lt;&gt;"",Arthur!W76+C75,C75)</f>
        <v>107</v>
      </c>
      <c r="D76" s="2">
        <f>IF('Tabela de Jogos'!C76&lt;&gt;"",Dudu!W76+D75,D75)</f>
        <v>92</v>
      </c>
      <c r="E76" s="2">
        <f>IF('Tabela de Jogos'!C76&lt;&gt;"",Carol!W76+E75,E75)</f>
        <v>88</v>
      </c>
      <c r="F76" s="2">
        <f>IF('Tabela de Jogos'!C76&lt;&gt;"",Ana!W76+F75,F75)</f>
        <v>119</v>
      </c>
      <c r="G76" s="2">
        <f>IF('Tabela de Jogos'!C76&lt;&gt;"",Isa!W76+G75,G75)</f>
        <v>103</v>
      </c>
      <c r="H76" s="2">
        <f>IF('Tabela de Jogos'!C76&lt;&gt;"",Trops!W76+H75,H75)</f>
        <v>81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94</v>
      </c>
      <c r="C77" s="2">
        <f>IF('Tabela de Jogos'!C77&lt;&gt;"",Arthur!W77+C76,C76)</f>
        <v>107</v>
      </c>
      <c r="D77" s="2">
        <f>IF('Tabela de Jogos'!C77&lt;&gt;"",Dudu!W77+D76,D76)</f>
        <v>92</v>
      </c>
      <c r="E77" s="2">
        <f>IF('Tabela de Jogos'!C77&lt;&gt;"",Carol!W77+E76,E76)</f>
        <v>88</v>
      </c>
      <c r="F77" s="2">
        <f>IF('Tabela de Jogos'!C77&lt;&gt;"",Ana!W77+F76,F76)</f>
        <v>119</v>
      </c>
      <c r="G77" s="2">
        <f>IF('Tabela de Jogos'!C77&lt;&gt;"",Isa!W77+G76,G76)</f>
        <v>103</v>
      </c>
      <c r="H77" s="2">
        <f>IF('Tabela de Jogos'!C77&lt;&gt;"",Trops!W77+H76,H76)</f>
        <v>81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94</v>
      </c>
      <c r="C78" s="2">
        <f>IF('Tabela de Jogos'!C78&lt;&gt;"",Arthur!W78+C77,C77)</f>
        <v>107</v>
      </c>
      <c r="D78" s="2">
        <f>IF('Tabela de Jogos'!C78&lt;&gt;"",Dudu!W78+D77,D77)</f>
        <v>92</v>
      </c>
      <c r="E78" s="2">
        <f>IF('Tabela de Jogos'!C78&lt;&gt;"",Carol!W78+E77,E77)</f>
        <v>88</v>
      </c>
      <c r="F78" s="2">
        <f>IF('Tabela de Jogos'!C78&lt;&gt;"",Ana!W78+F77,F77)</f>
        <v>119</v>
      </c>
      <c r="G78" s="2">
        <f>IF('Tabela de Jogos'!C78&lt;&gt;"",Isa!W78+G77,G77)</f>
        <v>103</v>
      </c>
      <c r="H78" s="2">
        <f>IF('Tabela de Jogos'!C78&lt;&gt;"",Trops!W78+H77,H77)</f>
        <v>81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94</v>
      </c>
      <c r="C79" s="2">
        <f>IF('Tabela de Jogos'!C79&lt;&gt;"",Arthur!W79+C78,C78)</f>
        <v>107</v>
      </c>
      <c r="D79" s="2">
        <f>IF('Tabela de Jogos'!C79&lt;&gt;"",Dudu!W79+D78,D78)</f>
        <v>92</v>
      </c>
      <c r="E79" s="2">
        <f>IF('Tabela de Jogos'!C79&lt;&gt;"",Carol!W79+E78,E78)</f>
        <v>88</v>
      </c>
      <c r="F79" s="2">
        <f>IF('Tabela de Jogos'!C79&lt;&gt;"",Ana!W79+F78,F78)</f>
        <v>119</v>
      </c>
      <c r="G79" s="2">
        <f>IF('Tabela de Jogos'!C79&lt;&gt;"",Isa!W79+G78,G78)</f>
        <v>103</v>
      </c>
      <c r="H79" s="2">
        <f>IF('Tabela de Jogos'!C79&lt;&gt;"",Trops!W79+H78,H78)</f>
        <v>81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94</v>
      </c>
      <c r="C80" s="2">
        <f>IF('Tabela de Jogos'!C80&lt;&gt;"",Arthur!W80+C79,C79)</f>
        <v>107</v>
      </c>
      <c r="D80" s="2">
        <f>IF('Tabela de Jogos'!C80&lt;&gt;"",Dudu!W80+D79,D79)</f>
        <v>92</v>
      </c>
      <c r="E80" s="2">
        <f>IF('Tabela de Jogos'!C80&lt;&gt;"",Carol!W80+E79,E79)</f>
        <v>88</v>
      </c>
      <c r="F80" s="2">
        <f>IF('Tabela de Jogos'!C80&lt;&gt;"",Ana!W80+F79,F79)</f>
        <v>119</v>
      </c>
      <c r="G80" s="2">
        <f>IF('Tabela de Jogos'!C80&lt;&gt;"",Isa!W80+G79,G79)</f>
        <v>103</v>
      </c>
      <c r="H80" s="2">
        <f>IF('Tabela de Jogos'!C80&lt;&gt;"",Trops!W80+H79,H79)</f>
        <v>81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94</v>
      </c>
      <c r="C81" s="2">
        <f>IF('Tabela de Jogos'!C81&lt;&gt;"",Arthur!W81+C80,C80)</f>
        <v>107</v>
      </c>
      <c r="D81" s="2">
        <f>IF('Tabela de Jogos'!C81&lt;&gt;"",Dudu!W81+D80,D80)</f>
        <v>92</v>
      </c>
      <c r="E81" s="2">
        <f>IF('Tabela de Jogos'!C81&lt;&gt;"",Carol!W81+E80,E80)</f>
        <v>88</v>
      </c>
      <c r="F81" s="2">
        <f>IF('Tabela de Jogos'!C81&lt;&gt;"",Ana!W81+F80,F80)</f>
        <v>119</v>
      </c>
      <c r="G81" s="2">
        <f>IF('Tabela de Jogos'!C81&lt;&gt;"",Isa!W81+G80,G80)</f>
        <v>103</v>
      </c>
      <c r="H81" s="2">
        <f>IF('Tabela de Jogos'!C81&lt;&gt;"",Trops!W81+H80,H80)</f>
        <v>81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94</v>
      </c>
      <c r="C82" s="2">
        <f>IF('Tabela de Jogos'!C82&lt;&gt;"",Arthur!W82+C81,C81)</f>
        <v>107</v>
      </c>
      <c r="D82" s="2">
        <f>IF('Tabela de Jogos'!C82&lt;&gt;"",Dudu!W82+D81,D81)</f>
        <v>92</v>
      </c>
      <c r="E82" s="2">
        <f>IF('Tabela de Jogos'!C82&lt;&gt;"",Carol!W82+E81,E81)</f>
        <v>88</v>
      </c>
      <c r="F82" s="2">
        <f>IF('Tabela de Jogos'!C82&lt;&gt;"",Ana!W82+F81,F81)</f>
        <v>119</v>
      </c>
      <c r="G82" s="2">
        <f>IF('Tabela de Jogos'!C82&lt;&gt;"",Isa!W82+G81,G81)</f>
        <v>103</v>
      </c>
      <c r="H82" s="2">
        <f>IF('Tabela de Jogos'!C82&lt;&gt;"",Trops!W82+H81,H81)</f>
        <v>81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94</v>
      </c>
      <c r="C83" s="2">
        <f>IF('Tabela de Jogos'!C83&lt;&gt;"",Arthur!W83+C82,C82)</f>
        <v>107</v>
      </c>
      <c r="D83" s="2">
        <f>IF('Tabela de Jogos'!C83&lt;&gt;"",Dudu!W83+D82,D82)</f>
        <v>92</v>
      </c>
      <c r="E83" s="2">
        <f>IF('Tabela de Jogos'!C83&lt;&gt;"",Carol!W83+E82,E82)</f>
        <v>88</v>
      </c>
      <c r="F83" s="2">
        <f>IF('Tabela de Jogos'!C83&lt;&gt;"",Ana!W83+F82,F82)</f>
        <v>119</v>
      </c>
      <c r="G83" s="2">
        <f>IF('Tabela de Jogos'!C83&lt;&gt;"",Isa!W83+G82,G82)</f>
        <v>103</v>
      </c>
      <c r="H83" s="2">
        <f>IF('Tabela de Jogos'!C83&lt;&gt;"",Trops!W83+H82,H82)</f>
        <v>81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94</v>
      </c>
      <c r="C84" s="2">
        <f>IF('Tabela de Jogos'!C84&lt;&gt;"",Arthur!W84+C83,C83)</f>
        <v>107</v>
      </c>
      <c r="D84" s="2">
        <f>IF('Tabela de Jogos'!C84&lt;&gt;"",Dudu!W84+D83,D83)</f>
        <v>92</v>
      </c>
      <c r="E84" s="2">
        <f>IF('Tabela de Jogos'!C84&lt;&gt;"",Carol!W84+E83,E83)</f>
        <v>88</v>
      </c>
      <c r="F84" s="2">
        <f>IF('Tabela de Jogos'!C84&lt;&gt;"",Ana!W84+F83,F83)</f>
        <v>119</v>
      </c>
      <c r="G84" s="2">
        <f>IF('Tabela de Jogos'!C84&lt;&gt;"",Isa!W84+G83,G83)</f>
        <v>103</v>
      </c>
      <c r="H84" s="2">
        <f>IF('Tabela de Jogos'!C84&lt;&gt;"",Trops!W84+H83,H83)</f>
        <v>81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94</v>
      </c>
      <c r="C85" s="2">
        <f>IF('Tabela de Jogos'!C85&lt;&gt;"",Arthur!W85+C84,C84)</f>
        <v>107</v>
      </c>
      <c r="D85" s="2">
        <f>IF('Tabela de Jogos'!C85&lt;&gt;"",Dudu!W85+D84,D84)</f>
        <v>92</v>
      </c>
      <c r="E85" s="2">
        <f>IF('Tabela de Jogos'!C85&lt;&gt;"",Carol!W85+E84,E84)</f>
        <v>88</v>
      </c>
      <c r="F85" s="2">
        <f>IF('Tabela de Jogos'!C85&lt;&gt;"",Ana!W85+F84,F84)</f>
        <v>119</v>
      </c>
      <c r="G85" s="2">
        <f>IF('Tabela de Jogos'!C85&lt;&gt;"",Isa!W85+G84,G84)</f>
        <v>103</v>
      </c>
      <c r="H85" s="2">
        <f>IF('Tabela de Jogos'!C85&lt;&gt;"",Trops!W85+H84,H84)</f>
        <v>81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94</v>
      </c>
      <c r="C86" s="2">
        <f>IF('Tabela de Jogos'!C86&lt;&gt;"",Arthur!W86+C85,C85)</f>
        <v>107</v>
      </c>
      <c r="D86" s="2">
        <f>IF('Tabela de Jogos'!C86&lt;&gt;"",Dudu!W86+D85,D85)</f>
        <v>92</v>
      </c>
      <c r="E86" s="2">
        <f>IF('Tabela de Jogos'!C86&lt;&gt;"",Carol!W86+E85,E85)</f>
        <v>88</v>
      </c>
      <c r="F86" s="2">
        <f>IF('Tabela de Jogos'!C86&lt;&gt;"",Ana!W86+F85,F85)</f>
        <v>119</v>
      </c>
      <c r="G86" s="2">
        <f>IF('Tabela de Jogos'!C86&lt;&gt;"",Isa!W86+G85,G85)</f>
        <v>103</v>
      </c>
      <c r="H86" s="2">
        <f>IF('Tabela de Jogos'!C86&lt;&gt;"",Trops!W86+H85,H85)</f>
        <v>81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94</v>
      </c>
      <c r="C87" s="2">
        <f>IF('Tabela de Jogos'!C87&lt;&gt;"",Arthur!W87+C86,C86)</f>
        <v>107</v>
      </c>
      <c r="D87" s="2">
        <f>IF('Tabela de Jogos'!C87&lt;&gt;"",Dudu!W87+D86,D86)</f>
        <v>92</v>
      </c>
      <c r="E87" s="2">
        <f>IF('Tabela de Jogos'!C87&lt;&gt;"",Carol!W87+E86,E86)</f>
        <v>88</v>
      </c>
      <c r="F87" s="2">
        <f>IF('Tabela de Jogos'!C87&lt;&gt;"",Ana!W87+F86,F86)</f>
        <v>119</v>
      </c>
      <c r="G87" s="2">
        <f>IF('Tabela de Jogos'!C87&lt;&gt;"",Isa!W87+G86,G86)</f>
        <v>103</v>
      </c>
      <c r="H87" s="2">
        <f>IF('Tabela de Jogos'!C87&lt;&gt;"",Trops!W87+H86,H86)</f>
        <v>81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94</v>
      </c>
      <c r="C88" s="2">
        <f>IF('Tabela de Jogos'!C88&lt;&gt;"",Arthur!W88+C87,C87)</f>
        <v>107</v>
      </c>
      <c r="D88" s="2">
        <f>IF('Tabela de Jogos'!C88&lt;&gt;"",Dudu!W88+D87,D87)</f>
        <v>92</v>
      </c>
      <c r="E88" s="2">
        <f>IF('Tabela de Jogos'!C88&lt;&gt;"",Carol!W88+E87,E87)</f>
        <v>88</v>
      </c>
      <c r="F88" s="2">
        <f>IF('Tabela de Jogos'!C88&lt;&gt;"",Ana!W88+F87,F87)</f>
        <v>119</v>
      </c>
      <c r="G88" s="2">
        <f>IF('Tabela de Jogos'!C88&lt;&gt;"",Isa!W88+G87,G87)</f>
        <v>103</v>
      </c>
      <c r="H88" s="2">
        <f>IF('Tabela de Jogos'!C88&lt;&gt;"",Trops!W88+H87,H87)</f>
        <v>81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94</v>
      </c>
      <c r="C89" s="2">
        <f>IF('Tabela de Jogos'!C89&lt;&gt;"",Arthur!W89+C88,C88)</f>
        <v>107</v>
      </c>
      <c r="D89" s="2">
        <f>IF('Tabela de Jogos'!C89&lt;&gt;"",Dudu!W89+D88,D88)</f>
        <v>92</v>
      </c>
      <c r="E89" s="2">
        <f>IF('Tabela de Jogos'!C89&lt;&gt;"",Carol!W89+E88,E88)</f>
        <v>88</v>
      </c>
      <c r="F89" s="2">
        <f>IF('Tabela de Jogos'!C89&lt;&gt;"",Ana!W89+F88,F88)</f>
        <v>119</v>
      </c>
      <c r="G89" s="2">
        <f>IF('Tabela de Jogos'!C89&lt;&gt;"",Isa!W89+G88,G88)</f>
        <v>103</v>
      </c>
      <c r="H89" s="2">
        <f>IF('Tabela de Jogos'!C89&lt;&gt;"",Trops!W89+H88,H88)</f>
        <v>81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94</v>
      </c>
      <c r="C90" s="2">
        <f>IF('Tabela de Jogos'!C90&lt;&gt;"",Arthur!W90+C89,C89)</f>
        <v>107</v>
      </c>
      <c r="D90" s="2">
        <f>IF('Tabela de Jogos'!C90&lt;&gt;"",Dudu!W90+D89,D89)</f>
        <v>92</v>
      </c>
      <c r="E90" s="2">
        <f>IF('Tabela de Jogos'!C90&lt;&gt;"",Carol!W90+E89,E89)</f>
        <v>88</v>
      </c>
      <c r="F90" s="2">
        <f>IF('Tabela de Jogos'!C90&lt;&gt;"",Ana!W90+F89,F89)</f>
        <v>119</v>
      </c>
      <c r="G90" s="2">
        <f>IF('Tabela de Jogos'!C90&lt;&gt;"",Isa!W90+G89,G89)</f>
        <v>103</v>
      </c>
      <c r="H90" s="2">
        <f>IF('Tabela de Jogos'!C90&lt;&gt;"",Trops!W90+H89,H89)</f>
        <v>81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94</v>
      </c>
      <c r="C91" s="2">
        <f>IF('Tabela de Jogos'!C91&lt;&gt;"",Arthur!W91+C90,C90)</f>
        <v>107</v>
      </c>
      <c r="D91" s="2">
        <f>IF('Tabela de Jogos'!C91&lt;&gt;"",Dudu!W91+D90,D90)</f>
        <v>92</v>
      </c>
      <c r="E91" s="2">
        <f>IF('Tabela de Jogos'!C91&lt;&gt;"",Carol!W91+E90,E90)</f>
        <v>88</v>
      </c>
      <c r="F91" s="2">
        <f>IF('Tabela de Jogos'!C91&lt;&gt;"",Ana!W91+F90,F90)</f>
        <v>119</v>
      </c>
      <c r="G91" s="2">
        <f>IF('Tabela de Jogos'!C91&lt;&gt;"",Isa!W91+G90,G90)</f>
        <v>103</v>
      </c>
      <c r="H91" s="2">
        <f>IF('Tabela de Jogos'!C91&lt;&gt;"",Trops!W91+H90,H90)</f>
        <v>81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94</v>
      </c>
      <c r="C92" s="2">
        <f>IF('Tabela de Jogos'!C92&lt;&gt;"",Arthur!W92+C91,C91)</f>
        <v>107</v>
      </c>
      <c r="D92" s="2">
        <f>IF('Tabela de Jogos'!C92&lt;&gt;"",Dudu!W92+D91,D91)</f>
        <v>92</v>
      </c>
      <c r="E92" s="2">
        <f>IF('Tabela de Jogos'!C92&lt;&gt;"",Carol!W92+E91,E91)</f>
        <v>88</v>
      </c>
      <c r="F92" s="2">
        <f>IF('Tabela de Jogos'!C92&lt;&gt;"",Ana!W92+F91,F91)</f>
        <v>119</v>
      </c>
      <c r="G92" s="2">
        <f>IF('Tabela de Jogos'!C92&lt;&gt;"",Isa!W92+G91,G91)</f>
        <v>103</v>
      </c>
      <c r="H92" s="2">
        <f>IF('Tabela de Jogos'!C92&lt;&gt;"",Trops!W92+H91,H91)</f>
        <v>81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94</v>
      </c>
      <c r="C93" s="2">
        <f>IF('Tabela de Jogos'!C93&lt;&gt;"",Arthur!W93+C92,C92)</f>
        <v>107</v>
      </c>
      <c r="D93" s="2">
        <f>IF('Tabela de Jogos'!C93&lt;&gt;"",Dudu!W93+D92,D92)</f>
        <v>92</v>
      </c>
      <c r="E93" s="2">
        <f>IF('Tabela de Jogos'!C93&lt;&gt;"",Carol!W93+E92,E92)</f>
        <v>88</v>
      </c>
      <c r="F93" s="2">
        <f>IF('Tabela de Jogos'!C93&lt;&gt;"",Ana!W93+F92,F92)</f>
        <v>119</v>
      </c>
      <c r="G93" s="2">
        <f>IF('Tabela de Jogos'!C93&lt;&gt;"",Isa!W93+G92,G92)</f>
        <v>103</v>
      </c>
      <c r="H93" s="2">
        <f>IF('Tabela de Jogos'!C93&lt;&gt;"",Trops!W93+H92,H92)</f>
        <v>81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94</v>
      </c>
      <c r="C94" s="2">
        <f>IF('Tabela de Jogos'!C94&lt;&gt;"",Arthur!W94+C93,C93)</f>
        <v>107</v>
      </c>
      <c r="D94" s="2">
        <f>IF('Tabela de Jogos'!C94&lt;&gt;"",Dudu!W94+D93,D93)</f>
        <v>92</v>
      </c>
      <c r="E94" s="2">
        <f>IF('Tabela de Jogos'!C94&lt;&gt;"",Carol!W94+E93,E93)</f>
        <v>88</v>
      </c>
      <c r="F94" s="2">
        <f>IF('Tabela de Jogos'!C94&lt;&gt;"",Ana!W94+F93,F93)</f>
        <v>119</v>
      </c>
      <c r="G94" s="2">
        <f>IF('Tabela de Jogos'!C94&lt;&gt;"",Isa!W94+G93,G93)</f>
        <v>103</v>
      </c>
      <c r="H94" s="2">
        <f>IF('Tabela de Jogos'!C94&lt;&gt;"",Trops!W94+H93,H93)</f>
        <v>81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94</v>
      </c>
      <c r="C95" s="2">
        <f>IF('Tabela de Jogos'!C95&lt;&gt;"",Arthur!W95+C94,C94)</f>
        <v>107</v>
      </c>
      <c r="D95" s="2">
        <f>IF('Tabela de Jogos'!C95&lt;&gt;"",Dudu!W95+D94,D94)</f>
        <v>92</v>
      </c>
      <c r="E95" s="2">
        <f>IF('Tabela de Jogos'!C95&lt;&gt;"",Carol!W95+E94,E94)</f>
        <v>88</v>
      </c>
      <c r="F95" s="2">
        <f>IF('Tabela de Jogos'!C95&lt;&gt;"",Ana!W95+F94,F94)</f>
        <v>119</v>
      </c>
      <c r="G95" s="2">
        <f>IF('Tabela de Jogos'!C95&lt;&gt;"",Isa!W95+G94,G94)</f>
        <v>103</v>
      </c>
      <c r="H95" s="2">
        <f>IF('Tabela de Jogos'!C95&lt;&gt;"",Trops!W95+H94,H94)</f>
        <v>81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94</v>
      </c>
      <c r="C96" s="2">
        <f>IF('Tabela de Jogos'!C96&lt;&gt;"",Arthur!W96+C95,C95)</f>
        <v>107</v>
      </c>
      <c r="D96" s="2">
        <f>IF('Tabela de Jogos'!C96&lt;&gt;"",Dudu!W96+D95,D95)</f>
        <v>92</v>
      </c>
      <c r="E96" s="2">
        <f>IF('Tabela de Jogos'!C96&lt;&gt;"",Carol!W96+E95,E95)</f>
        <v>88</v>
      </c>
      <c r="F96" s="2">
        <f>IF('Tabela de Jogos'!C96&lt;&gt;"",Ana!W96+F95,F95)</f>
        <v>119</v>
      </c>
      <c r="G96" s="2">
        <f>IF('Tabela de Jogos'!C96&lt;&gt;"",Isa!W96+G95,G95)</f>
        <v>103</v>
      </c>
      <c r="H96" s="2">
        <f>IF('Tabela de Jogos'!C96&lt;&gt;"",Trops!W96+H95,H95)</f>
        <v>81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94</v>
      </c>
      <c r="C97" s="2">
        <f>IF('Tabela de Jogos'!C97&lt;&gt;"",Arthur!W97+C96,C96)</f>
        <v>107</v>
      </c>
      <c r="D97" s="2">
        <f>IF('Tabela de Jogos'!C97&lt;&gt;"",Dudu!W97+D96,D96)</f>
        <v>92</v>
      </c>
      <c r="E97" s="2">
        <f>IF('Tabela de Jogos'!C97&lt;&gt;"",Carol!W97+E96,E96)</f>
        <v>88</v>
      </c>
      <c r="F97" s="2">
        <f>IF('Tabela de Jogos'!C97&lt;&gt;"",Ana!W97+F96,F96)</f>
        <v>119</v>
      </c>
      <c r="G97" s="2">
        <f>IF('Tabela de Jogos'!C97&lt;&gt;"",Isa!W97+G96,G96)</f>
        <v>103</v>
      </c>
      <c r="H97" s="2">
        <f>IF('Tabela de Jogos'!C97&lt;&gt;"",Trops!W97+H96,H96)</f>
        <v>81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94</v>
      </c>
      <c r="C98" s="2">
        <f>IF('Tabela de Jogos'!C98&lt;&gt;"",Arthur!W98+C97,C97)</f>
        <v>107</v>
      </c>
      <c r="D98" s="2">
        <f>IF('Tabela de Jogos'!C98&lt;&gt;"",Dudu!W98+D97,D97)</f>
        <v>92</v>
      </c>
      <c r="E98" s="2">
        <f>IF('Tabela de Jogos'!C98&lt;&gt;"",Carol!W98+E97,E97)</f>
        <v>88</v>
      </c>
      <c r="F98" s="2">
        <f>IF('Tabela de Jogos'!C98&lt;&gt;"",Ana!W98+F97,F97)</f>
        <v>119</v>
      </c>
      <c r="G98" s="2">
        <f>IF('Tabela de Jogos'!C98&lt;&gt;"",Isa!W98+G97,G97)</f>
        <v>103</v>
      </c>
      <c r="H98" s="2">
        <f>IF('Tabela de Jogos'!C98&lt;&gt;"",Trops!W98+H97,H97)</f>
        <v>81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94</v>
      </c>
      <c r="C99" s="2">
        <f>IF('Tabela de Jogos'!C99&lt;&gt;"",Arthur!W99+C98,C98)</f>
        <v>107</v>
      </c>
      <c r="D99" s="2">
        <f>IF('Tabela de Jogos'!C99&lt;&gt;"",Dudu!W99+D98,D98)</f>
        <v>92</v>
      </c>
      <c r="E99" s="2">
        <f>IF('Tabela de Jogos'!C99&lt;&gt;"",Carol!W99+E98,E98)</f>
        <v>88</v>
      </c>
      <c r="F99" s="2">
        <f>IF('Tabela de Jogos'!C99&lt;&gt;"",Ana!W99+F98,F98)</f>
        <v>119</v>
      </c>
      <c r="G99" s="2">
        <f>IF('Tabela de Jogos'!C99&lt;&gt;"",Isa!W99+G98,G98)</f>
        <v>103</v>
      </c>
      <c r="H99" s="2">
        <f>IF('Tabela de Jogos'!C99&lt;&gt;"",Trops!W99+H98,H98)</f>
        <v>81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94</v>
      </c>
      <c r="C100" s="2">
        <f>IF('Tabela de Jogos'!C100&lt;&gt;"",Arthur!W100+C99,C99)</f>
        <v>107</v>
      </c>
      <c r="D100" s="2">
        <f>IF('Tabela de Jogos'!C100&lt;&gt;"",Dudu!W100+D99,D99)</f>
        <v>92</v>
      </c>
      <c r="E100" s="2">
        <f>IF('Tabela de Jogos'!C100&lt;&gt;"",Carol!W100+E99,E99)</f>
        <v>88</v>
      </c>
      <c r="F100" s="2">
        <f>IF('Tabela de Jogos'!C100&lt;&gt;"",Ana!W100+F99,F99)</f>
        <v>119</v>
      </c>
      <c r="G100" s="2">
        <f>IF('Tabela de Jogos'!C100&lt;&gt;"",Isa!W100+G99,G99)</f>
        <v>103</v>
      </c>
      <c r="H100" s="2">
        <f>IF('Tabela de Jogos'!C100&lt;&gt;"",Trops!W100+H99,H99)</f>
        <v>81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94</v>
      </c>
      <c r="C101" s="2">
        <f>IF('Tabela de Jogos'!C101&lt;&gt;"",Arthur!W101+C100,C100)</f>
        <v>107</v>
      </c>
      <c r="D101" s="2">
        <f>IF('Tabela de Jogos'!C101&lt;&gt;"",Dudu!W101+D100,D100)</f>
        <v>92</v>
      </c>
      <c r="E101" s="2">
        <f>IF('Tabela de Jogos'!C101&lt;&gt;"",Carol!W101+E100,E100)</f>
        <v>88</v>
      </c>
      <c r="F101" s="2">
        <f>IF('Tabela de Jogos'!C101&lt;&gt;"",Ana!W101+F100,F100)</f>
        <v>119</v>
      </c>
      <c r="G101" s="2">
        <f>IF('Tabela de Jogos'!C101&lt;&gt;"",Isa!W101+G100,G100)</f>
        <v>103</v>
      </c>
      <c r="H101" s="2">
        <f>IF('Tabela de Jogos'!C101&lt;&gt;"",Trops!W101+H100,H100)</f>
        <v>81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94</v>
      </c>
      <c r="C102" s="2">
        <f>IF('Tabela de Jogos'!C102&lt;&gt;"",Arthur!W102+C101,C101)</f>
        <v>107</v>
      </c>
      <c r="D102" s="2">
        <f>IF('Tabela de Jogos'!C102&lt;&gt;"",Dudu!W102+D101,D101)</f>
        <v>92</v>
      </c>
      <c r="E102" s="2">
        <f>IF('Tabela de Jogos'!C102&lt;&gt;"",Carol!W102+E101,E101)</f>
        <v>88</v>
      </c>
      <c r="F102" s="2">
        <f>IF('Tabela de Jogos'!C102&lt;&gt;"",Ana!W102+F101,F101)</f>
        <v>119</v>
      </c>
      <c r="G102" s="2">
        <f>IF('Tabela de Jogos'!C102&lt;&gt;"",Isa!W102+G101,G101)</f>
        <v>103</v>
      </c>
      <c r="H102" s="2">
        <f>IF('Tabela de Jogos'!C102&lt;&gt;"",Trops!W102+H101,H101)</f>
        <v>81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94</v>
      </c>
      <c r="C103" s="2">
        <f>IF('Tabela de Jogos'!C103&lt;&gt;"",Arthur!W103+C102,C102)</f>
        <v>107</v>
      </c>
      <c r="D103" s="2">
        <f>IF('Tabela de Jogos'!C103&lt;&gt;"",Dudu!W103+D102,D102)</f>
        <v>92</v>
      </c>
      <c r="E103" s="2">
        <f>IF('Tabela de Jogos'!C103&lt;&gt;"",Carol!W103+E102,E102)</f>
        <v>88</v>
      </c>
      <c r="F103" s="2">
        <f>IF('Tabela de Jogos'!C103&lt;&gt;"",Ana!W103+F102,F102)</f>
        <v>119</v>
      </c>
      <c r="G103" s="2">
        <f>IF('Tabela de Jogos'!C103&lt;&gt;"",Isa!W103+G102,G102)</f>
        <v>103</v>
      </c>
      <c r="H103" s="2">
        <f>IF('Tabela de Jogos'!C103&lt;&gt;"",Trops!W103+H102,H102)</f>
        <v>81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94</v>
      </c>
      <c r="C104" s="2">
        <f>IF('Tabela de Jogos'!C104&lt;&gt;"",Arthur!W104+C103,C103)</f>
        <v>107</v>
      </c>
      <c r="D104" s="2">
        <f>IF('Tabela de Jogos'!C104&lt;&gt;"",Dudu!W104+D103,D103)</f>
        <v>92</v>
      </c>
      <c r="E104" s="2">
        <f>IF('Tabela de Jogos'!C104&lt;&gt;"",Carol!W104+E103,E103)</f>
        <v>88</v>
      </c>
      <c r="F104" s="2">
        <f>IF('Tabela de Jogos'!C104&lt;&gt;"",Ana!W104+F103,F103)</f>
        <v>119</v>
      </c>
      <c r="G104" s="2">
        <f>IF('Tabela de Jogos'!C104&lt;&gt;"",Isa!W104+G103,G103)</f>
        <v>103</v>
      </c>
      <c r="H104" s="2">
        <f>IF('Tabela de Jogos'!C104&lt;&gt;"",Trops!W104+H103,H103)</f>
        <v>81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94</v>
      </c>
      <c r="C105" s="2">
        <f>IF('Tabela de Jogos'!C105&lt;&gt;"",Arthur!W105+C104,C104)</f>
        <v>107</v>
      </c>
      <c r="D105" s="2">
        <f>IF('Tabela de Jogos'!C105&lt;&gt;"",Dudu!W105+D104,D104)</f>
        <v>92</v>
      </c>
      <c r="E105" s="2">
        <f>IF('Tabela de Jogos'!C105&lt;&gt;"",Carol!W105+E104,E104)</f>
        <v>88</v>
      </c>
      <c r="F105" s="2">
        <f>IF('Tabela de Jogos'!C105&lt;&gt;"",Ana!W105+F104,F104)</f>
        <v>119</v>
      </c>
      <c r="G105" s="2">
        <f>IF('Tabela de Jogos'!C105&lt;&gt;"",Isa!W105+G104,G104)</f>
        <v>103</v>
      </c>
      <c r="H105" s="2">
        <f>IF('Tabela de Jogos'!C105&lt;&gt;"",Trops!W105+H104,H104)</f>
        <v>81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94</v>
      </c>
      <c r="C106" s="2">
        <f>IF('Tabela de Jogos'!C106&lt;&gt;"",Arthur!W106+C105,C105)</f>
        <v>107</v>
      </c>
      <c r="D106" s="2">
        <f>IF('Tabela de Jogos'!C106&lt;&gt;"",Dudu!W106+D105,D105)</f>
        <v>92</v>
      </c>
      <c r="E106" s="2">
        <f>IF('Tabela de Jogos'!C106&lt;&gt;"",Carol!W106+E105,E105)</f>
        <v>88</v>
      </c>
      <c r="F106" s="2">
        <f>IF('Tabela de Jogos'!C106&lt;&gt;"",Ana!W106+F105,F105)</f>
        <v>119</v>
      </c>
      <c r="G106" s="2">
        <f>IF('Tabela de Jogos'!C106&lt;&gt;"",Isa!W106+G105,G105)</f>
        <v>103</v>
      </c>
      <c r="H106" s="2">
        <f>IF('Tabela de Jogos'!C106&lt;&gt;"",Trops!W106+H105,H105)</f>
        <v>81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2026-06-25T22:05:38Z</dcterms:modified>
  <cp:category/>
  <cp:contentStatus/>
</cp:coreProperties>
</file>