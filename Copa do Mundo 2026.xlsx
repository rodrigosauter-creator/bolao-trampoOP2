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FFECB39A-2D01-4EE8-BE34-A7889D468170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J4" i="3" l="1"/>
  <c r="K4" i="3"/>
  <c r="L4" i="3"/>
  <c r="M4" i="3"/>
  <c r="N4" i="3"/>
  <c r="O4" i="3"/>
  <c r="P4" i="3"/>
  <c r="J5" i="3"/>
  <c r="K5" i="3"/>
  <c r="L5" i="3"/>
  <c r="M5" i="3"/>
  <c r="N5" i="3"/>
  <c r="O5" i="3"/>
  <c r="P5" i="3"/>
  <c r="J6" i="3"/>
  <c r="K6" i="3"/>
  <c r="L6" i="3"/>
  <c r="M6" i="3"/>
  <c r="N6" i="3"/>
  <c r="O6" i="3"/>
  <c r="P6" i="3"/>
  <c r="J7" i="3"/>
  <c r="K7" i="3"/>
  <c r="L7" i="3"/>
  <c r="M7" i="3"/>
  <c r="N7" i="3"/>
  <c r="O7" i="3"/>
  <c r="P7" i="3"/>
  <c r="J8" i="3"/>
  <c r="K8" i="3"/>
  <c r="L8" i="3"/>
  <c r="M8" i="3"/>
  <c r="N8" i="3"/>
  <c r="O8" i="3"/>
  <c r="P8" i="3"/>
  <c r="J9" i="3"/>
  <c r="K9" i="3"/>
  <c r="L9" i="3"/>
  <c r="M9" i="3"/>
  <c r="N9" i="3"/>
  <c r="O9" i="3"/>
  <c r="P9" i="3"/>
  <c r="J10" i="3"/>
  <c r="K10" i="3"/>
  <c r="L10" i="3"/>
  <c r="M10" i="3"/>
  <c r="N10" i="3"/>
  <c r="O10" i="3"/>
  <c r="P10" i="3"/>
  <c r="J11" i="3"/>
  <c r="K11" i="3"/>
  <c r="L11" i="3"/>
  <c r="M11" i="3"/>
  <c r="N11" i="3"/>
  <c r="O11" i="3"/>
  <c r="P11" i="3"/>
  <c r="K23" i="3"/>
  <c r="L23" i="3"/>
  <c r="M23" i="3"/>
  <c r="O23" i="3"/>
  <c r="P23" i="3"/>
  <c r="J24" i="3"/>
  <c r="K24" i="3"/>
  <c r="L24" i="3"/>
  <c r="M24" i="3"/>
  <c r="O24" i="3"/>
  <c r="P24" i="3"/>
  <c r="J25" i="3"/>
  <c r="K25" i="3"/>
  <c r="L25" i="3"/>
  <c r="M25" i="3"/>
  <c r="O25" i="3"/>
  <c r="P25" i="3"/>
  <c r="J26" i="3"/>
  <c r="K26" i="3"/>
  <c r="L26" i="3"/>
  <c r="M26" i="3"/>
  <c r="O26" i="3"/>
  <c r="P26" i="3"/>
  <c r="J27" i="3"/>
  <c r="K27" i="3"/>
  <c r="L27" i="3"/>
  <c r="M27" i="3"/>
  <c r="N27" i="3"/>
  <c r="O27" i="3"/>
  <c r="P27" i="3"/>
  <c r="J28" i="3"/>
  <c r="K28" i="3"/>
  <c r="L28" i="3"/>
  <c r="M28" i="3"/>
  <c r="N28" i="3"/>
  <c r="O28" i="3"/>
  <c r="P28" i="3"/>
  <c r="J29" i="3"/>
  <c r="K29" i="3"/>
  <c r="L29" i="3"/>
  <c r="M29" i="3"/>
  <c r="N29" i="3"/>
  <c r="O29" i="3"/>
  <c r="P29" i="3"/>
  <c r="J30" i="3"/>
  <c r="K30" i="3"/>
  <c r="L30" i="3"/>
  <c r="M30" i="3"/>
  <c r="N30" i="3"/>
  <c r="O30" i="3"/>
  <c r="P30" i="3"/>
  <c r="J31" i="3"/>
  <c r="K31" i="3"/>
  <c r="L31" i="3"/>
  <c r="M31" i="3"/>
  <c r="N31" i="3"/>
  <c r="O31" i="3"/>
  <c r="P31" i="3"/>
  <c r="J32" i="3"/>
  <c r="K32" i="3"/>
  <c r="L32" i="3"/>
  <c r="M32" i="3"/>
  <c r="N32" i="3"/>
  <c r="O32" i="3"/>
  <c r="P32" i="3"/>
  <c r="J33" i="3"/>
  <c r="K33" i="3"/>
  <c r="L33" i="3"/>
  <c r="M33" i="3"/>
  <c r="N33" i="3"/>
  <c r="O33" i="3"/>
  <c r="P33" i="3"/>
  <c r="J34" i="3"/>
  <c r="K34" i="3"/>
  <c r="L34" i="3"/>
  <c r="M34" i="3"/>
  <c r="N34" i="3"/>
  <c r="O34" i="3"/>
  <c r="P34" i="3"/>
  <c r="J35" i="3"/>
  <c r="K35" i="3"/>
  <c r="L35" i="3"/>
  <c r="M35" i="3"/>
  <c r="N35" i="3"/>
  <c r="O35" i="3"/>
  <c r="P35" i="3"/>
  <c r="J36" i="3"/>
  <c r="K36" i="3"/>
  <c r="L36" i="3"/>
  <c r="M36" i="3"/>
  <c r="N36" i="3"/>
  <c r="O36" i="3"/>
  <c r="P36" i="3"/>
  <c r="J37" i="3"/>
  <c r="K37" i="3"/>
  <c r="L37" i="3"/>
  <c r="M37" i="3"/>
  <c r="N37" i="3"/>
  <c r="O37" i="3"/>
  <c r="P37" i="3"/>
  <c r="J38" i="3"/>
  <c r="K38" i="3"/>
  <c r="L38" i="3"/>
  <c r="M38" i="3"/>
  <c r="N38" i="3"/>
  <c r="O38" i="3"/>
  <c r="P38" i="3"/>
  <c r="J39" i="3"/>
  <c r="K39" i="3"/>
  <c r="L39" i="3"/>
  <c r="M39" i="3"/>
  <c r="N39" i="3"/>
  <c r="O39" i="3"/>
  <c r="P39" i="3"/>
  <c r="J40" i="3"/>
  <c r="K40" i="3"/>
  <c r="L40" i="3"/>
  <c r="M40" i="3"/>
  <c r="N40" i="3"/>
  <c r="O40" i="3"/>
  <c r="P40" i="3"/>
  <c r="J41" i="3"/>
  <c r="K41" i="3"/>
  <c r="L41" i="3"/>
  <c r="M41" i="3"/>
  <c r="N41" i="3"/>
  <c r="O41" i="3"/>
  <c r="P41" i="3"/>
  <c r="J42" i="3"/>
  <c r="K42" i="3"/>
  <c r="L42" i="3"/>
  <c r="M42" i="3"/>
  <c r="N42" i="3"/>
  <c r="O42" i="3"/>
  <c r="P42" i="3"/>
  <c r="J43" i="3"/>
  <c r="K43" i="3"/>
  <c r="L43" i="3"/>
  <c r="M43" i="3"/>
  <c r="N43" i="3"/>
  <c r="O43" i="3"/>
  <c r="P43" i="3"/>
  <c r="J44" i="3"/>
  <c r="K44" i="3"/>
  <c r="L44" i="3"/>
  <c r="M44" i="3"/>
  <c r="N44" i="3"/>
  <c r="O44" i="3"/>
  <c r="P44" i="3"/>
  <c r="J45" i="3"/>
  <c r="K45" i="3"/>
  <c r="L45" i="3"/>
  <c r="M45" i="3"/>
  <c r="N45" i="3"/>
  <c r="O45" i="3"/>
  <c r="P45" i="3"/>
  <c r="J46" i="3"/>
  <c r="K46" i="3"/>
  <c r="L46" i="3"/>
  <c r="M46" i="3"/>
  <c r="N46" i="3"/>
  <c r="O46" i="3"/>
  <c r="P46" i="3"/>
  <c r="J47" i="3"/>
  <c r="K47" i="3"/>
  <c r="L47" i="3"/>
  <c r="M47" i="3"/>
  <c r="N47" i="3"/>
  <c r="O47" i="3"/>
  <c r="P47" i="3"/>
  <c r="J48" i="3"/>
  <c r="K48" i="3"/>
  <c r="L48" i="3"/>
  <c r="M48" i="3"/>
  <c r="N48" i="3"/>
  <c r="O48" i="3"/>
  <c r="P48" i="3"/>
  <c r="J49" i="3"/>
  <c r="K49" i="3"/>
  <c r="L49" i="3"/>
  <c r="M49" i="3"/>
  <c r="N49" i="3"/>
  <c r="O49" i="3"/>
  <c r="P49" i="3"/>
  <c r="J50" i="3"/>
  <c r="K50" i="3"/>
  <c r="L50" i="3"/>
  <c r="M50" i="3"/>
  <c r="N50" i="3"/>
  <c r="O50" i="3"/>
  <c r="P50" i="3"/>
  <c r="J51" i="3"/>
  <c r="K51" i="3"/>
  <c r="L51" i="3"/>
  <c r="M51" i="3"/>
  <c r="N51" i="3"/>
  <c r="O51" i="3"/>
  <c r="P51" i="3"/>
  <c r="J52" i="3"/>
  <c r="K52" i="3"/>
  <c r="L52" i="3"/>
  <c r="M52" i="3"/>
  <c r="N52" i="3"/>
  <c r="O52" i="3"/>
  <c r="P52" i="3"/>
  <c r="J53" i="3"/>
  <c r="K53" i="3"/>
  <c r="L53" i="3"/>
  <c r="M53" i="3"/>
  <c r="N53" i="3"/>
  <c r="O53" i="3"/>
  <c r="P53" i="3"/>
  <c r="J54" i="3"/>
  <c r="K54" i="3"/>
  <c r="L54" i="3"/>
  <c r="M54" i="3"/>
  <c r="N54" i="3"/>
  <c r="O54" i="3"/>
  <c r="P54" i="3"/>
  <c r="J55" i="3"/>
  <c r="K55" i="3"/>
  <c r="L55" i="3"/>
  <c r="M55" i="3"/>
  <c r="N55" i="3"/>
  <c r="O55" i="3"/>
  <c r="P55" i="3"/>
  <c r="J56" i="3"/>
  <c r="K56" i="3"/>
  <c r="L56" i="3"/>
  <c r="M56" i="3"/>
  <c r="N56" i="3"/>
  <c r="O56" i="3"/>
  <c r="P56" i="3"/>
  <c r="J57" i="3"/>
  <c r="K57" i="3"/>
  <c r="L57" i="3"/>
  <c r="M57" i="3"/>
  <c r="N57" i="3"/>
  <c r="O57" i="3"/>
  <c r="P57" i="3"/>
  <c r="J58" i="3"/>
  <c r="K58" i="3"/>
  <c r="L58" i="3"/>
  <c r="M58" i="3"/>
  <c r="N58" i="3"/>
  <c r="O58" i="3"/>
  <c r="P58" i="3"/>
  <c r="J59" i="3"/>
  <c r="K59" i="3"/>
  <c r="L59" i="3"/>
  <c r="M59" i="3"/>
  <c r="N59" i="3"/>
  <c r="O59" i="3"/>
  <c r="P59" i="3"/>
  <c r="J60" i="3"/>
  <c r="K60" i="3"/>
  <c r="L60" i="3"/>
  <c r="M60" i="3"/>
  <c r="N60" i="3"/>
  <c r="O60" i="3"/>
  <c r="P60" i="3"/>
  <c r="J61" i="3"/>
  <c r="K61" i="3"/>
  <c r="L61" i="3"/>
  <c r="M61" i="3"/>
  <c r="N61" i="3"/>
  <c r="O61" i="3"/>
  <c r="P61" i="3"/>
  <c r="J62" i="3"/>
  <c r="K62" i="3"/>
  <c r="L62" i="3"/>
  <c r="M62" i="3"/>
  <c r="N62" i="3"/>
  <c r="O62" i="3"/>
  <c r="P62" i="3"/>
  <c r="J63" i="3"/>
  <c r="K63" i="3"/>
  <c r="L63" i="3"/>
  <c r="M63" i="3"/>
  <c r="N63" i="3"/>
  <c r="O63" i="3"/>
  <c r="P63" i="3"/>
  <c r="J64" i="3"/>
  <c r="K64" i="3"/>
  <c r="L64" i="3"/>
  <c r="M64" i="3"/>
  <c r="N64" i="3"/>
  <c r="O64" i="3"/>
  <c r="P64" i="3"/>
  <c r="J65" i="3"/>
  <c r="K65" i="3"/>
  <c r="L65" i="3"/>
  <c r="M65" i="3"/>
  <c r="N65" i="3"/>
  <c r="O65" i="3"/>
  <c r="P65" i="3"/>
  <c r="J66" i="3"/>
  <c r="K66" i="3"/>
  <c r="L66" i="3"/>
  <c r="M66" i="3"/>
  <c r="N66" i="3"/>
  <c r="O66" i="3"/>
  <c r="P66" i="3"/>
  <c r="J67" i="3"/>
  <c r="K67" i="3"/>
  <c r="L67" i="3"/>
  <c r="M67" i="3"/>
  <c r="N67" i="3"/>
  <c r="O67" i="3"/>
  <c r="P67" i="3"/>
  <c r="J68" i="3"/>
  <c r="K68" i="3"/>
  <c r="L68" i="3"/>
  <c r="M68" i="3"/>
  <c r="N68" i="3"/>
  <c r="O68" i="3"/>
  <c r="P68" i="3"/>
  <c r="J69" i="3"/>
  <c r="K69" i="3"/>
  <c r="L69" i="3"/>
  <c r="M69" i="3"/>
  <c r="N69" i="3"/>
  <c r="O69" i="3"/>
  <c r="P69" i="3"/>
  <c r="J70" i="3"/>
  <c r="K70" i="3"/>
  <c r="L70" i="3"/>
  <c r="M70" i="3"/>
  <c r="N70" i="3"/>
  <c r="O70" i="3"/>
  <c r="P70" i="3"/>
  <c r="J71" i="3"/>
  <c r="K71" i="3"/>
  <c r="L71" i="3"/>
  <c r="M71" i="3"/>
  <c r="N71" i="3"/>
  <c r="O71" i="3"/>
  <c r="P71" i="3"/>
  <c r="J72" i="3"/>
  <c r="K72" i="3"/>
  <c r="L72" i="3"/>
  <c r="M72" i="3"/>
  <c r="N72" i="3"/>
  <c r="O72" i="3"/>
  <c r="P72" i="3"/>
  <c r="J73" i="3"/>
  <c r="K73" i="3"/>
  <c r="L73" i="3"/>
  <c r="M73" i="3"/>
  <c r="N73" i="3"/>
  <c r="O73" i="3"/>
  <c r="P73" i="3"/>
  <c r="J74" i="3"/>
  <c r="K74" i="3"/>
  <c r="L74" i="3"/>
  <c r="M74" i="3"/>
  <c r="N74" i="3"/>
  <c r="O74" i="3"/>
  <c r="P74" i="3"/>
  <c r="J75" i="3"/>
  <c r="K75" i="3"/>
  <c r="L75" i="3"/>
  <c r="M75" i="3"/>
  <c r="N75" i="3"/>
  <c r="O75" i="3"/>
  <c r="P75" i="3"/>
  <c r="J76" i="3"/>
  <c r="K76" i="3"/>
  <c r="L76" i="3"/>
  <c r="M76" i="3"/>
  <c r="N76" i="3"/>
  <c r="O76" i="3"/>
  <c r="P76" i="3"/>
  <c r="J77" i="3"/>
  <c r="K77" i="3"/>
  <c r="L77" i="3"/>
  <c r="M77" i="3"/>
  <c r="N77" i="3"/>
  <c r="O77" i="3"/>
  <c r="P77" i="3"/>
  <c r="J78" i="3"/>
  <c r="K78" i="3"/>
  <c r="L78" i="3"/>
  <c r="M78" i="3"/>
  <c r="N78" i="3"/>
  <c r="O78" i="3"/>
  <c r="P78" i="3"/>
  <c r="J79" i="3"/>
  <c r="K79" i="3"/>
  <c r="L79" i="3"/>
  <c r="M79" i="3"/>
  <c r="N79" i="3"/>
  <c r="O79" i="3"/>
  <c r="P79" i="3"/>
  <c r="J80" i="3"/>
  <c r="K80" i="3"/>
  <c r="L80" i="3"/>
  <c r="M80" i="3"/>
  <c r="N80" i="3"/>
  <c r="O80" i="3"/>
  <c r="P80" i="3"/>
  <c r="J81" i="3"/>
  <c r="K81" i="3"/>
  <c r="L81" i="3"/>
  <c r="M81" i="3"/>
  <c r="N81" i="3"/>
  <c r="O81" i="3"/>
  <c r="P81" i="3"/>
  <c r="J82" i="3"/>
  <c r="K82" i="3"/>
  <c r="L82" i="3"/>
  <c r="M82" i="3"/>
  <c r="N82" i="3"/>
  <c r="O82" i="3"/>
  <c r="P82" i="3"/>
  <c r="J83" i="3"/>
  <c r="K83" i="3"/>
  <c r="L83" i="3"/>
  <c r="M83" i="3"/>
  <c r="N83" i="3"/>
  <c r="O83" i="3"/>
  <c r="P83" i="3"/>
  <c r="J84" i="3"/>
  <c r="K84" i="3"/>
  <c r="L84" i="3"/>
  <c r="M84" i="3"/>
  <c r="N84" i="3"/>
  <c r="O84" i="3"/>
  <c r="P84" i="3"/>
  <c r="J85" i="3"/>
  <c r="K85" i="3"/>
  <c r="L85" i="3"/>
  <c r="M85" i="3"/>
  <c r="N85" i="3"/>
  <c r="O85" i="3"/>
  <c r="P85" i="3"/>
  <c r="J86" i="3"/>
  <c r="K86" i="3"/>
  <c r="L86" i="3"/>
  <c r="M86" i="3"/>
  <c r="N86" i="3"/>
  <c r="O86" i="3"/>
  <c r="P86" i="3"/>
  <c r="J87" i="3"/>
  <c r="K87" i="3"/>
  <c r="L87" i="3"/>
  <c r="M87" i="3"/>
  <c r="N87" i="3"/>
  <c r="O87" i="3"/>
  <c r="P87" i="3"/>
  <c r="J88" i="3"/>
  <c r="K88" i="3"/>
  <c r="L88" i="3"/>
  <c r="M88" i="3"/>
  <c r="N88" i="3"/>
  <c r="O88" i="3"/>
  <c r="P88" i="3"/>
  <c r="J89" i="3"/>
  <c r="K89" i="3"/>
  <c r="L89" i="3"/>
  <c r="M89" i="3"/>
  <c r="N89" i="3"/>
  <c r="O89" i="3"/>
  <c r="P89" i="3"/>
  <c r="J90" i="3"/>
  <c r="K90" i="3"/>
  <c r="L90" i="3"/>
  <c r="M90" i="3"/>
  <c r="N90" i="3"/>
  <c r="O90" i="3"/>
  <c r="P90" i="3"/>
  <c r="J91" i="3"/>
  <c r="K91" i="3"/>
  <c r="L91" i="3"/>
  <c r="M91" i="3"/>
  <c r="N91" i="3"/>
  <c r="O91" i="3"/>
  <c r="P91" i="3"/>
  <c r="J92" i="3"/>
  <c r="K92" i="3"/>
  <c r="L92" i="3"/>
  <c r="M92" i="3"/>
  <c r="N92" i="3"/>
  <c r="O92" i="3"/>
  <c r="P92" i="3"/>
  <c r="J93" i="3"/>
  <c r="K93" i="3"/>
  <c r="L93" i="3"/>
  <c r="M93" i="3"/>
  <c r="N93" i="3"/>
  <c r="O93" i="3"/>
  <c r="P93" i="3"/>
  <c r="J94" i="3"/>
  <c r="K94" i="3"/>
  <c r="L94" i="3"/>
  <c r="M94" i="3"/>
  <c r="N94" i="3"/>
  <c r="O94" i="3"/>
  <c r="P94" i="3"/>
  <c r="J95" i="3"/>
  <c r="K95" i="3"/>
  <c r="L95" i="3"/>
  <c r="M95" i="3"/>
  <c r="N95" i="3"/>
  <c r="O95" i="3"/>
  <c r="P95" i="3"/>
  <c r="J96" i="3"/>
  <c r="K96" i="3"/>
  <c r="L96" i="3"/>
  <c r="M96" i="3"/>
  <c r="N96" i="3"/>
  <c r="O96" i="3"/>
  <c r="P96" i="3"/>
  <c r="J97" i="3"/>
  <c r="K97" i="3"/>
  <c r="L97" i="3"/>
  <c r="M97" i="3"/>
  <c r="N97" i="3"/>
  <c r="O97" i="3"/>
  <c r="P97" i="3"/>
  <c r="J98" i="3"/>
  <c r="K98" i="3"/>
  <c r="L98" i="3"/>
  <c r="M98" i="3"/>
  <c r="N98" i="3"/>
  <c r="O98" i="3"/>
  <c r="P98" i="3"/>
  <c r="J99" i="3"/>
  <c r="K99" i="3"/>
  <c r="L99" i="3"/>
  <c r="M99" i="3"/>
  <c r="N99" i="3"/>
  <c r="O99" i="3"/>
  <c r="P99" i="3"/>
  <c r="J100" i="3"/>
  <c r="K100" i="3"/>
  <c r="L100" i="3"/>
  <c r="M100" i="3"/>
  <c r="N100" i="3"/>
  <c r="O100" i="3"/>
  <c r="P100" i="3"/>
  <c r="J101" i="3"/>
  <c r="K101" i="3"/>
  <c r="L101" i="3"/>
  <c r="M101" i="3"/>
  <c r="N101" i="3"/>
  <c r="O101" i="3"/>
  <c r="P101" i="3"/>
  <c r="J102" i="3"/>
  <c r="K102" i="3"/>
  <c r="L102" i="3"/>
  <c r="M102" i="3"/>
  <c r="N102" i="3"/>
  <c r="O102" i="3"/>
  <c r="P102" i="3"/>
  <c r="J103" i="3"/>
  <c r="K103" i="3"/>
  <c r="L103" i="3"/>
  <c r="M103" i="3"/>
  <c r="N103" i="3"/>
  <c r="O103" i="3"/>
  <c r="P103" i="3"/>
  <c r="J104" i="3"/>
  <c r="K104" i="3"/>
  <c r="L104" i="3"/>
  <c r="M104" i="3"/>
  <c r="N104" i="3"/>
  <c r="O104" i="3"/>
  <c r="P104" i="3"/>
  <c r="J105" i="3"/>
  <c r="K105" i="3"/>
  <c r="L105" i="3"/>
  <c r="M105" i="3"/>
  <c r="N105" i="3"/>
  <c r="O105" i="3"/>
  <c r="P105" i="3"/>
  <c r="J106" i="3"/>
  <c r="K106" i="3"/>
  <c r="L106" i="3"/>
  <c r="M106" i="3"/>
  <c r="N106" i="3"/>
  <c r="O106" i="3"/>
  <c r="P106" i="3"/>
  <c r="P3" i="3"/>
  <c r="O3" i="3"/>
  <c r="N3" i="3"/>
  <c r="M3" i="3"/>
  <c r="L3" i="3"/>
  <c r="K3" i="3"/>
  <c r="J3" i="3"/>
  <c r="W4" i="10" a="1"/>
  <c r="W5" i="10" a="1"/>
  <c r="W6" i="10" a="1"/>
  <c r="W23" i="10" a="1"/>
  <c r="W24" i="10" a="1"/>
  <c r="W25" i="10" a="1"/>
  <c r="W26" i="10" a="1"/>
  <c r="W27" i="10" a="1"/>
  <c r="W28" i="10" a="1"/>
  <c r="W29" i="10" a="1"/>
  <c r="W30" i="10" a="1"/>
  <c r="W31" i="10" a="1"/>
  <c r="W32" i="10" a="1"/>
  <c r="W33" i="10" a="1"/>
  <c r="W34" i="10" a="1"/>
  <c r="W35" i="10" a="1"/>
  <c r="W36" i="10" a="1"/>
  <c r="W37" i="10" a="1"/>
  <c r="W38" i="10" a="1"/>
  <c r="W39" i="10" a="1"/>
  <c r="W40" i="10" a="1"/>
  <c r="W41" i="10" a="1"/>
  <c r="W42" i="10" a="1"/>
  <c r="W43" i="10" a="1"/>
  <c r="W44" i="10" a="1"/>
  <c r="W45" i="10" a="1"/>
  <c r="W4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23" i="9" a="1"/>
  <c r="W24" i="9" a="1"/>
  <c r="W25" i="9" a="1"/>
  <c r="W26" i="9" a="1"/>
  <c r="W27" i="9" a="1"/>
  <c r="W28" i="9" a="1"/>
  <c r="W29" i="9" a="1"/>
  <c r="W30" i="9" a="1"/>
  <c r="W31" i="9" a="1"/>
  <c r="W32" i="9" a="1"/>
  <c r="W33" i="9" a="1"/>
  <c r="W34" i="9" a="1"/>
  <c r="W35" i="9" a="1"/>
  <c r="W36" i="9" a="1"/>
  <c r="W37" i="9" a="1"/>
  <c r="W38" i="9" a="1"/>
  <c r="W39" i="9" a="1"/>
  <c r="W40" i="9" a="1"/>
  <c r="W41" i="9" a="1"/>
  <c r="W42" i="9" a="1"/>
  <c r="W43" i="9" a="1"/>
  <c r="W44" i="9" a="1"/>
  <c r="W45" i="9" a="1"/>
  <c r="W4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27" i="8" a="1"/>
  <c r="W28" i="8" a="1"/>
  <c r="W29" i="8" a="1"/>
  <c r="W30" i="8" a="1"/>
  <c r="W31" i="8" a="1"/>
  <c r="W32" i="8" a="1"/>
  <c r="W33" i="8" a="1"/>
  <c r="W34" i="8" a="1"/>
  <c r="W35" i="8" a="1"/>
  <c r="W36" i="8" a="1"/>
  <c r="W37" i="8" a="1"/>
  <c r="W38" i="8" a="1"/>
  <c r="W39" i="8" a="1"/>
  <c r="W40" i="8" a="1"/>
  <c r="W41" i="8" a="1"/>
  <c r="W42" i="8" a="1"/>
  <c r="W43" i="8" a="1"/>
  <c r="W44" i="8" a="1"/>
  <c r="W45" i="8" a="1"/>
  <c r="W4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7" a="1"/>
  <c r="W5" i="7" a="1"/>
  <c r="W6" i="7" a="1"/>
  <c r="W23" i="7" a="1"/>
  <c r="W24" i="7" a="1"/>
  <c r="W25" i="7" a="1"/>
  <c r="W26" i="7" a="1"/>
  <c r="W27" i="7" a="1"/>
  <c r="W28" i="7" a="1"/>
  <c r="W29" i="7" a="1"/>
  <c r="W30" i="7" a="1"/>
  <c r="W31" i="7" a="1"/>
  <c r="W32" i="7" a="1"/>
  <c r="W33" i="7" a="1"/>
  <c r="W34" i="7" a="1"/>
  <c r="W35" i="7" a="1"/>
  <c r="W36" i="7" a="1"/>
  <c r="W37" i="7" a="1"/>
  <c r="W38" i="7" a="1"/>
  <c r="W39" i="7" a="1"/>
  <c r="W40" i="7" a="1"/>
  <c r="W41" i="7" a="1"/>
  <c r="W42" i="7" a="1"/>
  <c r="W43" i="7" a="1"/>
  <c r="W44" i="7" a="1"/>
  <c r="W45" i="7" a="1"/>
  <c r="W46" i="7" a="1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4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7" i="7" a="1"/>
  <c r="W98" i="7" a="1"/>
  <c r="W99" i="7" a="1"/>
  <c r="W100" i="7" a="1"/>
  <c r="W101" i="7" a="1"/>
  <c r="W102" i="7" a="1"/>
  <c r="W103" i="7" a="1"/>
  <c r="W104" i="7" a="1"/>
  <c r="W105" i="7" a="1"/>
  <c r="W106" i="7" a="1"/>
  <c r="W3" i="7" a="1"/>
  <c r="W4" i="6" a="1"/>
  <c r="W5" i="6" a="1"/>
  <c r="W6" i="6" a="1"/>
  <c r="O19" i="6"/>
  <c r="W23" i="6" a="1"/>
  <c r="W24" i="6" a="1"/>
  <c r="W25" i="6" a="1"/>
  <c r="W26" i="6" a="1"/>
  <c r="W27" i="6" a="1"/>
  <c r="W28" i="6" a="1"/>
  <c r="W29" i="6" a="1"/>
  <c r="W30" i="6" a="1"/>
  <c r="W31" i="6" a="1"/>
  <c r="W32" i="6" a="1"/>
  <c r="W33" i="6" a="1"/>
  <c r="W34" i="6" a="1"/>
  <c r="W35" i="6" a="1"/>
  <c r="W36" i="6" a="1"/>
  <c r="W37" i="6" a="1"/>
  <c r="W38" i="6" a="1"/>
  <c r="W39" i="6" a="1"/>
  <c r="W40" i="6" a="1"/>
  <c r="W41" i="6" a="1"/>
  <c r="W42" i="6" a="1"/>
  <c r="W43" i="6" a="1"/>
  <c r="W44" i="6" a="1"/>
  <c r="W45" i="6" a="1"/>
  <c r="W46" i="6" a="1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23" i="5" a="1"/>
  <c r="W24" i="5" a="1"/>
  <c r="W25" i="5" a="1"/>
  <c r="W26" i="5" a="1"/>
  <c r="W27" i="5" a="1"/>
  <c r="W28" i="5" a="1"/>
  <c r="W29" i="5" a="1"/>
  <c r="W30" i="5" a="1"/>
  <c r="W31" i="5" a="1"/>
  <c r="W32" i="5" a="1"/>
  <c r="W33" i="5" a="1"/>
  <c r="W34" i="5" a="1"/>
  <c r="W35" i="5" a="1"/>
  <c r="W36" i="5" a="1"/>
  <c r="W37" i="5" a="1"/>
  <c r="W38" i="5" a="1"/>
  <c r="W39" i="5" a="1"/>
  <c r="W40" i="5" a="1"/>
  <c r="W41" i="5" a="1"/>
  <c r="W42" i="5" a="1"/>
  <c r="W43" i="5" a="1"/>
  <c r="W44" i="5" a="1"/>
  <c r="W45" i="5" a="1"/>
  <c r="W4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W3" i="4" a="1"/>
  <c r="W4" i="4" a="1"/>
  <c r="W5" i="4" a="1"/>
  <c r="W6" i="4" a="1"/>
  <c r="W24" i="4" a="1"/>
  <c r="W25" i="4" a="1"/>
  <c r="W26" i="4" a="1"/>
  <c r="W27" i="4" a="1"/>
  <c r="W28" i="4" a="1"/>
  <c r="W29" i="4" a="1"/>
  <c r="W30" i="4" a="1"/>
  <c r="W31" i="4" a="1"/>
  <c r="W32" i="4" a="1"/>
  <c r="W33" i="4" a="1"/>
  <c r="W34" i="4" a="1"/>
  <c r="W35" i="4" a="1"/>
  <c r="W36" i="4" a="1"/>
  <c r="W37" i="4" a="1"/>
  <c r="W38" i="4" a="1"/>
  <c r="W39" i="4" a="1"/>
  <c r="W40" i="4" a="1"/>
  <c r="W41" i="4" a="1"/>
  <c r="W42" i="4" a="1"/>
  <c r="W43" i="4" a="1"/>
  <c r="W44" i="4" a="1"/>
  <c r="W45" i="4" a="1"/>
  <c r="W46" i="4" a="1"/>
  <c r="W47" i="4" a="1"/>
  <c r="W48" i="4" a="1"/>
  <c r="W49" i="4" a="1"/>
  <c r="W50" i="4" a="1"/>
  <c r="W51" i="4" a="1"/>
  <c r="W52" i="4" a="1"/>
  <c r="W53" i="4" a="1"/>
  <c r="W54" i="4" a="1"/>
  <c r="W55" i="4" a="1"/>
  <c r="W56" i="4" a="1"/>
  <c r="W57" i="4" a="1"/>
  <c r="W58" i="4" a="1"/>
  <c r="W59" i="4" a="1"/>
  <c r="W60" i="4" a="1"/>
  <c r="W61" i="4" a="1"/>
  <c r="W62" i="4" a="1"/>
  <c r="W63" i="4" a="1"/>
  <c r="W64" i="4" a="1"/>
  <c r="W65" i="4" a="1"/>
  <c r="W66" i="4" a="1"/>
  <c r="W67" i="4" a="1"/>
  <c r="W68" i="4" a="1"/>
  <c r="W69" i="4" a="1"/>
  <c r="W70" i="4" a="1"/>
  <c r="W71" i="4" a="1"/>
  <c r="W72" i="4" a="1"/>
  <c r="W73" i="4" a="1"/>
  <c r="W74" i="4" a="1"/>
  <c r="W75" i="4" a="1"/>
  <c r="W76" i="4" a="1"/>
  <c r="W77" i="4" a="1"/>
  <c r="W78" i="4" a="1"/>
  <c r="W79" i="4" a="1"/>
  <c r="W80" i="4" a="1"/>
  <c r="W81" i="4" a="1"/>
  <c r="W82" i="4" a="1"/>
  <c r="W83" i="4" a="1"/>
  <c r="W84" i="4" a="1"/>
  <c r="W85" i="4" a="1"/>
  <c r="W86" i="4" a="1"/>
  <c r="W87" i="4" a="1"/>
  <c r="W88" i="4" a="1"/>
  <c r="W89" i="4" a="1"/>
  <c r="W90" i="4" a="1"/>
  <c r="W91" i="4" a="1"/>
  <c r="W92" i="4" a="1"/>
  <c r="W93" i="4" a="1"/>
  <c r="W94" i="4" a="1"/>
  <c r="W95" i="4" a="1"/>
  <c r="W96" i="4" a="1"/>
  <c r="W97" i="4" a="1"/>
  <c r="W98" i="4" a="1"/>
  <c r="W99" i="4" a="1"/>
  <c r="W100" i="4" a="1"/>
  <c r="W101" i="4" a="1"/>
  <c r="W102" i="4" a="1"/>
  <c r="W103" i="4" a="1"/>
  <c r="W104" i="4" a="1"/>
  <c r="W105" i="4" a="1"/>
  <c r="W106" i="4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N97" i="7"/>
  <c r="L97" i="7"/>
  <c r="J97" i="7"/>
  <c r="I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O34" i="7"/>
  <c r="F34" i="7"/>
  <c r="E34" i="7"/>
  <c r="D34" i="7"/>
  <c r="C34" i="7"/>
  <c r="B34" i="7"/>
  <c r="A34" i="7"/>
  <c r="O33" i="7"/>
  <c r="F33" i="7"/>
  <c r="E33" i="7"/>
  <c r="D33" i="7"/>
  <c r="C33" i="7"/>
  <c r="B33" i="7"/>
  <c r="A33" i="7"/>
  <c r="O32" i="7"/>
  <c r="N32" i="7"/>
  <c r="L32" i="7"/>
  <c r="F32" i="7"/>
  <c r="E32" i="7"/>
  <c r="D32" i="7"/>
  <c r="C32" i="7"/>
  <c r="B32" i="7"/>
  <c r="A32" i="7"/>
  <c r="O31" i="7"/>
  <c r="F31" i="7"/>
  <c r="E31" i="7"/>
  <c r="D31" i="7"/>
  <c r="C31" i="7"/>
  <c r="B31" i="7"/>
  <c r="A31" i="7"/>
  <c r="O30" i="7"/>
  <c r="F30" i="7"/>
  <c r="E30" i="7"/>
  <c r="D30" i="7"/>
  <c r="C30" i="7"/>
  <c r="B30" i="7"/>
  <c r="A30" i="7"/>
  <c r="O29" i="7"/>
  <c r="F29" i="7"/>
  <c r="E29" i="7"/>
  <c r="D29" i="7"/>
  <c r="C29" i="7"/>
  <c r="B29" i="7"/>
  <c r="A29" i="7"/>
  <c r="O28" i="7"/>
  <c r="F28" i="7"/>
  <c r="E28" i="7"/>
  <c r="D28" i="7"/>
  <c r="C28" i="7"/>
  <c r="B28" i="7"/>
  <c r="A28" i="7"/>
  <c r="O27" i="7"/>
  <c r="F27" i="7"/>
  <c r="E27" i="7"/>
  <c r="D27" i="7"/>
  <c r="C27" i="7"/>
  <c r="B27" i="7"/>
  <c r="A27" i="7"/>
  <c r="O26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O24" i="7"/>
  <c r="F24" i="7"/>
  <c r="E24" i="7"/>
  <c r="D24" i="7"/>
  <c r="C24" i="7"/>
  <c r="B24" i="7"/>
  <c r="A24" i="7"/>
  <c r="O23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O21" i="7"/>
  <c r="F21" i="7"/>
  <c r="E21" i="7"/>
  <c r="D21" i="7"/>
  <c r="C21" i="7"/>
  <c r="B21" i="7"/>
  <c r="A21" i="7"/>
  <c r="O20" i="7"/>
  <c r="F20" i="7"/>
  <c r="E20" i="7"/>
  <c r="D20" i="7"/>
  <c r="C20" i="7"/>
  <c r="B20" i="7"/>
  <c r="A20" i="7"/>
  <c r="O19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O17" i="7"/>
  <c r="F17" i="7"/>
  <c r="E17" i="7"/>
  <c r="D17" i="7"/>
  <c r="C17" i="7"/>
  <c r="B17" i="7"/>
  <c r="A17" i="7"/>
  <c r="O16" i="7"/>
  <c r="F16" i="7"/>
  <c r="E16" i="7"/>
  <c r="D16" i="7"/>
  <c r="C16" i="7"/>
  <c r="B16" i="7"/>
  <c r="A16" i="7"/>
  <c r="O15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O12" i="7"/>
  <c r="F12" i="7"/>
  <c r="E12" i="7"/>
  <c r="D12" i="7"/>
  <c r="C12" i="7"/>
  <c r="B12" i="7"/>
  <c r="A12" i="7"/>
  <c r="O11" i="7"/>
  <c r="F11" i="7"/>
  <c r="E11" i="7"/>
  <c r="D11" i="7"/>
  <c r="C11" i="7"/>
  <c r="B11" i="7"/>
  <c r="A11" i="7"/>
  <c r="O10" i="7"/>
  <c r="F10" i="7"/>
  <c r="E10" i="7"/>
  <c r="D10" i="7"/>
  <c r="C10" i="7"/>
  <c r="B10" i="7"/>
  <c r="A10" i="7"/>
  <c r="O9" i="7"/>
  <c r="F9" i="7"/>
  <c r="E9" i="7"/>
  <c r="D9" i="7"/>
  <c r="C9" i="7"/>
  <c r="B9" i="7"/>
  <c r="A9" i="7"/>
  <c r="O8" i="7"/>
  <c r="F8" i="7"/>
  <c r="E8" i="7"/>
  <c r="D8" i="7"/>
  <c r="C8" i="7"/>
  <c r="B8" i="7"/>
  <c r="A8" i="7"/>
  <c r="O7" i="7"/>
  <c r="F7" i="7"/>
  <c r="E7" i="7"/>
  <c r="D7" i="7"/>
  <c r="C7" i="7"/>
  <c r="B7" i="7"/>
  <c r="A7" i="7"/>
  <c r="O6" i="7"/>
  <c r="F6" i="7"/>
  <c r="E6" i="7"/>
  <c r="D6" i="7"/>
  <c r="C6" i="7"/>
  <c r="B6" i="7"/>
  <c r="A6" i="7"/>
  <c r="O5" i="7"/>
  <c r="F5" i="7"/>
  <c r="E5" i="7"/>
  <c r="D5" i="7"/>
  <c r="C5" i="7"/>
  <c r="B5" i="7"/>
  <c r="A5" i="7"/>
  <c r="O4" i="7"/>
  <c r="F4" i="7"/>
  <c r="E4" i="7"/>
  <c r="D4" i="7"/>
  <c r="C4" i="7"/>
  <c r="B4" i="7"/>
  <c r="A4" i="7"/>
  <c r="O3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O31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O34" i="4"/>
  <c r="F34" i="4"/>
  <c r="E34" i="4"/>
  <c r="D34" i="4"/>
  <c r="C34" i="4"/>
  <c r="B34" i="4"/>
  <c r="A34" i="4"/>
  <c r="O33" i="4"/>
  <c r="F33" i="4"/>
  <c r="E33" i="4"/>
  <c r="D33" i="4"/>
  <c r="C33" i="4"/>
  <c r="B33" i="4"/>
  <c r="A33" i="4"/>
  <c r="O32" i="4"/>
  <c r="F32" i="4"/>
  <c r="E32" i="4"/>
  <c r="D32" i="4"/>
  <c r="C32" i="4"/>
  <c r="B32" i="4"/>
  <c r="A32" i="4"/>
  <c r="O31" i="4"/>
  <c r="F31" i="4"/>
  <c r="E31" i="4"/>
  <c r="D31" i="4"/>
  <c r="C31" i="4"/>
  <c r="B31" i="4"/>
  <c r="A31" i="4"/>
  <c r="O30" i="4"/>
  <c r="F30" i="4"/>
  <c r="E30" i="4"/>
  <c r="D30" i="4"/>
  <c r="C30" i="4"/>
  <c r="B30" i="4"/>
  <c r="A30" i="4"/>
  <c r="O29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O27" i="4"/>
  <c r="F27" i="4"/>
  <c r="E27" i="4"/>
  <c r="D27" i="4"/>
  <c r="C27" i="4"/>
  <c r="B27" i="4"/>
  <c r="A27" i="4"/>
  <c r="O26" i="4"/>
  <c r="F26" i="4"/>
  <c r="E26" i="4"/>
  <c r="D26" i="4"/>
  <c r="C26" i="4"/>
  <c r="B26" i="4"/>
  <c r="A26" i="4"/>
  <c r="O25" i="4"/>
  <c r="F25" i="4"/>
  <c r="E25" i="4"/>
  <c r="D25" i="4"/>
  <c r="C25" i="4"/>
  <c r="B25" i="4"/>
  <c r="A25" i="4"/>
  <c r="O24" i="4"/>
  <c r="F24" i="4"/>
  <c r="E24" i="4"/>
  <c r="D24" i="4"/>
  <c r="C24" i="4"/>
  <c r="B24" i="4"/>
  <c r="A24" i="4"/>
  <c r="O23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O21" i="4"/>
  <c r="F21" i="4"/>
  <c r="E21" i="4"/>
  <c r="D21" i="4"/>
  <c r="C21" i="4"/>
  <c r="B21" i="4"/>
  <c r="A21" i="4"/>
  <c r="O20" i="4"/>
  <c r="F20" i="4"/>
  <c r="E20" i="4"/>
  <c r="D20" i="4"/>
  <c r="C20" i="4"/>
  <c r="B20" i="4"/>
  <c r="A20" i="4"/>
  <c r="O19" i="4"/>
  <c r="F19" i="4"/>
  <c r="E19" i="4"/>
  <c r="D19" i="4"/>
  <c r="C19" i="4"/>
  <c r="B19" i="4"/>
  <c r="A19" i="4"/>
  <c r="O18" i="4"/>
  <c r="F18" i="4"/>
  <c r="E18" i="4"/>
  <c r="D18" i="4"/>
  <c r="C18" i="4"/>
  <c r="B18" i="4"/>
  <c r="A18" i="4"/>
  <c r="O17" i="4"/>
  <c r="F17" i="4"/>
  <c r="E17" i="4"/>
  <c r="D17" i="4"/>
  <c r="C17" i="4"/>
  <c r="B17" i="4"/>
  <c r="A17" i="4"/>
  <c r="O16" i="4"/>
  <c r="F16" i="4"/>
  <c r="E16" i="4"/>
  <c r="D16" i="4"/>
  <c r="C16" i="4"/>
  <c r="B16" i="4"/>
  <c r="A16" i="4"/>
  <c r="O15" i="4"/>
  <c r="F15" i="4"/>
  <c r="E15" i="4"/>
  <c r="D15" i="4"/>
  <c r="C15" i="4"/>
  <c r="B15" i="4"/>
  <c r="A15" i="4"/>
  <c r="O14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O12" i="4"/>
  <c r="F12" i="4"/>
  <c r="E12" i="4"/>
  <c r="D12" i="4"/>
  <c r="C12" i="4"/>
  <c r="B12" i="4"/>
  <c r="A12" i="4"/>
  <c r="O11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O9" i="4"/>
  <c r="F9" i="4"/>
  <c r="E9" i="4"/>
  <c r="D9" i="4"/>
  <c r="C9" i="4"/>
  <c r="B9" i="4"/>
  <c r="A9" i="4"/>
  <c r="O8" i="4"/>
  <c r="F8" i="4"/>
  <c r="E8" i="4"/>
  <c r="D8" i="4"/>
  <c r="C8" i="4"/>
  <c r="B8" i="4"/>
  <c r="A8" i="4"/>
  <c r="O7" i="4"/>
  <c r="F7" i="4"/>
  <c r="E7" i="4"/>
  <c r="D7" i="4"/>
  <c r="C7" i="4"/>
  <c r="B7" i="4"/>
  <c r="A7" i="4"/>
  <c r="O6" i="4"/>
  <c r="F6" i="4"/>
  <c r="E6" i="4"/>
  <c r="D6" i="4"/>
  <c r="C6" i="4"/>
  <c r="B6" i="4"/>
  <c r="A6" i="4"/>
  <c r="O5" i="4"/>
  <c r="F5" i="4"/>
  <c r="E5" i="4"/>
  <c r="D5" i="4"/>
  <c r="C5" i="4"/>
  <c r="B5" i="4"/>
  <c r="A5" i="4"/>
  <c r="O4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E3" i="3"/>
  <c r="D3" i="3"/>
  <c r="B3" i="3"/>
  <c r="G4" i="3"/>
  <c r="H4" i="3"/>
  <c r="F4" i="3"/>
  <c r="D4" i="3"/>
  <c r="B4" i="3"/>
  <c r="E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G45" i="10"/>
  <c r="N44" i="10"/>
  <c r="L44" i="10"/>
  <c r="J44" i="10"/>
  <c r="I44" i="10"/>
  <c r="G44" i="10"/>
  <c r="N43" i="10"/>
  <c r="L43" i="10"/>
  <c r="J43" i="10"/>
  <c r="I43" i="10"/>
  <c r="G43" i="10"/>
  <c r="N42" i="10"/>
  <c r="G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L41" i="10"/>
  <c r="J41" i="10"/>
  <c r="I41" i="10"/>
  <c r="G41" i="10"/>
  <c r="N40" i="10"/>
  <c r="L40" i="10"/>
  <c r="J40" i="10"/>
  <c r="I40" i="10"/>
  <c r="G40" i="10"/>
  <c r="N39" i="10"/>
  <c r="L39" i="10"/>
  <c r="J39" i="10"/>
  <c r="I39" i="10"/>
  <c r="G39" i="10"/>
  <c r="N38" i="10"/>
  <c r="L38" i="10"/>
  <c r="J38" i="10"/>
  <c r="I38" i="10"/>
  <c r="G38" i="10"/>
  <c r="N37" i="10"/>
  <c r="L37" i="10"/>
  <c r="J37" i="10"/>
  <c r="I37" i="10"/>
  <c r="G37" i="10"/>
  <c r="N36" i="10"/>
  <c r="L36" i="10"/>
  <c r="J36" i="10"/>
  <c r="I36" i="10"/>
  <c r="G36" i="10"/>
  <c r="N35" i="10"/>
  <c r="L35" i="10"/>
  <c r="J35" i="10"/>
  <c r="I35" i="10"/>
  <c r="G35" i="10"/>
  <c r="N34" i="10"/>
  <c r="L34" i="10"/>
  <c r="J34" i="10"/>
  <c r="I34" i="10"/>
  <c r="G34" i="10"/>
  <c r="N33" i="10"/>
  <c r="L33" i="10"/>
  <c r="J33" i="10"/>
  <c r="I33" i="10"/>
  <c r="G33" i="10"/>
  <c r="N32" i="10"/>
  <c r="L32" i="10"/>
  <c r="J32" i="10"/>
  <c r="I32" i="10"/>
  <c r="G32" i="10"/>
  <c r="N31" i="10"/>
  <c r="L31" i="10"/>
  <c r="J31" i="10"/>
  <c r="I31" i="10"/>
  <c r="G31" i="10"/>
  <c r="N30" i="10"/>
  <c r="L30" i="10"/>
  <c r="J30" i="10"/>
  <c r="I30" i="10"/>
  <c r="G30" i="10"/>
  <c r="N29" i="10"/>
  <c r="L29" i="10"/>
  <c r="J29" i="10"/>
  <c r="I29" i="10"/>
  <c r="G29" i="10"/>
  <c r="N28" i="10"/>
  <c r="L28" i="10"/>
  <c r="J28" i="10"/>
  <c r="I28" i="10"/>
  <c r="G28" i="10"/>
  <c r="N27" i="10"/>
  <c r="L27" i="10"/>
  <c r="J27" i="10"/>
  <c r="I27" i="10"/>
  <c r="G27" i="10"/>
  <c r="N26" i="10"/>
  <c r="L26" i="10"/>
  <c r="J26" i="10"/>
  <c r="I26" i="10"/>
  <c r="G26" i="10"/>
  <c r="N25" i="10"/>
  <c r="L25" i="10"/>
  <c r="J25" i="10"/>
  <c r="I25" i="10"/>
  <c r="G25" i="10"/>
  <c r="N24" i="10"/>
  <c r="L24" i="10"/>
  <c r="J24" i="10"/>
  <c r="I24" i="10"/>
  <c r="G24" i="10"/>
  <c r="N23" i="10"/>
  <c r="L23" i="10"/>
  <c r="J23" i="10"/>
  <c r="I23" i="10"/>
  <c r="G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S104" i="7"/>
  <c r="R104" i="7"/>
  <c r="J104" i="7"/>
  <c r="N103" i="7"/>
  <c r="L103" i="7"/>
  <c r="J103" i="7"/>
  <c r="I103" i="7"/>
  <c r="G103" i="7"/>
  <c r="S102" i="7"/>
  <c r="R102" i="7"/>
  <c r="J102" i="7"/>
  <c r="I102" i="7"/>
  <c r="N101" i="7"/>
  <c r="L101" i="7"/>
  <c r="J101" i="7"/>
  <c r="I101" i="7"/>
  <c r="G101" i="7"/>
  <c r="S100" i="7"/>
  <c r="R100" i="7"/>
  <c r="J100" i="7"/>
  <c r="I100" i="7"/>
  <c r="R99" i="7"/>
  <c r="I99" i="7"/>
  <c r="I98" i="7"/>
  <c r="G98" i="7"/>
  <c r="G97" i="7"/>
  <c r="J48" i="5"/>
  <c r="R3" i="5"/>
  <c r="L2" i="5"/>
  <c r="S106" i="4"/>
  <c r="Q106" i="4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S88" i="4"/>
  <c r="Q87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G45" i="9"/>
  <c r="N44" i="9"/>
  <c r="L44" i="9"/>
  <c r="J44" i="9"/>
  <c r="I44" i="9"/>
  <c r="G44" i="9"/>
  <c r="N43" i="9"/>
  <c r="L43" i="9"/>
  <c r="J43" i="9"/>
  <c r="I43" i="9"/>
  <c r="G43" i="9"/>
  <c r="N42" i="9"/>
  <c r="L42" i="9"/>
  <c r="J42" i="9"/>
  <c r="I42" i="9"/>
  <c r="G42" i="9"/>
  <c r="N41" i="9"/>
  <c r="L41" i="9"/>
  <c r="J41" i="9"/>
  <c r="I41" i="9"/>
  <c r="G41" i="9"/>
  <c r="N40" i="9"/>
  <c r="L40" i="9"/>
  <c r="J40" i="9"/>
  <c r="I40" i="9"/>
  <c r="G40" i="9"/>
  <c r="N39" i="9"/>
  <c r="L39" i="9"/>
  <c r="J39" i="9"/>
  <c r="I39" i="9"/>
  <c r="G39" i="9"/>
  <c r="N38" i="9"/>
  <c r="L38" i="9"/>
  <c r="J38" i="9"/>
  <c r="I38" i="9"/>
  <c r="G38" i="9"/>
  <c r="N37" i="9"/>
  <c r="L37" i="9"/>
  <c r="J37" i="9"/>
  <c r="I37" i="9"/>
  <c r="G37" i="9"/>
  <c r="N36" i="9"/>
  <c r="L36" i="9"/>
  <c r="J36" i="9"/>
  <c r="I36" i="9"/>
  <c r="G36" i="9"/>
  <c r="N35" i="9"/>
  <c r="L35" i="9"/>
  <c r="J35" i="9"/>
  <c r="I35" i="9"/>
  <c r="G35" i="9"/>
  <c r="N34" i="9"/>
  <c r="L34" i="9"/>
  <c r="J34" i="9"/>
  <c r="I34" i="9"/>
  <c r="G34" i="9"/>
  <c r="N33" i="9"/>
  <c r="L33" i="9"/>
  <c r="J33" i="9"/>
  <c r="I33" i="9"/>
  <c r="G33" i="9"/>
  <c r="N32" i="9"/>
  <c r="L32" i="9"/>
  <c r="J32" i="9"/>
  <c r="I32" i="9"/>
  <c r="G32" i="9"/>
  <c r="N31" i="9"/>
  <c r="L31" i="9"/>
  <c r="J31" i="9"/>
  <c r="I31" i="9"/>
  <c r="G31" i="9"/>
  <c r="N30" i="9"/>
  <c r="L30" i="9"/>
  <c r="J30" i="9"/>
  <c r="I30" i="9"/>
  <c r="G30" i="9"/>
  <c r="N29" i="9"/>
  <c r="L29" i="9"/>
  <c r="J29" i="9"/>
  <c r="I29" i="9"/>
  <c r="G29" i="9"/>
  <c r="N28" i="9"/>
  <c r="L28" i="9"/>
  <c r="J28" i="9"/>
  <c r="I28" i="9"/>
  <c r="G28" i="9"/>
  <c r="N27" i="9"/>
  <c r="L27" i="9"/>
  <c r="J27" i="9"/>
  <c r="I27" i="9"/>
  <c r="G27" i="9"/>
  <c r="N26" i="9"/>
  <c r="L26" i="9"/>
  <c r="J26" i="9"/>
  <c r="I26" i="9"/>
  <c r="G26" i="9"/>
  <c r="N25" i="9"/>
  <c r="L25" i="9"/>
  <c r="J25" i="9"/>
  <c r="I25" i="9"/>
  <c r="G25" i="9"/>
  <c r="N24" i="9"/>
  <c r="L24" i="9"/>
  <c r="J24" i="9"/>
  <c r="I24" i="9"/>
  <c r="G24" i="9"/>
  <c r="N23" i="9"/>
  <c r="L23" i="9"/>
  <c r="J23" i="9"/>
  <c r="I23" i="9"/>
  <c r="G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G45" i="8"/>
  <c r="N44" i="8"/>
  <c r="L44" i="8"/>
  <c r="J44" i="8"/>
  <c r="I44" i="8"/>
  <c r="G44" i="8"/>
  <c r="N43" i="8"/>
  <c r="L43" i="8"/>
  <c r="J43" i="8"/>
  <c r="I43" i="8"/>
  <c r="G43" i="8"/>
  <c r="N42" i="8"/>
  <c r="L42" i="8"/>
  <c r="J42" i="8"/>
  <c r="I42" i="8"/>
  <c r="G42" i="8"/>
  <c r="N41" i="8"/>
  <c r="L41" i="8"/>
  <c r="J41" i="8"/>
  <c r="I41" i="8"/>
  <c r="G41" i="8"/>
  <c r="N40" i="8"/>
  <c r="L40" i="8"/>
  <c r="J40" i="8"/>
  <c r="I40" i="8"/>
  <c r="G40" i="8"/>
  <c r="N39" i="8"/>
  <c r="L39" i="8"/>
  <c r="J39" i="8"/>
  <c r="I39" i="8"/>
  <c r="G39" i="8"/>
  <c r="N38" i="8"/>
  <c r="L38" i="8"/>
  <c r="J38" i="8"/>
  <c r="I38" i="8"/>
  <c r="G38" i="8"/>
  <c r="N37" i="8"/>
  <c r="L37" i="8"/>
  <c r="J37" i="8"/>
  <c r="I37" i="8"/>
  <c r="G37" i="8"/>
  <c r="N36" i="8"/>
  <c r="L36" i="8"/>
  <c r="J36" i="8"/>
  <c r="I36" i="8"/>
  <c r="G36" i="8"/>
  <c r="N35" i="8"/>
  <c r="L35" i="8"/>
  <c r="J35" i="8"/>
  <c r="I35" i="8"/>
  <c r="G35" i="8"/>
  <c r="N34" i="8"/>
  <c r="L34" i="8"/>
  <c r="J34" i="8"/>
  <c r="I34" i="8"/>
  <c r="G34" i="8"/>
  <c r="N33" i="8"/>
  <c r="L33" i="8"/>
  <c r="J33" i="8"/>
  <c r="I33" i="8"/>
  <c r="G33" i="8"/>
  <c r="S32" i="8"/>
  <c r="R32" i="8"/>
  <c r="Q32" i="8"/>
  <c r="N32" i="8"/>
  <c r="L32" i="8"/>
  <c r="J32" i="8"/>
  <c r="I32" i="8"/>
  <c r="G32" i="8"/>
  <c r="N31" i="8"/>
  <c r="L31" i="8"/>
  <c r="J31" i="8"/>
  <c r="I31" i="8"/>
  <c r="G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G28" i="8"/>
  <c r="N27" i="8"/>
  <c r="L27" i="8"/>
  <c r="J27" i="8"/>
  <c r="I27" i="8"/>
  <c r="G27" i="8"/>
  <c r="N26" i="8"/>
  <c r="L26" i="8"/>
  <c r="J26" i="8"/>
  <c r="I26" i="8"/>
  <c r="G26" i="8"/>
  <c r="N25" i="8"/>
  <c r="L25" i="8"/>
  <c r="J25" i="8"/>
  <c r="I25" i="8"/>
  <c r="G25" i="8"/>
  <c r="N24" i="8"/>
  <c r="L24" i="8"/>
  <c r="J24" i="8"/>
  <c r="I24" i="8"/>
  <c r="G24" i="8"/>
  <c r="N23" i="8"/>
  <c r="L23" i="8"/>
  <c r="J23" i="8"/>
  <c r="I23" i="8"/>
  <c r="G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S64" i="7"/>
  <c r="R64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G45" i="7"/>
  <c r="N44" i="7"/>
  <c r="L44" i="7"/>
  <c r="J44" i="7"/>
  <c r="I44" i="7"/>
  <c r="G44" i="7"/>
  <c r="N43" i="7"/>
  <c r="L43" i="7"/>
  <c r="J43" i="7"/>
  <c r="I43" i="7"/>
  <c r="G43" i="7"/>
  <c r="N42" i="7"/>
  <c r="L42" i="7"/>
  <c r="J42" i="7"/>
  <c r="I42" i="7"/>
  <c r="G42" i="7"/>
  <c r="N41" i="7"/>
  <c r="L41" i="7"/>
  <c r="J41" i="7"/>
  <c r="I41" i="7"/>
  <c r="G41" i="7"/>
  <c r="N40" i="7"/>
  <c r="L40" i="7"/>
  <c r="J40" i="7"/>
  <c r="I40" i="7"/>
  <c r="G40" i="7"/>
  <c r="N39" i="7"/>
  <c r="L39" i="7"/>
  <c r="J39" i="7"/>
  <c r="I39" i="7"/>
  <c r="G39" i="7"/>
  <c r="N38" i="7"/>
  <c r="L38" i="7"/>
  <c r="J38" i="7"/>
  <c r="I38" i="7"/>
  <c r="G38" i="7"/>
  <c r="N37" i="7"/>
  <c r="L37" i="7"/>
  <c r="J37" i="7"/>
  <c r="I37" i="7"/>
  <c r="G37" i="7"/>
  <c r="N36" i="7"/>
  <c r="L36" i="7"/>
  <c r="J36" i="7"/>
  <c r="I36" i="7"/>
  <c r="G36" i="7"/>
  <c r="N35" i="7"/>
  <c r="L35" i="7"/>
  <c r="J35" i="7"/>
  <c r="I35" i="7"/>
  <c r="G35" i="7"/>
  <c r="N34" i="7"/>
  <c r="L34" i="7"/>
  <c r="J34" i="7"/>
  <c r="I34" i="7"/>
  <c r="G34" i="7"/>
  <c r="N33" i="7"/>
  <c r="L33" i="7"/>
  <c r="J33" i="7"/>
  <c r="I33" i="7"/>
  <c r="G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S87" i="4"/>
  <c r="N3" i="4"/>
  <c r="L3" i="4"/>
  <c r="J3" i="4"/>
  <c r="O3" i="4"/>
  <c r="G3" i="4"/>
  <c r="N2" i="4"/>
  <c r="L2" i="4"/>
  <c r="I2" i="4"/>
  <c r="J32" i="7"/>
  <c r="I32" i="7"/>
  <c r="G32" i="7"/>
  <c r="N31" i="7"/>
  <c r="L31" i="7"/>
  <c r="J31" i="7"/>
  <c r="I31" i="7"/>
  <c r="G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G28" i="7"/>
  <c r="N27" i="7"/>
  <c r="L27" i="7"/>
  <c r="J27" i="7"/>
  <c r="I27" i="7"/>
  <c r="G27" i="7"/>
  <c r="S26" i="7"/>
  <c r="R26" i="7"/>
  <c r="N26" i="7"/>
  <c r="L26" i="7"/>
  <c r="J26" i="7"/>
  <c r="I26" i="7"/>
  <c r="G26" i="7"/>
  <c r="N25" i="7"/>
  <c r="L25" i="7"/>
  <c r="J25" i="7"/>
  <c r="I25" i="7"/>
  <c r="G25" i="7"/>
  <c r="N24" i="7"/>
  <c r="L24" i="7"/>
  <c r="J24" i="7"/>
  <c r="I24" i="7"/>
  <c r="G24" i="7"/>
  <c r="N23" i="7"/>
  <c r="L23" i="7"/>
  <c r="J23" i="7"/>
  <c r="I23" i="7"/>
  <c r="G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G45" i="6"/>
  <c r="N44" i="6"/>
  <c r="L44" i="6"/>
  <c r="J44" i="6"/>
  <c r="I44" i="6"/>
  <c r="G44" i="6"/>
  <c r="N43" i="6"/>
  <c r="L43" i="6"/>
  <c r="J43" i="6"/>
  <c r="I43" i="6"/>
  <c r="G43" i="6"/>
  <c r="N42" i="6"/>
  <c r="L42" i="6"/>
  <c r="J42" i="6"/>
  <c r="I42" i="6"/>
  <c r="G42" i="6"/>
  <c r="N41" i="6"/>
  <c r="L41" i="6"/>
  <c r="J41" i="6"/>
  <c r="I41" i="6"/>
  <c r="G41" i="6"/>
  <c r="N40" i="6"/>
  <c r="L40" i="6"/>
  <c r="J40" i="6"/>
  <c r="I40" i="6"/>
  <c r="G40" i="6"/>
  <c r="N39" i="6"/>
  <c r="L39" i="6"/>
  <c r="J39" i="6"/>
  <c r="I39" i="6"/>
  <c r="G39" i="6"/>
  <c r="N38" i="6"/>
  <c r="L38" i="6"/>
  <c r="J38" i="6"/>
  <c r="I38" i="6"/>
  <c r="G38" i="6"/>
  <c r="N37" i="6"/>
  <c r="L37" i="6"/>
  <c r="J37" i="6"/>
  <c r="I37" i="6"/>
  <c r="G37" i="6"/>
  <c r="N36" i="6"/>
  <c r="L36" i="6"/>
  <c r="J36" i="6"/>
  <c r="I36" i="6"/>
  <c r="G36" i="6"/>
  <c r="N35" i="6"/>
  <c r="L35" i="6"/>
  <c r="J35" i="6"/>
  <c r="I35" i="6"/>
  <c r="G35" i="6"/>
  <c r="S34" i="6"/>
  <c r="R34" i="6"/>
  <c r="Q34" i="6"/>
  <c r="N34" i="6"/>
  <c r="L34" i="6"/>
  <c r="J34" i="6"/>
  <c r="I34" i="6"/>
  <c r="G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G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G28" i="6"/>
  <c r="N27" i="6"/>
  <c r="L27" i="6"/>
  <c r="J27" i="6"/>
  <c r="I27" i="6"/>
  <c r="G27" i="6"/>
  <c r="N26" i="6"/>
  <c r="L26" i="6"/>
  <c r="J26" i="6"/>
  <c r="I26" i="6"/>
  <c r="G26" i="6"/>
  <c r="N25" i="6"/>
  <c r="L25" i="6"/>
  <c r="J25" i="6"/>
  <c r="I25" i="6"/>
  <c r="G25" i="6"/>
  <c r="N24" i="6"/>
  <c r="L24" i="6"/>
  <c r="J24" i="6"/>
  <c r="I24" i="6"/>
  <c r="G24" i="6"/>
  <c r="N23" i="6"/>
  <c r="L23" i="6"/>
  <c r="J23" i="6"/>
  <c r="I23" i="6"/>
  <c r="G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G45" i="5"/>
  <c r="N44" i="5"/>
  <c r="L44" i="5"/>
  <c r="J44" i="5"/>
  <c r="I44" i="5"/>
  <c r="G44" i="5"/>
  <c r="N43" i="5"/>
  <c r="L43" i="5"/>
  <c r="J43" i="5"/>
  <c r="I43" i="5"/>
  <c r="G43" i="5"/>
  <c r="N42" i="5"/>
  <c r="L42" i="5"/>
  <c r="J42" i="5"/>
  <c r="I42" i="5"/>
  <c r="G42" i="5"/>
  <c r="S41" i="5"/>
  <c r="R41" i="5"/>
  <c r="N41" i="5"/>
  <c r="L41" i="5"/>
  <c r="J41" i="5"/>
  <c r="I41" i="5"/>
  <c r="G41" i="5"/>
  <c r="N40" i="5"/>
  <c r="L40" i="5"/>
  <c r="J40" i="5"/>
  <c r="I40" i="5"/>
  <c r="G40" i="5"/>
  <c r="N39" i="5"/>
  <c r="L39" i="5"/>
  <c r="J39" i="5"/>
  <c r="I39" i="5"/>
  <c r="G39" i="5"/>
  <c r="N38" i="5"/>
  <c r="L38" i="5"/>
  <c r="J38" i="5"/>
  <c r="I38" i="5"/>
  <c r="G38" i="5"/>
  <c r="N37" i="5"/>
  <c r="L37" i="5"/>
  <c r="J37" i="5"/>
  <c r="I37" i="5"/>
  <c r="G37" i="5"/>
  <c r="N36" i="5"/>
  <c r="L36" i="5"/>
  <c r="J36" i="5"/>
  <c r="I36" i="5"/>
  <c r="G36" i="5"/>
  <c r="N35" i="5"/>
  <c r="L35" i="5"/>
  <c r="J35" i="5"/>
  <c r="I35" i="5"/>
  <c r="G35" i="5"/>
  <c r="N34" i="5"/>
  <c r="L34" i="5"/>
  <c r="J34" i="5"/>
  <c r="I34" i="5"/>
  <c r="G34" i="5"/>
  <c r="N33" i="5"/>
  <c r="L33" i="5"/>
  <c r="J33" i="5"/>
  <c r="I33" i="5"/>
  <c r="G33" i="5"/>
  <c r="N32" i="5"/>
  <c r="L32" i="5"/>
  <c r="J32" i="5"/>
  <c r="I32" i="5"/>
  <c r="G32" i="5"/>
  <c r="N31" i="5"/>
  <c r="L31" i="5"/>
  <c r="J31" i="5"/>
  <c r="I31" i="5"/>
  <c r="G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G28" i="5"/>
  <c r="N27" i="5"/>
  <c r="L27" i="5"/>
  <c r="J27" i="5"/>
  <c r="I27" i="5"/>
  <c r="G27" i="5"/>
  <c r="N26" i="5"/>
  <c r="L26" i="5"/>
  <c r="J26" i="5"/>
  <c r="I26" i="5"/>
  <c r="G26" i="5"/>
  <c r="N25" i="5"/>
  <c r="L25" i="5"/>
  <c r="J25" i="5"/>
  <c r="I25" i="5"/>
  <c r="G25" i="5"/>
  <c r="N24" i="5"/>
  <c r="L24" i="5"/>
  <c r="J24" i="5"/>
  <c r="I24" i="5"/>
  <c r="G24" i="5"/>
  <c r="N23" i="5"/>
  <c r="L23" i="5"/>
  <c r="J23" i="5"/>
  <c r="I23" i="5"/>
  <c r="G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S64" i="4"/>
  <c r="R64" i="4"/>
  <c r="Q64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G45" i="4"/>
  <c r="N44" i="4"/>
  <c r="L44" i="4"/>
  <c r="J44" i="4"/>
  <c r="I44" i="4"/>
  <c r="G44" i="4"/>
  <c r="N43" i="4"/>
  <c r="L43" i="4"/>
  <c r="J43" i="4"/>
  <c r="I43" i="4"/>
  <c r="G43" i="4"/>
  <c r="N42" i="4"/>
  <c r="L42" i="4"/>
  <c r="J42" i="4"/>
  <c r="I42" i="4"/>
  <c r="G42" i="4"/>
  <c r="N41" i="4"/>
  <c r="L41" i="4"/>
  <c r="J41" i="4"/>
  <c r="I41" i="4"/>
  <c r="G41" i="4"/>
  <c r="N40" i="4"/>
  <c r="L40" i="4"/>
  <c r="J40" i="4"/>
  <c r="I40" i="4"/>
  <c r="G40" i="4"/>
  <c r="N39" i="4"/>
  <c r="L39" i="4"/>
  <c r="J39" i="4"/>
  <c r="I39" i="4"/>
  <c r="G39" i="4"/>
  <c r="N38" i="4"/>
  <c r="L38" i="4"/>
  <c r="J38" i="4"/>
  <c r="I38" i="4"/>
  <c r="G38" i="4"/>
  <c r="N37" i="4"/>
  <c r="L37" i="4"/>
  <c r="J37" i="4"/>
  <c r="I37" i="4"/>
  <c r="G37" i="4"/>
  <c r="N36" i="4"/>
  <c r="L36" i="4"/>
  <c r="J36" i="4"/>
  <c r="I36" i="4"/>
  <c r="G36" i="4"/>
  <c r="N35" i="4"/>
  <c r="L35" i="4"/>
  <c r="J35" i="4"/>
  <c r="I35" i="4"/>
  <c r="G35" i="4"/>
  <c r="N34" i="4"/>
  <c r="L34" i="4"/>
  <c r="J34" i="4"/>
  <c r="I34" i="4"/>
  <c r="G34" i="4"/>
  <c r="N33" i="4"/>
  <c r="L33" i="4"/>
  <c r="J33" i="4"/>
  <c r="I33" i="4"/>
  <c r="G33" i="4"/>
  <c r="N32" i="4"/>
  <c r="L32" i="4"/>
  <c r="J32" i="4"/>
  <c r="I32" i="4"/>
  <c r="G32" i="4"/>
  <c r="N31" i="4"/>
  <c r="L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G28" i="4"/>
  <c r="N27" i="4"/>
  <c r="L27" i="4"/>
  <c r="J27" i="4"/>
  <c r="I27" i="4"/>
  <c r="G27" i="4"/>
  <c r="N26" i="4"/>
  <c r="L26" i="4"/>
  <c r="J26" i="4"/>
  <c r="I26" i="4"/>
  <c r="G26" i="4"/>
  <c r="N25" i="4"/>
  <c r="L25" i="4"/>
  <c r="J25" i="4"/>
  <c r="I25" i="4"/>
  <c r="G25" i="4"/>
  <c r="N24" i="4"/>
  <c r="L24" i="4"/>
  <c r="J24" i="4"/>
  <c r="I24" i="4"/>
  <c r="G24" i="4"/>
  <c r="N23" i="4"/>
  <c r="L23" i="4"/>
  <c r="J23" i="4"/>
  <c r="I23" i="4"/>
  <c r="G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R39" i="10"/>
  <c r="S35" i="10"/>
  <c r="Q34" i="10"/>
  <c r="S33" i="10"/>
  <c r="S32" i="10"/>
  <c r="S31" i="10"/>
  <c r="R31" i="10"/>
  <c r="Q30" i="10"/>
  <c r="S29" i="10"/>
  <c r="R28" i="10"/>
  <c r="Q26" i="10"/>
  <c r="S25" i="10"/>
  <c r="S22" i="10"/>
  <c r="R106" i="9"/>
  <c r="R102" i="9"/>
  <c r="S101" i="9"/>
  <c r="Q96" i="9"/>
  <c r="S94" i="9"/>
  <c r="S91" i="9"/>
  <c r="S45" i="10"/>
  <c r="R45" i="10"/>
  <c r="Q45" i="10"/>
  <c r="S44" i="10"/>
  <c r="R44" i="10"/>
  <c r="Q44" i="10"/>
  <c r="S43" i="10"/>
  <c r="R43" i="10"/>
  <c r="Q43" i="10"/>
  <c r="S42" i="10"/>
  <c r="R42" i="10"/>
  <c r="Q42" i="10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S41" i="10"/>
  <c r="R41" i="10"/>
  <c r="Q41" i="10"/>
  <c r="S40" i="10"/>
  <c r="R40" i="10"/>
  <c r="Q40" i="10"/>
  <c r="S39" i="10"/>
  <c r="Q39" i="10"/>
  <c r="R38" i="10"/>
  <c r="Q38" i="10"/>
  <c r="R37" i="10"/>
  <c r="S36" i="10"/>
  <c r="Q36" i="10"/>
  <c r="R35" i="10"/>
  <c r="R34" i="10"/>
  <c r="Q33" i="10"/>
  <c r="Q32" i="10"/>
  <c r="Q31" i="10"/>
  <c r="R30" i="10"/>
  <c r="R29" i="10"/>
  <c r="S28" i="10"/>
  <c r="Q28" i="10"/>
  <c r="R27" i="10"/>
  <c r="R26" i="10"/>
  <c r="Q25" i="10"/>
  <c r="R24" i="10"/>
  <c r="S23" i="10"/>
  <c r="R23" i="10"/>
  <c r="Q23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S45" i="9"/>
  <c r="R45" i="9"/>
  <c r="Q45" i="9"/>
  <c r="S44" i="9"/>
  <c r="R44" i="9"/>
  <c r="Q44" i="9"/>
  <c r="S43" i="9"/>
  <c r="R43" i="9"/>
  <c r="Q43" i="9"/>
  <c r="S42" i="9"/>
  <c r="R42" i="9"/>
  <c r="Q42" i="9"/>
  <c r="S41" i="9"/>
  <c r="R41" i="9"/>
  <c r="Q41" i="9"/>
  <c r="S40" i="9"/>
  <c r="R40" i="9"/>
  <c r="Q40" i="9"/>
  <c r="S39" i="9"/>
  <c r="R39" i="9"/>
  <c r="Q39" i="9"/>
  <c r="S38" i="9"/>
  <c r="R38" i="9"/>
  <c r="Q38" i="9"/>
  <c r="S37" i="9"/>
  <c r="R37" i="9"/>
  <c r="Q37" i="9"/>
  <c r="S36" i="9"/>
  <c r="R36" i="9"/>
  <c r="Q36" i="9"/>
  <c r="S35" i="9"/>
  <c r="R35" i="9"/>
  <c r="Q35" i="9"/>
  <c r="S34" i="9"/>
  <c r="R34" i="9"/>
  <c r="Q34" i="9"/>
  <c r="S33" i="9"/>
  <c r="R33" i="9"/>
  <c r="Q33" i="9"/>
  <c r="S32" i="9"/>
  <c r="R32" i="9"/>
  <c r="Q32" i="9"/>
  <c r="S31" i="9"/>
  <c r="R31" i="9"/>
  <c r="Q31" i="9"/>
  <c r="S30" i="9"/>
  <c r="R30" i="9"/>
  <c r="Q30" i="9"/>
  <c r="S29" i="9"/>
  <c r="R29" i="9"/>
  <c r="Q29" i="9"/>
  <c r="S28" i="9"/>
  <c r="R28" i="9"/>
  <c r="Q28" i="9"/>
  <c r="S27" i="9"/>
  <c r="R27" i="9"/>
  <c r="Q27" i="9"/>
  <c r="S26" i="9"/>
  <c r="R26" i="9"/>
  <c r="Q26" i="9"/>
  <c r="S25" i="9"/>
  <c r="R25" i="9"/>
  <c r="Q25" i="9"/>
  <c r="S24" i="9"/>
  <c r="R24" i="9"/>
  <c r="Q24" i="9"/>
  <c r="S23" i="9"/>
  <c r="R23" i="9"/>
  <c r="Q23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T106" i="4"/>
  <c r="R99" i="4"/>
  <c r="Q98" i="4"/>
  <c r="S94" i="4"/>
  <c r="R93" i="4"/>
  <c r="Q92" i="4"/>
  <c r="S91" i="4"/>
  <c r="Q90" i="4"/>
  <c r="Q88" i="4"/>
  <c r="R87" i="4"/>
  <c r="T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S41" i="8"/>
  <c r="R41" i="8"/>
  <c r="Q41" i="8"/>
  <c r="S40" i="8"/>
  <c r="R40" i="8"/>
  <c r="Q40" i="8"/>
  <c r="S39" i="8"/>
  <c r="R39" i="8"/>
  <c r="Q39" i="8"/>
  <c r="S38" i="8"/>
  <c r="R38" i="8"/>
  <c r="Q38" i="8"/>
  <c r="S37" i="8"/>
  <c r="R37" i="8"/>
  <c r="Q37" i="8"/>
  <c r="S36" i="8"/>
  <c r="R36" i="8"/>
  <c r="Q36" i="8"/>
  <c r="S35" i="8"/>
  <c r="R35" i="8"/>
  <c r="Q35" i="8"/>
  <c r="S34" i="8"/>
  <c r="R34" i="8"/>
  <c r="Q34" i="8"/>
  <c r="S33" i="8"/>
  <c r="R33" i="8"/>
  <c r="Q33" i="8"/>
  <c r="T32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31" i="7"/>
  <c r="R31" i="7"/>
  <c r="Q31" i="7"/>
  <c r="S30" i="7"/>
  <c r="R30" i="7"/>
  <c r="Q30" i="7"/>
  <c r="S29" i="7"/>
  <c r="R29" i="7"/>
  <c r="Q29" i="7"/>
  <c r="S28" i="7"/>
  <c r="R28" i="7"/>
  <c r="Q28" i="7"/>
  <c r="S27" i="7"/>
  <c r="R27" i="7"/>
  <c r="Q27" i="7"/>
  <c r="S6" i="6"/>
  <c r="R6" i="6"/>
  <c r="S5" i="6"/>
  <c r="Q5" i="6"/>
  <c r="S4" i="6"/>
  <c r="Q4" i="6"/>
  <c r="S46" i="5"/>
  <c r="R46" i="5"/>
  <c r="Q46" i="5"/>
  <c r="S45" i="5"/>
  <c r="R45" i="5"/>
  <c r="Q45" i="5"/>
  <c r="S44" i="5"/>
  <c r="Q44" i="5"/>
  <c r="S43" i="5"/>
  <c r="Q43" i="5"/>
  <c r="S42" i="5"/>
  <c r="Q42" i="5"/>
  <c r="S31" i="8"/>
  <c r="R31" i="8"/>
  <c r="Q31" i="8"/>
  <c r="S30" i="8"/>
  <c r="R30" i="8"/>
  <c r="Q30" i="8"/>
  <c r="S29" i="8"/>
  <c r="R29" i="8"/>
  <c r="Q29" i="8"/>
  <c r="S28" i="8"/>
  <c r="R28" i="8"/>
  <c r="Q28" i="8"/>
  <c r="S27" i="8"/>
  <c r="R27" i="8"/>
  <c r="Q27" i="8"/>
  <c r="S26" i="8"/>
  <c r="R26" i="8"/>
  <c r="Q26" i="8"/>
  <c r="S25" i="8"/>
  <c r="R25" i="8"/>
  <c r="Q25" i="8"/>
  <c r="S24" i="8"/>
  <c r="R24" i="8"/>
  <c r="Q24" i="8"/>
  <c r="S23" i="8"/>
  <c r="R23" i="8"/>
  <c r="Q23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45" i="7"/>
  <c r="R45" i="7"/>
  <c r="Q45" i="7"/>
  <c r="S44" i="7"/>
  <c r="R44" i="7"/>
  <c r="Q44" i="7"/>
  <c r="S43" i="7"/>
  <c r="R43" i="7"/>
  <c r="Q43" i="7"/>
  <c r="S42" i="7"/>
  <c r="R42" i="7"/>
  <c r="Q42" i="7"/>
  <c r="S41" i="7"/>
  <c r="R41" i="7"/>
  <c r="Q41" i="7"/>
  <c r="S40" i="7"/>
  <c r="R40" i="7"/>
  <c r="Q40" i="7"/>
  <c r="S39" i="7"/>
  <c r="R39" i="7"/>
  <c r="Q39" i="7"/>
  <c r="S38" i="7"/>
  <c r="R38" i="7"/>
  <c r="Q38" i="7"/>
  <c r="S37" i="7"/>
  <c r="R37" i="7"/>
  <c r="Q37" i="7"/>
  <c r="S36" i="7"/>
  <c r="R36" i="7"/>
  <c r="Q36" i="7"/>
  <c r="S35" i="7"/>
  <c r="R35" i="7"/>
  <c r="Q35" i="7"/>
  <c r="S34" i="7"/>
  <c r="R34" i="7"/>
  <c r="Q34" i="7"/>
  <c r="S33" i="7"/>
  <c r="R33" i="7"/>
  <c r="Q33" i="7"/>
  <c r="S32" i="7"/>
  <c r="R32" i="7"/>
  <c r="Q32" i="7"/>
  <c r="S3" i="7"/>
  <c r="R3" i="7"/>
  <c r="Q3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Q26" i="7"/>
  <c r="S25" i="7"/>
  <c r="R25" i="7"/>
  <c r="Q25" i="7"/>
  <c r="S24" i="7"/>
  <c r="R24" i="7"/>
  <c r="Q24" i="7"/>
  <c r="S23" i="7"/>
  <c r="R23" i="7"/>
  <c r="Q23" i="7"/>
  <c r="S22" i="7"/>
  <c r="R22" i="7"/>
  <c r="Q22" i="7"/>
  <c r="S17" i="7"/>
  <c r="R17" i="7"/>
  <c r="Q17" i="7"/>
  <c r="S16" i="7"/>
  <c r="R16" i="7"/>
  <c r="Q16" i="7"/>
  <c r="S10" i="7"/>
  <c r="R10" i="7"/>
  <c r="Q10" i="7"/>
  <c r="S9" i="7"/>
  <c r="R9" i="7"/>
  <c r="Q9" i="7"/>
  <c r="S8" i="7"/>
  <c r="R8" i="7"/>
  <c r="Q8" i="7"/>
  <c r="S7" i="7"/>
  <c r="R7" i="7"/>
  <c r="Q7" i="7"/>
  <c r="S6" i="7"/>
  <c r="R6" i="7"/>
  <c r="Q6" i="7"/>
  <c r="S5" i="7"/>
  <c r="R5" i="7"/>
  <c r="Q5" i="7"/>
  <c r="S4" i="7"/>
  <c r="R4" i="7"/>
  <c r="Q4" i="7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45" i="6"/>
  <c r="R45" i="6"/>
  <c r="Q45" i="6"/>
  <c r="S44" i="6"/>
  <c r="R44" i="6"/>
  <c r="Q44" i="6"/>
  <c r="S43" i="6"/>
  <c r="R43" i="6"/>
  <c r="Q43" i="6"/>
  <c r="S42" i="6"/>
  <c r="R42" i="6"/>
  <c r="Q42" i="6"/>
  <c r="S41" i="6"/>
  <c r="R41" i="6"/>
  <c r="Q41" i="6"/>
  <c r="S40" i="6"/>
  <c r="R40" i="6"/>
  <c r="Q40" i="6"/>
  <c r="S39" i="6"/>
  <c r="R39" i="6"/>
  <c r="Q39" i="6"/>
  <c r="S38" i="6"/>
  <c r="R38" i="6"/>
  <c r="Q38" i="6"/>
  <c r="S37" i="6"/>
  <c r="R37" i="6"/>
  <c r="Q37" i="6"/>
  <c r="S36" i="6"/>
  <c r="R36" i="6"/>
  <c r="Q36" i="6"/>
  <c r="S35" i="6"/>
  <c r="R35" i="6"/>
  <c r="Q35" i="6"/>
  <c r="T34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4" i="5"/>
  <c r="R43" i="5"/>
  <c r="R42" i="5"/>
  <c r="S33" i="6"/>
  <c r="R33" i="6"/>
  <c r="Q33" i="6"/>
  <c r="S32" i="6"/>
  <c r="R32" i="6"/>
  <c r="Q32" i="6"/>
  <c r="S31" i="6"/>
  <c r="R31" i="6"/>
  <c r="Q31" i="6"/>
  <c r="S30" i="6"/>
  <c r="R30" i="6"/>
  <c r="Q30" i="6"/>
  <c r="S29" i="6"/>
  <c r="R29" i="6"/>
  <c r="Q29" i="6"/>
  <c r="S28" i="6"/>
  <c r="R28" i="6"/>
  <c r="Q28" i="6"/>
  <c r="S27" i="6"/>
  <c r="R27" i="6"/>
  <c r="Q27" i="6"/>
  <c r="S26" i="6"/>
  <c r="R26" i="6"/>
  <c r="Q26" i="6"/>
  <c r="S25" i="6"/>
  <c r="R25" i="6"/>
  <c r="Q25" i="6"/>
  <c r="S24" i="6"/>
  <c r="R24" i="6"/>
  <c r="Q24" i="6"/>
  <c r="S23" i="6"/>
  <c r="R23" i="6"/>
  <c r="Q23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Q41" i="5"/>
  <c r="S40" i="5"/>
  <c r="R40" i="5"/>
  <c r="Q40" i="5"/>
  <c r="S39" i="5"/>
  <c r="R39" i="5"/>
  <c r="Q39" i="5"/>
  <c r="S38" i="5"/>
  <c r="R38" i="5"/>
  <c r="Q38" i="5"/>
  <c r="S37" i="5"/>
  <c r="R37" i="5"/>
  <c r="Q37" i="5"/>
  <c r="S36" i="5"/>
  <c r="R36" i="5"/>
  <c r="Q36" i="5"/>
  <c r="S35" i="5"/>
  <c r="R35" i="5"/>
  <c r="Q35" i="5"/>
  <c r="S34" i="5"/>
  <c r="R34" i="5"/>
  <c r="Q34" i="5"/>
  <c r="S33" i="5"/>
  <c r="R33" i="5"/>
  <c r="Q33" i="5"/>
  <c r="S32" i="5"/>
  <c r="R32" i="5"/>
  <c r="Q32" i="5"/>
  <c r="S31" i="5"/>
  <c r="R31" i="5"/>
  <c r="Q31" i="5"/>
  <c r="S30" i="5"/>
  <c r="R30" i="5"/>
  <c r="Q30" i="5"/>
  <c r="S29" i="5"/>
  <c r="R29" i="5"/>
  <c r="Q29" i="5"/>
  <c r="S28" i="5"/>
  <c r="R28" i="5"/>
  <c r="Q28" i="5"/>
  <c r="S27" i="5"/>
  <c r="R27" i="5"/>
  <c r="Q27" i="5"/>
  <c r="S26" i="5"/>
  <c r="R26" i="5"/>
  <c r="Q26" i="5"/>
  <c r="S25" i="5"/>
  <c r="R25" i="5"/>
  <c r="Q25" i="5"/>
  <c r="S24" i="5"/>
  <c r="R24" i="5"/>
  <c r="Q24" i="5"/>
  <c r="S23" i="5"/>
  <c r="R23" i="5"/>
  <c r="Q23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T64" i="4"/>
  <c r="Q35" i="10"/>
  <c r="S30" i="10"/>
  <c r="Q29" i="10"/>
  <c r="T28" i="10"/>
  <c r="Q27" i="10"/>
  <c r="R25" i="10"/>
  <c r="S24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5" i="4"/>
  <c r="R45" i="4"/>
  <c r="Q45" i="4"/>
  <c r="S44" i="4"/>
  <c r="R44" i="4"/>
  <c r="Q44" i="4"/>
  <c r="S43" i="4"/>
  <c r="R43" i="4"/>
  <c r="Q43" i="4"/>
  <c r="S42" i="4"/>
  <c r="R42" i="4"/>
  <c r="Q42" i="4"/>
  <c r="S41" i="4"/>
  <c r="R41" i="4"/>
  <c r="Q41" i="4"/>
  <c r="S40" i="4"/>
  <c r="R40" i="4"/>
  <c r="Q40" i="4"/>
  <c r="S39" i="4"/>
  <c r="R39" i="4"/>
  <c r="Q39" i="4"/>
  <c r="S38" i="4"/>
  <c r="R38" i="4"/>
  <c r="Q38" i="4"/>
  <c r="S37" i="4"/>
  <c r="R37" i="4"/>
  <c r="Q37" i="4"/>
  <c r="S36" i="4"/>
  <c r="R36" i="4"/>
  <c r="Q36" i="4"/>
  <c r="S35" i="4"/>
  <c r="R35" i="4"/>
  <c r="Q35" i="4"/>
  <c r="S34" i="4"/>
  <c r="R34" i="4"/>
  <c r="Q34" i="4"/>
  <c r="S33" i="4"/>
  <c r="R33" i="4"/>
  <c r="Q33" i="4"/>
  <c r="S32" i="4"/>
  <c r="R32" i="4"/>
  <c r="Q32" i="4"/>
  <c r="S31" i="4"/>
  <c r="R31" i="4"/>
  <c r="Q31" i="4"/>
  <c r="S30" i="4"/>
  <c r="R30" i="4"/>
  <c r="Q30" i="4"/>
  <c r="S29" i="4"/>
  <c r="R29" i="4"/>
  <c r="Q29" i="4"/>
  <c r="S28" i="4"/>
  <c r="R28" i="4"/>
  <c r="Q28" i="4"/>
  <c r="S27" i="4"/>
  <c r="R27" i="4"/>
  <c r="Q27" i="4"/>
  <c r="S26" i="4"/>
  <c r="R26" i="4"/>
  <c r="Q26" i="4"/>
  <c r="S25" i="4"/>
  <c r="R25" i="4"/>
  <c r="Q25" i="4"/>
  <c r="S24" i="4"/>
  <c r="R24" i="4"/>
  <c r="Q24" i="4"/>
  <c r="S3" i="4"/>
  <c r="R3" i="4"/>
  <c r="Q3" i="4"/>
  <c r="S22" i="4"/>
  <c r="R22" i="4"/>
  <c r="Q22" i="4"/>
  <c r="S17" i="4"/>
  <c r="R17" i="4"/>
  <c r="Q17" i="4"/>
  <c r="S16" i="4"/>
  <c r="R16" i="4"/>
  <c r="Q16" i="4"/>
  <c r="S10" i="4"/>
  <c r="R10" i="4"/>
  <c r="Q10" i="4"/>
  <c r="S9" i="4"/>
  <c r="R9" i="4"/>
  <c r="Q9" i="4"/>
  <c r="S8" i="4"/>
  <c r="R8" i="4"/>
  <c r="Q8" i="4"/>
  <c r="S7" i="4"/>
  <c r="R7" i="4"/>
  <c r="Q7" i="4"/>
  <c r="S6" i="4"/>
  <c r="R6" i="4"/>
  <c r="Q6" i="4"/>
  <c r="S5" i="4"/>
  <c r="R5" i="4"/>
  <c r="Q5" i="4"/>
  <c r="S4" i="4"/>
  <c r="R4" i="4"/>
  <c r="Q4" i="4"/>
  <c r="T39" i="10"/>
  <c r="S38" i="10"/>
  <c r="S37" i="10"/>
  <c r="Q37" i="10"/>
  <c r="R36" i="10"/>
  <c r="T35" i="10"/>
  <c r="S34" i="10"/>
  <c r="R33" i="10"/>
  <c r="R32" i="10"/>
  <c r="T31" i="10"/>
  <c r="T30" i="10"/>
  <c r="S27" i="10"/>
  <c r="S26" i="10"/>
  <c r="T25" i="10"/>
  <c r="Q24" i="10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34" i="10"/>
  <c r="U30" i="10"/>
  <c r="U26" i="10"/>
  <c r="U96" i="9"/>
  <c r="U45" i="10"/>
  <c r="U44" i="10"/>
  <c r="U43" i="10"/>
  <c r="U42" i="10"/>
  <c r="U39" i="10"/>
  <c r="U31" i="10"/>
  <c r="U28" i="10"/>
  <c r="U25" i="10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102" i="7"/>
  <c r="U102" i="7"/>
  <c r="T100" i="7"/>
  <c r="U100" i="7"/>
  <c r="T99" i="7"/>
  <c r="U99" i="7"/>
  <c r="T98" i="4"/>
  <c r="T90" i="4"/>
  <c r="U101" i="5"/>
  <c r="U100" i="5"/>
  <c r="U98" i="5"/>
  <c r="U97" i="5"/>
  <c r="U96" i="5"/>
  <c r="U94" i="5"/>
  <c r="U83" i="5"/>
  <c r="U46" i="5"/>
  <c r="U27" i="8"/>
  <c r="T64" i="7"/>
  <c r="U64" i="7"/>
  <c r="T26" i="7"/>
  <c r="U70" i="6"/>
  <c r="U65" i="6"/>
  <c r="U62" i="6"/>
  <c r="U58" i="6"/>
  <c r="U56" i="6"/>
  <c r="U52" i="6"/>
  <c r="U49" i="6"/>
  <c r="U46" i="6"/>
  <c r="U43" i="6"/>
  <c r="T51" i="5"/>
  <c r="U51" i="5"/>
  <c r="U95" i="5"/>
  <c r="U92" i="5"/>
  <c r="U89" i="5"/>
  <c r="T41" i="5"/>
  <c r="U41" i="5"/>
  <c r="U35" i="10"/>
  <c r="U97" i="8"/>
  <c r="U53" i="4"/>
  <c r="U43" i="4"/>
  <c r="U42" i="4"/>
  <c r="U39" i="4"/>
  <c r="U32" i="4"/>
  <c r="U25" i="4"/>
  <c r="U46" i="10"/>
  <c r="U73" i="8"/>
  <c r="U3" i="8"/>
  <c r="U106" i="4"/>
  <c r="U87" i="4"/>
  <c r="U57" i="9"/>
  <c r="U85" i="8"/>
  <c r="U32" i="8"/>
  <c r="U72" i="6"/>
  <c r="U99" i="5"/>
  <c r="U34" i="6"/>
  <c r="U88" i="5"/>
  <c r="U91" i="4"/>
  <c r="U89" i="4"/>
  <c r="T47" i="5"/>
  <c r="U64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34" i="5"/>
  <c r="T69" i="4"/>
  <c r="T67" i="4"/>
  <c r="T104" i="8"/>
  <c r="T90" i="8"/>
  <c r="T56" i="4"/>
  <c r="T48" i="4"/>
  <c r="T6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37" i="10"/>
  <c r="T34" i="10"/>
  <c r="T24" i="10"/>
  <c r="T23" i="10"/>
  <c r="T105" i="9"/>
  <c r="T100" i="9"/>
  <c r="T92" i="9"/>
  <c r="T45" i="10"/>
  <c r="T44" i="10"/>
  <c r="T43" i="10"/>
  <c r="T42" i="10"/>
  <c r="T10" i="10"/>
  <c r="T9" i="10"/>
  <c r="T8" i="10"/>
  <c r="T7" i="10"/>
  <c r="T6" i="10"/>
  <c r="T5" i="10"/>
  <c r="T4" i="10"/>
  <c r="T41" i="10"/>
  <c r="T40" i="10"/>
  <c r="T38" i="10"/>
  <c r="T33" i="10"/>
  <c r="T26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40" i="5"/>
  <c r="T38" i="5"/>
  <c r="T29" i="5"/>
  <c r="T25" i="5"/>
  <c r="T23" i="5"/>
  <c r="T84" i="4"/>
  <c r="T77" i="4"/>
  <c r="T93" i="9"/>
  <c r="T60" i="4"/>
  <c r="T59" i="4"/>
  <c r="T58" i="4"/>
  <c r="T57" i="4"/>
  <c r="T35" i="4"/>
  <c r="T33" i="4"/>
  <c r="T28" i="4"/>
  <c r="T26" i="4"/>
  <c r="T10" i="4"/>
  <c r="T8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46" i="9"/>
  <c r="T45" i="9"/>
  <c r="T44" i="9"/>
  <c r="T43" i="9"/>
  <c r="T42" i="9"/>
  <c r="T41" i="9"/>
  <c r="T40" i="9"/>
  <c r="T39" i="9"/>
  <c r="T38" i="9"/>
  <c r="T37" i="9"/>
  <c r="T36" i="9"/>
  <c r="T35" i="9"/>
  <c r="T34" i="9"/>
  <c r="T33" i="9"/>
  <c r="T32" i="9"/>
  <c r="T31" i="9"/>
  <c r="T30" i="9"/>
  <c r="T29" i="9"/>
  <c r="T28" i="9"/>
  <c r="T27" i="9"/>
  <c r="T26" i="9"/>
  <c r="T25" i="9"/>
  <c r="T24" i="9"/>
  <c r="T23" i="9"/>
  <c r="T84" i="8"/>
  <c r="T81" i="8"/>
  <c r="T31" i="5"/>
  <c r="T27" i="5"/>
  <c r="T7" i="5"/>
  <c r="T81" i="4"/>
  <c r="T80" i="4"/>
  <c r="T79" i="4"/>
  <c r="T66" i="4"/>
  <c r="T63" i="4"/>
  <c r="T62" i="4"/>
  <c r="T55" i="4"/>
  <c r="T54" i="4"/>
  <c r="T46" i="4"/>
  <c r="T45" i="4"/>
  <c r="T100" i="8"/>
  <c r="T65" i="8"/>
  <c r="T64" i="8"/>
  <c r="T63" i="8"/>
  <c r="T62" i="8"/>
  <c r="T61" i="8"/>
  <c r="T60" i="8"/>
  <c r="T59" i="8"/>
  <c r="T106" i="7"/>
  <c r="T105" i="7"/>
  <c r="T104" i="7"/>
  <c r="T98" i="7"/>
  <c r="T97" i="7"/>
  <c r="T105" i="4"/>
  <c r="T100" i="4"/>
  <c r="T99" i="4"/>
  <c r="T97" i="4"/>
  <c r="T88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T106" i="5"/>
  <c r="T105" i="5"/>
  <c r="T104" i="5"/>
  <c r="T103" i="5"/>
  <c r="T102" i="5"/>
  <c r="T100" i="5"/>
  <c r="T101" i="4"/>
  <c r="T94" i="4"/>
  <c r="T93" i="4"/>
  <c r="T92" i="4"/>
  <c r="T31" i="7"/>
  <c r="T30" i="7"/>
  <c r="T29" i="7"/>
  <c r="T28" i="7"/>
  <c r="T27" i="7"/>
  <c r="T45" i="5"/>
  <c r="T44" i="5"/>
  <c r="T88" i="8"/>
  <c r="T31" i="8"/>
  <c r="T30" i="8"/>
  <c r="T29" i="8"/>
  <c r="T28" i="8"/>
  <c r="T26" i="8"/>
  <c r="T25" i="8"/>
  <c r="T24" i="8"/>
  <c r="T23" i="8"/>
  <c r="T69" i="6"/>
  <c r="T61" i="6"/>
  <c r="T54" i="6"/>
  <c r="T51" i="6"/>
  <c r="T47" i="6"/>
  <c r="T38" i="6"/>
  <c r="T35" i="6"/>
  <c r="T87" i="5"/>
  <c r="T70" i="5"/>
  <c r="T66" i="5"/>
  <c r="T55" i="5"/>
  <c r="T52" i="5"/>
  <c r="T4" i="6"/>
  <c r="T43" i="5"/>
  <c r="T31" i="6"/>
  <c r="T30" i="6"/>
  <c r="T28" i="6"/>
  <c r="T27" i="6"/>
  <c r="T23" i="6"/>
  <c r="T9" i="6"/>
  <c r="T8" i="6"/>
  <c r="T3" i="6"/>
  <c r="T94" i="5"/>
  <c r="T26" i="5"/>
  <c r="T24" i="5"/>
  <c r="T86" i="4"/>
  <c r="T85" i="4"/>
  <c r="T83" i="4"/>
  <c r="T82" i="4"/>
  <c r="T76" i="4"/>
  <c r="T29" i="10"/>
  <c r="T47" i="4"/>
  <c r="T44" i="4"/>
  <c r="T43" i="4"/>
  <c r="T39" i="4"/>
  <c r="T32" i="4"/>
  <c r="T25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27" i="8"/>
  <c r="T70" i="6"/>
  <c r="T65" i="6"/>
  <c r="T62" i="6"/>
  <c r="T58" i="6"/>
  <c r="T56" i="6"/>
  <c r="T52" i="6"/>
  <c r="T49" i="6"/>
  <c r="T46" i="6"/>
  <c r="T43" i="6"/>
  <c r="T40" i="6"/>
  <c r="T37" i="6"/>
  <c r="T65" i="5"/>
  <c r="T6" i="6"/>
  <c r="T42" i="5"/>
  <c r="T33" i="6"/>
  <c r="T29" i="6"/>
  <c r="T25" i="6"/>
  <c r="T24" i="6"/>
  <c r="T39" i="5"/>
  <c r="T35" i="5"/>
  <c r="T30" i="5"/>
  <c r="T8" i="5"/>
  <c r="T6" i="5"/>
  <c r="T5" i="5"/>
  <c r="T71" i="4"/>
  <c r="T53" i="4"/>
  <c r="T42" i="4"/>
  <c r="T30" i="4"/>
  <c r="T3" i="4"/>
  <c r="T36" i="10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24" i="7"/>
  <c r="T17" i="7"/>
  <c r="T10" i="7"/>
  <c r="T9" i="7"/>
  <c r="T8" i="7"/>
  <c r="T7" i="7"/>
  <c r="T5" i="7"/>
  <c r="T4" i="7"/>
  <c r="T68" i="6"/>
  <c r="T67" i="6"/>
  <c r="T64" i="6"/>
  <c r="T59" i="6"/>
  <c r="T55" i="6"/>
  <c r="T44" i="6"/>
  <c r="T41" i="6"/>
  <c r="T86" i="5"/>
  <c r="T63" i="5"/>
  <c r="T61" i="5"/>
  <c r="T58" i="5"/>
  <c r="T54" i="5"/>
  <c r="T32" i="6"/>
  <c r="T10" i="6"/>
  <c r="T93" i="5"/>
  <c r="T37" i="5"/>
  <c r="T33" i="5"/>
  <c r="T32" i="5"/>
  <c r="T28" i="5"/>
  <c r="T4" i="5"/>
  <c r="T78" i="4"/>
  <c r="T70" i="4"/>
  <c r="T68" i="4"/>
  <c r="T32" i="10"/>
  <c r="T27" i="10"/>
  <c r="T103" i="9"/>
  <c r="T61" i="4"/>
  <c r="T52" i="4"/>
  <c r="T41" i="4"/>
  <c r="T40" i="4"/>
  <c r="T38" i="4"/>
  <c r="T37" i="4"/>
  <c r="T36" i="4"/>
  <c r="T34" i="4"/>
  <c r="T31" i="4"/>
  <c r="T29" i="4"/>
  <c r="T27" i="4"/>
  <c r="T24" i="4"/>
  <c r="T9" i="4"/>
  <c r="T7" i="4"/>
  <c r="T5" i="4"/>
  <c r="T4" i="4"/>
  <c r="T101" i="9"/>
  <c r="T48" i="7"/>
  <c r="T47" i="7"/>
  <c r="T46" i="7"/>
  <c r="T45" i="7"/>
  <c r="T44" i="7"/>
  <c r="T43" i="7"/>
  <c r="T42" i="7"/>
  <c r="T41" i="7"/>
  <c r="T40" i="7"/>
  <c r="T39" i="7"/>
  <c r="T38" i="7"/>
  <c r="T37" i="7"/>
  <c r="T36" i="7"/>
  <c r="T35" i="7"/>
  <c r="T34" i="7"/>
  <c r="T33" i="7"/>
  <c r="T32" i="7"/>
  <c r="T3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25" i="7"/>
  <c r="T23" i="7"/>
  <c r="T6" i="7"/>
  <c r="T71" i="6"/>
  <c r="T66" i="6"/>
  <c r="T63" i="6"/>
  <c r="T60" i="6"/>
  <c r="T57" i="6"/>
  <c r="T53" i="6"/>
  <c r="T50" i="6"/>
  <c r="T48" i="6"/>
  <c r="T45" i="6"/>
  <c r="T42" i="6"/>
  <c r="T39" i="6"/>
  <c r="T36" i="6"/>
  <c r="T85" i="5"/>
  <c r="T59" i="5"/>
  <c r="T5" i="6"/>
  <c r="T26" i="6"/>
  <c r="T36" i="5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41" i="10"/>
  <c r="U40" i="10"/>
  <c r="U38" i="10"/>
  <c r="U36" i="10"/>
  <c r="U33" i="10"/>
  <c r="U32" i="10"/>
  <c r="U23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84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104" i="7"/>
  <c r="U98" i="7"/>
  <c r="U98" i="4"/>
  <c r="U92" i="4"/>
  <c r="U90" i="4"/>
  <c r="U88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31" i="7"/>
  <c r="U30" i="7"/>
  <c r="U29" i="7"/>
  <c r="U28" i="7"/>
  <c r="U27" i="7"/>
  <c r="U5" i="6"/>
  <c r="D5" i="3"/>
  <c r="U4" i="6"/>
  <c r="U45" i="5"/>
  <c r="U44" i="5"/>
  <c r="U43" i="5"/>
  <c r="U42" i="5"/>
  <c r="U31" i="8"/>
  <c r="U30" i="8"/>
  <c r="U29" i="8"/>
  <c r="U28" i="8"/>
  <c r="U26" i="8"/>
  <c r="U25" i="8"/>
  <c r="U24" i="8"/>
  <c r="U23" i="8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26" i="7"/>
  <c r="U25" i="7"/>
  <c r="U24" i="7"/>
  <c r="U23" i="7"/>
  <c r="U9" i="7"/>
  <c r="W9" i="7" a="1"/>
  <c r="U7" i="7"/>
  <c r="W7" i="7" a="1"/>
  <c r="U5" i="7"/>
  <c r="E5" i="3"/>
  <c r="U71" i="6"/>
  <c r="U69" i="6"/>
  <c r="U67" i="6"/>
  <c r="U66" i="6"/>
  <c r="U64" i="6"/>
  <c r="U61" i="6"/>
  <c r="U60" i="6"/>
  <c r="U59" i="6"/>
  <c r="U57" i="6"/>
  <c r="U55" i="6"/>
  <c r="U51" i="6"/>
  <c r="U50" i="6"/>
  <c r="U45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46" i="7"/>
  <c r="U45" i="7"/>
  <c r="U44" i="7"/>
  <c r="U43" i="7"/>
  <c r="U42" i="7"/>
  <c r="U41" i="7"/>
  <c r="U40" i="7"/>
  <c r="U39" i="7"/>
  <c r="U38" i="7"/>
  <c r="U37" i="7"/>
  <c r="U36" i="7"/>
  <c r="U35" i="7"/>
  <c r="U34" i="7"/>
  <c r="U33" i="7"/>
  <c r="U32" i="7"/>
  <c r="U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10" i="7"/>
  <c r="W10" i="7" a="1"/>
  <c r="U8" i="7"/>
  <c r="W8" i="7" a="1"/>
  <c r="U6" i="7"/>
  <c r="U4" i="7"/>
  <c r="U68" i="6"/>
  <c r="U63" i="6"/>
  <c r="U54" i="6"/>
  <c r="U53" i="6"/>
  <c r="U48" i="6"/>
  <c r="U47" i="6"/>
  <c r="U44" i="6"/>
  <c r="U42" i="6"/>
  <c r="U41" i="6"/>
  <c r="U40" i="6"/>
  <c r="U39" i="6"/>
  <c r="U38" i="6"/>
  <c r="U37" i="6"/>
  <c r="U36" i="6"/>
  <c r="U35" i="6"/>
  <c r="U87" i="5"/>
  <c r="U86" i="5"/>
  <c r="U85" i="5"/>
  <c r="U70" i="5"/>
  <c r="U66" i="5"/>
  <c r="U64" i="5"/>
  <c r="U58" i="5"/>
  <c r="U54" i="5"/>
  <c r="U53" i="5"/>
  <c r="U52" i="5"/>
  <c r="U50" i="5"/>
  <c r="U6" i="6"/>
  <c r="U33" i="6"/>
  <c r="U32" i="6"/>
  <c r="U31" i="6"/>
  <c r="U30" i="6"/>
  <c r="U29" i="6"/>
  <c r="U28" i="6"/>
  <c r="U27" i="6"/>
  <c r="U26" i="6"/>
  <c r="U25" i="6"/>
  <c r="U24" i="6"/>
  <c r="U23" i="6"/>
  <c r="U10" i="6"/>
  <c r="W10" i="6" a="1"/>
  <c r="U9" i="6"/>
  <c r="W9" i="6" a="1"/>
  <c r="U8" i="6"/>
  <c r="W8" i="6" a="1"/>
  <c r="U3" i="6"/>
  <c r="U93" i="5"/>
  <c r="U90" i="5"/>
  <c r="U40" i="5"/>
  <c r="U39" i="5"/>
  <c r="U38" i="5"/>
  <c r="U37" i="5"/>
  <c r="U36" i="5"/>
  <c r="U35" i="5"/>
  <c r="U34" i="5"/>
  <c r="U33" i="5"/>
  <c r="U32" i="5"/>
  <c r="U31" i="5"/>
  <c r="U30" i="5"/>
  <c r="U29" i="5"/>
  <c r="U28" i="5"/>
  <c r="U27" i="5"/>
  <c r="U26" i="5"/>
  <c r="U25" i="5"/>
  <c r="U24" i="5"/>
  <c r="U23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29" i="10"/>
  <c r="U27" i="10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45" i="4"/>
  <c r="U44" i="4"/>
  <c r="U41" i="4"/>
  <c r="U40" i="4"/>
  <c r="U38" i="4"/>
  <c r="U37" i="4"/>
  <c r="U36" i="4"/>
  <c r="U35" i="4"/>
  <c r="U34" i="4"/>
  <c r="U33" i="4"/>
  <c r="U31" i="4"/>
  <c r="U30" i="4"/>
  <c r="U29" i="4"/>
  <c r="U28" i="4"/>
  <c r="U27" i="4"/>
  <c r="U26" i="4"/>
  <c r="U24" i="4"/>
  <c r="U3" i="4"/>
  <c r="U10" i="4"/>
  <c r="W10" i="4" a="1"/>
  <c r="U9" i="4"/>
  <c r="W9" i="4" a="1"/>
  <c r="U8" i="4"/>
  <c r="W8" i="4" a="1"/>
  <c r="U7" i="4"/>
  <c r="W7" i="4" a="1"/>
  <c r="U6" i="4"/>
  <c r="U5" i="4"/>
  <c r="B5" i="3"/>
  <c r="U4" i="4"/>
  <c r="U37" i="10"/>
  <c r="U24" i="10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B6" i="3"/>
  <c r="B7" i="3"/>
  <c r="B8" i="3"/>
  <c r="B9" i="3"/>
  <c r="B10" i="3"/>
  <c r="F6" i="3"/>
  <c r="F7" i="3"/>
  <c r="F8" i="3"/>
  <c r="F9" i="3"/>
  <c r="F10" i="3"/>
  <c r="E6" i="3"/>
  <c r="E7" i="3"/>
  <c r="E8" i="3"/>
  <c r="E9" i="3"/>
  <c r="E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7"/>
  <c r="U22" i="7"/>
  <c r="U17" i="7"/>
  <c r="T16" i="7"/>
  <c r="U16" i="7"/>
  <c r="T22" i="6"/>
  <c r="T17" i="6"/>
  <c r="U17" i="6"/>
  <c r="T16" i="6"/>
  <c r="T22" i="5"/>
  <c r="U22" i="5"/>
  <c r="T17" i="5"/>
  <c r="T16" i="5"/>
  <c r="T22" i="4"/>
  <c r="T17" i="4"/>
  <c r="T16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S20" i="7"/>
  <c r="R20" i="7"/>
  <c r="Q20" i="7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7"/>
  <c r="R18" i="7"/>
  <c r="Q18" i="7"/>
  <c r="S18" i="6"/>
  <c r="R18" i="6"/>
  <c r="Q18" i="6"/>
  <c r="S18" i="5"/>
  <c r="R18" i="5"/>
  <c r="Q18" i="5"/>
  <c r="S18" i="4"/>
  <c r="R18" i="4"/>
  <c r="Q18" i="4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T13" i="4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S21" i="7"/>
  <c r="Q21" i="7"/>
  <c r="R21" i="7"/>
  <c r="R21" i="4"/>
  <c r="Q21" i="4"/>
  <c r="S21" i="4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W22" i="7" a="1"/>
  <c r="M22" i="3"/>
  <c r="T20" i="7"/>
  <c r="W17" i="7" a="1"/>
  <c r="M17" i="3"/>
  <c r="W16" i="7" a="1"/>
  <c r="M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J22" i="3"/>
  <c r="U17" i="4"/>
  <c r="U16" i="4"/>
  <c r="T20" i="8"/>
  <c r="Q20" i="6"/>
  <c r="R20" i="6"/>
  <c r="S20" i="6"/>
  <c r="Q20" i="5"/>
  <c r="R20" i="5"/>
  <c r="S20" i="5"/>
  <c r="Q20" i="4"/>
  <c r="R20" i="4"/>
  <c r="S20" i="4"/>
  <c r="Q19" i="9"/>
  <c r="R19" i="9"/>
  <c r="S19" i="9"/>
  <c r="S19" i="7"/>
  <c r="Q19" i="7"/>
  <c r="R19" i="7"/>
  <c r="Q19" i="5"/>
  <c r="R19" i="5"/>
  <c r="S19" i="5"/>
  <c r="Q19" i="4"/>
  <c r="R19" i="4"/>
  <c r="S19" i="4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7"/>
  <c r="T18" i="6"/>
  <c r="T18" i="5"/>
  <c r="T18" i="4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7"/>
  <c r="R15" i="7"/>
  <c r="S15" i="7"/>
  <c r="Q15" i="6"/>
  <c r="R15" i="6"/>
  <c r="S15" i="6"/>
  <c r="Q15" i="5"/>
  <c r="R15" i="5"/>
  <c r="S15" i="5"/>
  <c r="Q15" i="4"/>
  <c r="R15" i="4"/>
  <c r="S15" i="4"/>
  <c r="Q14" i="9"/>
  <c r="R14" i="9"/>
  <c r="S14" i="9"/>
  <c r="R14" i="8"/>
  <c r="Q14" i="8"/>
  <c r="S14" i="8"/>
  <c r="Q14" i="7"/>
  <c r="R14" i="7"/>
  <c r="S14" i="7"/>
  <c r="Q14" i="6"/>
  <c r="R14" i="6"/>
  <c r="S14" i="6"/>
  <c r="Q14" i="5"/>
  <c r="R14" i="5"/>
  <c r="S14" i="5"/>
  <c r="Q14" i="4"/>
  <c r="R14" i="4"/>
  <c r="S14" i="4"/>
  <c r="S14" i="10"/>
  <c r="R14" i="10"/>
  <c r="Q14" i="10"/>
  <c r="T13" i="5"/>
  <c r="Q13" i="8"/>
  <c r="R13" i="8"/>
  <c r="S13" i="8"/>
  <c r="R13" i="7"/>
  <c r="Q13" i="7"/>
  <c r="S13" i="7"/>
  <c r="R13" i="6"/>
  <c r="Q13" i="6"/>
  <c r="S13" i="6"/>
  <c r="S13" i="9"/>
  <c r="Q13" i="9"/>
  <c r="R13" i="9"/>
  <c r="U13" i="4"/>
  <c r="W13" i="4" a="1"/>
  <c r="J13" i="3"/>
  <c r="R13" i="10"/>
  <c r="S13" i="10"/>
  <c r="Q13" i="10"/>
  <c r="S12" i="10"/>
  <c r="Q12" i="10"/>
  <c r="R12" i="10"/>
  <c r="S12" i="9"/>
  <c r="Q12" i="9"/>
  <c r="R12" i="9"/>
  <c r="Q12" i="7"/>
  <c r="R12" i="7"/>
  <c r="S12" i="7"/>
  <c r="R12" i="8"/>
  <c r="S12" i="8"/>
  <c r="Q12" i="8"/>
  <c r="Q12" i="6"/>
  <c r="R12" i="6"/>
  <c r="S12" i="6"/>
  <c r="Q12" i="5"/>
  <c r="R12" i="5"/>
  <c r="S12" i="5"/>
  <c r="Q12" i="4"/>
  <c r="R12" i="4"/>
  <c r="S12" i="4"/>
  <c r="S11" i="10"/>
  <c r="R11" i="10"/>
  <c r="Q11" i="10"/>
  <c r="Q11" i="9"/>
  <c r="R11" i="9"/>
  <c r="S11" i="9"/>
  <c r="Q11" i="8"/>
  <c r="R11" i="8"/>
  <c r="S11" i="8"/>
  <c r="Q11" i="7"/>
  <c r="R11" i="7"/>
  <c r="S11" i="7"/>
  <c r="Q11" i="6"/>
  <c r="R11" i="6"/>
  <c r="S11" i="6"/>
  <c r="Q11" i="5"/>
  <c r="R11" i="5"/>
  <c r="S11" i="5"/>
  <c r="Q11" i="4"/>
  <c r="R11" i="4"/>
  <c r="S11" i="4"/>
  <c r="T21" i="4"/>
  <c r="T21" i="6"/>
  <c r="T21" i="8"/>
  <c r="T21" i="9"/>
  <c r="U21" i="9"/>
  <c r="W21" i="9" a="1"/>
  <c r="O21" i="3"/>
  <c r="T21" i="5"/>
  <c r="T21" i="10"/>
  <c r="T21" i="7"/>
  <c r="U21" i="7"/>
  <c r="U20" i="10"/>
  <c r="U20" i="9"/>
  <c r="W16" i="9" a="1"/>
  <c r="O16" i="3"/>
  <c r="U20" i="8"/>
  <c r="W18" i="8" a="1"/>
  <c r="N18" i="3"/>
  <c r="U18" i="8"/>
  <c r="T17" i="8"/>
  <c r="U20" i="7"/>
  <c r="W22" i="6" a="1"/>
  <c r="L22" i="3"/>
  <c r="W17" i="5" a="1"/>
  <c r="K17" i="3"/>
  <c r="W17" i="4" a="1"/>
  <c r="J17" i="3"/>
  <c r="W16" i="4" a="1"/>
  <c r="J16" i="3"/>
  <c r="T20" i="6"/>
  <c r="T20" i="5"/>
  <c r="T20" i="4"/>
  <c r="W20" i="10" a="1"/>
  <c r="P20" i="3"/>
  <c r="W20" i="9" a="1"/>
  <c r="O20" i="3"/>
  <c r="W20" i="8" a="1"/>
  <c r="N20" i="3"/>
  <c r="W20" i="7" a="1"/>
  <c r="M20" i="3"/>
  <c r="T19" i="4"/>
  <c r="T19" i="8"/>
  <c r="T19" i="9"/>
  <c r="T19" i="5"/>
  <c r="T19" i="7"/>
  <c r="T19" i="10"/>
  <c r="T19" i="6"/>
  <c r="U18" i="9"/>
  <c r="W18" i="9" a="1"/>
  <c r="O18" i="3"/>
  <c r="T18" i="10"/>
  <c r="U18" i="5"/>
  <c r="W18" i="5" a="1"/>
  <c r="K18" i="3"/>
  <c r="U18" i="4"/>
  <c r="W18" i="4" a="1"/>
  <c r="J18" i="3"/>
  <c r="U18" i="7"/>
  <c r="W18" i="7" a="1"/>
  <c r="M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7"/>
  <c r="T15" i="6"/>
  <c r="T15" i="4"/>
  <c r="T14" i="5"/>
  <c r="T14" i="10"/>
  <c r="T14" i="7"/>
  <c r="T14" i="6"/>
  <c r="T14" i="9"/>
  <c r="T14" i="8"/>
  <c r="T14" i="4"/>
  <c r="U13" i="5"/>
  <c r="W13" i="5" a="1"/>
  <c r="K13" i="3"/>
  <c r="T13" i="6"/>
  <c r="T13" i="9"/>
  <c r="T13" i="10"/>
  <c r="T13" i="8"/>
  <c r="T13" i="7"/>
  <c r="T12" i="9"/>
  <c r="T12" i="7"/>
  <c r="U12" i="7"/>
  <c r="T12" i="5"/>
  <c r="T12" i="10"/>
  <c r="T12" i="8"/>
  <c r="T12" i="6"/>
  <c r="T12" i="4"/>
  <c r="T11" i="10"/>
  <c r="T11" i="4"/>
  <c r="T11" i="9"/>
  <c r="T11" i="8"/>
  <c r="T11" i="7"/>
  <c r="T11" i="6"/>
  <c r="T11" i="5"/>
  <c r="U21" i="10"/>
  <c r="U21" i="8"/>
  <c r="W21" i="7" a="1"/>
  <c r="M21" i="3"/>
  <c r="U21" i="6"/>
  <c r="W21" i="6" a="1"/>
  <c r="L21" i="3"/>
  <c r="U21" i="5"/>
  <c r="W21" i="5" a="1"/>
  <c r="K21" i="3"/>
  <c r="U21" i="4"/>
  <c r="W21" i="4" a="1"/>
  <c r="J21" i="3"/>
  <c r="W21" i="8" a="1"/>
  <c r="N21" i="3"/>
  <c r="U17" i="8"/>
  <c r="U20" i="6"/>
  <c r="U20" i="5"/>
  <c r="U20" i="4"/>
  <c r="U19" i="4"/>
  <c r="U19" i="9"/>
  <c r="U19" i="7"/>
  <c r="U19" i="5"/>
  <c r="W19" i="4" a="1"/>
  <c r="J19" i="3"/>
  <c r="U19" i="10"/>
  <c r="U19" i="8"/>
  <c r="U19" i="6"/>
  <c r="U18" i="10"/>
  <c r="W17" i="8" a="1"/>
  <c r="N17" i="3"/>
  <c r="U17" i="10"/>
  <c r="U16" i="10"/>
  <c r="U15" i="8"/>
  <c r="U15" i="6"/>
  <c r="U15" i="7"/>
  <c r="U15" i="5"/>
  <c r="U15" i="4"/>
  <c r="W15" i="4" a="1"/>
  <c r="J15" i="3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U14" i="7"/>
  <c r="W14" i="7" a="1"/>
  <c r="M14" i="3"/>
  <c r="W14" i="9" a="1"/>
  <c r="O14" i="3"/>
  <c r="U14" i="8"/>
  <c r="U14" i="4"/>
  <c r="U13" i="10"/>
  <c r="W13" i="10" a="1"/>
  <c r="P13" i="3"/>
  <c r="U13" i="8"/>
  <c r="W13" i="8" a="1"/>
  <c r="N13" i="3"/>
  <c r="U13" i="6"/>
  <c r="U13" i="9"/>
  <c r="U13" i="7"/>
  <c r="W13" i="7" a="1"/>
  <c r="M13" i="3"/>
  <c r="U12" i="9"/>
  <c r="W12" i="7" a="1"/>
  <c r="M12" i="3"/>
  <c r="W12" i="9" a="1"/>
  <c r="O12" i="3"/>
  <c r="U12" i="10"/>
  <c r="U12" i="8"/>
  <c r="U12" i="6"/>
  <c r="U12" i="5"/>
  <c r="U12" i="4"/>
  <c r="W12" i="5" a="1"/>
  <c r="K12" i="3"/>
  <c r="W12" i="4" a="1"/>
  <c r="J12" i="3"/>
  <c r="U11" i="9"/>
  <c r="U11" i="8"/>
  <c r="U11" i="7"/>
  <c r="U11" i="10"/>
  <c r="U11" i="6"/>
  <c r="U11" i="5"/>
  <c r="W11" i="5" a="1"/>
  <c r="W11" i="7" a="1"/>
  <c r="W11" i="6" a="1"/>
  <c r="U11" i="4"/>
  <c r="W21" i="10" a="1"/>
  <c r="P21" i="3"/>
  <c r="W18" i="10" a="1"/>
  <c r="P18" i="3"/>
  <c r="W15" i="5" a="1"/>
  <c r="K15" i="3"/>
  <c r="W20" i="6" a="1"/>
  <c r="L20" i="3"/>
  <c r="W20" i="5" a="1"/>
  <c r="K20" i="3"/>
  <c r="W20" i="4" a="1"/>
  <c r="J20" i="3"/>
  <c r="W19" i="8" a="1"/>
  <c r="N19" i="3"/>
  <c r="W19" i="9" a="1"/>
  <c r="O19" i="3"/>
  <c r="W19" i="7" a="1"/>
  <c r="M19" i="3"/>
  <c r="W19" i="10" a="1"/>
  <c r="P19" i="3"/>
  <c r="W19" i="6" a="1"/>
  <c r="L19" i="3"/>
  <c r="W19" i="5" a="1"/>
  <c r="K19" i="3"/>
  <c r="W17" i="10" a="1"/>
  <c r="P17" i="3"/>
  <c r="W16" i="10" a="1"/>
  <c r="P16" i="3"/>
  <c r="W15" i="7" a="1"/>
  <c r="M15" i="3"/>
  <c r="W15" i="9" a="1"/>
  <c r="O15" i="3"/>
  <c r="W15" i="6" a="1"/>
  <c r="L15" i="3"/>
  <c r="W15" i="10" a="1"/>
  <c r="P15" i="3"/>
  <c r="W14" i="6" a="1"/>
  <c r="L14" i="3"/>
  <c r="W14" i="8" a="1"/>
  <c r="N14" i="3"/>
  <c r="W14" i="4" a="1"/>
  <c r="J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E11" i="3"/>
  <c r="E12" i="3"/>
  <c r="E13" i="3"/>
  <c r="E14" i="3"/>
  <c r="D11" i="3"/>
  <c r="D12" i="3"/>
  <c r="D13" i="3"/>
  <c r="W11" i="4" a="1"/>
  <c r="Y3" i="10"/>
  <c r="C9" i="2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X3" i="7"/>
  <c r="B6" i="2"/>
  <c r="E15" i="3"/>
  <c r="E16" i="3"/>
  <c r="E17" i="3"/>
  <c r="E18" i="3"/>
  <c r="Y3" i="7"/>
  <c r="C6" i="2"/>
  <c r="C15" i="3"/>
  <c r="C16" i="3"/>
  <c r="C17" i="3"/>
  <c r="C18" i="3"/>
  <c r="X3" i="6"/>
  <c r="B5" i="2"/>
  <c r="X3" i="5"/>
  <c r="B4" i="2"/>
  <c r="Y3" i="5"/>
  <c r="C4" i="2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Y3" i="6"/>
  <c r="C5" i="2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X3" i="10"/>
  <c r="B9" i="2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Y3" i="9"/>
  <c r="C8" i="2"/>
  <c r="X3" i="9"/>
  <c r="B8" i="2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B24" i="3" l="1"/>
  <c r="B25" i="3" s="1"/>
  <c r="B26" i="3" s="1"/>
  <c r="Q23" i="4"/>
  <c r="R23" i="4"/>
  <c r="B27" i="3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S23" i="4"/>
  <c r="W26" i="8" a="1"/>
  <c r="N26" i="3" s="1"/>
  <c r="W25" i="8" a="1"/>
  <c r="N25" i="3" s="1"/>
  <c r="W24" i="8" a="1"/>
  <c r="N24" i="3" s="1"/>
  <c r="W23" i="8" a="1"/>
  <c r="T23" i="4" l="1"/>
  <c r="N23" i="3"/>
  <c r="Y3" i="8"/>
  <c r="C7" i="2" s="1"/>
  <c r="X3" i="8"/>
  <c r="B7" i="2" s="1"/>
  <c r="U23" i="4" l="1"/>
  <c r="W23" i="4" l="1" a="1"/>
  <c r="J23" i="3" l="1"/>
  <c r="Y3" i="4"/>
  <c r="C3" i="2" s="1"/>
  <c r="X3" i="4"/>
  <c r="B3" i="2" s="1"/>
  <c r="F3" i="2" l="1" a="1"/>
  <c r="E4" i="2" l="1"/>
  <c r="E8" i="2"/>
  <c r="E5" i="2"/>
  <c r="E9" i="2"/>
  <c r="E7" i="2"/>
  <c r="E6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<sst xmlns="http://schemas.openxmlformats.org/spreadsheetml/2006/main" count="355" uniqueCount="77">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</sst>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  <c:pt idx="82">
                  <c:v>33</c:v>
                </c:pt>
                <c:pt idx="83">
                  <c:v>33</c:v>
                </c:pt>
                <c:pt idx="84">
                  <c:v>33</c:v>
                </c:pt>
                <c:pt idx="85">
                  <c:v>33</c:v>
                </c:pt>
                <c:pt idx="86">
                  <c:v>33</c:v>
                </c:pt>
                <c:pt idx="87">
                  <c:v>33</c:v>
                </c:pt>
                <c:pt idx="88">
                  <c:v>33</c:v>
                </c:pt>
                <c:pt idx="89">
                  <c:v>33</c:v>
                </c:pt>
                <c:pt idx="90">
                  <c:v>33</c:v>
                </c:pt>
                <c:pt idx="91">
                  <c:v>33</c:v>
                </c:pt>
                <c:pt idx="92">
                  <c:v>33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11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11</c:v>
                </c:pt>
                <c:pt idx="52">
                  <c:v>11</c:v>
                </c:pt>
                <c:pt idx="53">
                  <c:v>11</c:v>
                </c:pt>
                <c:pt idx="54">
                  <c:v>11</c:v>
                </c:pt>
                <c:pt idx="55">
                  <c:v>11</c:v>
                </c:pt>
                <c:pt idx="56">
                  <c:v>11</c:v>
                </c:pt>
                <c:pt idx="57">
                  <c:v>11</c:v>
                </c:pt>
                <c:pt idx="58">
                  <c:v>11</c:v>
                </c:pt>
                <c:pt idx="59">
                  <c:v>11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11</c:v>
                </c:pt>
                <c:pt idx="73">
                  <c:v>11</c:v>
                </c:pt>
                <c:pt idx="74">
                  <c:v>11</c:v>
                </c:pt>
                <c:pt idx="75">
                  <c:v>11</c:v>
                </c:pt>
                <c:pt idx="76">
                  <c:v>11</c:v>
                </c:pt>
                <c:pt idx="77">
                  <c:v>11</c:v>
                </c:pt>
                <c:pt idx="78">
                  <c:v>11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11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11</c:v>
                </c:pt>
                <c:pt idx="92">
                  <c:v>11</c:v>
                </c:pt>
                <c:pt idx="93">
                  <c:v>11</c:v>
                </c:pt>
                <c:pt idx="94">
                  <c:v>11</c:v>
                </c:pt>
                <c:pt idx="95">
                  <c:v>11</c:v>
                </c:pt>
                <c:pt idx="96">
                  <c:v>11</c:v>
                </c:pt>
                <c:pt idx="97">
                  <c:v>11</c:v>
                </c:pt>
                <c:pt idx="98">
                  <c:v>11</c:v>
                </c:pt>
                <c:pt idx="99">
                  <c:v>11</c:v>
                </c:pt>
                <c:pt idx="100">
                  <c:v>11</c:v>
                </c:pt>
                <c:pt idx="101">
                  <c:v>11</c:v>
                </c:pt>
                <c:pt idx="102">
                  <c:v>11</c:v>
                </c:pt>
                <c:pt idx="103">
                  <c:v>11</c:v>
                </c:pt>
                <c:pt idx="104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22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22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22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22</c:v>
                </c:pt>
                <c:pt idx="84">
                  <c:v>22</c:v>
                </c:pt>
                <c:pt idx="85">
                  <c:v>22</c:v>
                </c:pt>
                <c:pt idx="86">
                  <c:v>22</c:v>
                </c:pt>
                <c:pt idx="87">
                  <c:v>22</c:v>
                </c:pt>
                <c:pt idx="88">
                  <c:v>22</c:v>
                </c:pt>
                <c:pt idx="89">
                  <c:v>22</c:v>
                </c:pt>
                <c:pt idx="90">
                  <c:v>22</c:v>
                </c:pt>
                <c:pt idx="91">
                  <c:v>22</c:v>
                </c:pt>
                <c:pt idx="92">
                  <c:v>22</c:v>
                </c:pt>
                <c:pt idx="93">
                  <c:v>22</c:v>
                </c:pt>
                <c:pt idx="94">
                  <c:v>22</c:v>
                </c:pt>
                <c:pt idx="95">
                  <c:v>22</c:v>
                </c:pt>
                <c:pt idx="96">
                  <c:v>22</c:v>
                </c:pt>
                <c:pt idx="97">
                  <c:v>22</c:v>
                </c:pt>
                <c:pt idx="98">
                  <c:v>22</c:v>
                </c:pt>
                <c:pt idx="99">
                  <c:v>22</c:v>
                </c:pt>
                <c:pt idx="100">
                  <c:v>22</c:v>
                </c:pt>
                <c:pt idx="101">
                  <c:v>22</c:v>
                </c:pt>
                <c:pt idx="102">
                  <c:v>22</c:v>
                </c:pt>
                <c:pt idx="103">
                  <c:v>22</c:v>
                </c:pt>
                <c:pt idx="10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</c:v>
                </c:pt>
                <c:pt idx="83">
                  <c:v>30</c:v>
                </c:pt>
                <c:pt idx="84">
                  <c:v>30</c:v>
                </c:pt>
                <c:pt idx="85">
                  <c:v>30</c:v>
                </c:pt>
                <c:pt idx="86">
                  <c:v>30</c:v>
                </c:pt>
                <c:pt idx="87">
                  <c:v>30</c:v>
                </c:pt>
                <c:pt idx="88">
                  <c:v>30</c:v>
                </c:pt>
                <c:pt idx="89">
                  <c:v>30</c:v>
                </c:pt>
                <c:pt idx="90">
                  <c:v>30</c:v>
                </c:pt>
                <c:pt idx="91">
                  <c:v>30</c:v>
                </c:pt>
                <c:pt idx="92">
                  <c:v>30</c:v>
                </c:pt>
                <c:pt idx="93">
                  <c:v>30</c:v>
                </c:pt>
                <c:pt idx="94">
                  <c:v>30</c:v>
                </c:pt>
                <c:pt idx="95">
                  <c:v>30</c:v>
                </c:pt>
                <c:pt idx="96">
                  <c:v>30</c:v>
                </c:pt>
                <c:pt idx="97">
                  <c:v>30</c:v>
                </c:pt>
                <c:pt idx="98">
                  <c:v>30</c:v>
                </c:pt>
                <c:pt idx="99">
                  <c:v>30</c:v>
                </c:pt>
                <c:pt idx="100">
                  <c:v>30</c:v>
                </c:pt>
                <c:pt idx="101">
                  <c:v>30</c:v>
                </c:pt>
                <c:pt idx="102">
                  <c:v>30</c:v>
                </c:pt>
                <c:pt idx="103">
                  <c:v>30</c:v>
                </c:pt>
                <c:pt idx="10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19</c:v>
                </c:pt>
                <c:pt idx="24">
                  <c:v>19</c:v>
                </c:pt>
                <c:pt idx="25">
                  <c:v>19</c:v>
                </c:pt>
                <c:pt idx="26">
                  <c:v>19</c:v>
                </c:pt>
                <c:pt idx="27">
                  <c:v>19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19</c:v>
                </c:pt>
                <c:pt idx="32">
                  <c:v>19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19</c:v>
                </c:pt>
                <c:pt idx="56">
                  <c:v>19</c:v>
                </c:pt>
                <c:pt idx="57">
                  <c:v>19</c:v>
                </c:pt>
                <c:pt idx="58">
                  <c:v>19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19</c:v>
                </c:pt>
                <c:pt idx="82">
                  <c:v>19</c:v>
                </c:pt>
                <c:pt idx="83">
                  <c:v>19</c:v>
                </c:pt>
                <c:pt idx="84">
                  <c:v>19</c:v>
                </c:pt>
                <c:pt idx="85">
                  <c:v>19</c:v>
                </c:pt>
                <c:pt idx="86">
                  <c:v>19</c:v>
                </c:pt>
                <c:pt idx="87">
                  <c:v>19</c:v>
                </c:pt>
                <c:pt idx="88">
                  <c:v>19</c:v>
                </c:pt>
                <c:pt idx="89">
                  <c:v>19</c:v>
                </c:pt>
                <c:pt idx="90">
                  <c:v>19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19</c:v>
                </c:pt>
                <c:pt idx="96">
                  <c:v>19</c:v>
                </c:pt>
                <c:pt idx="97">
                  <c:v>19</c:v>
                </c:pt>
                <c:pt idx="98">
                  <c:v>19</c:v>
                </c:pt>
                <c:pt idx="99">
                  <c:v>19</c:v>
                </c:pt>
                <c:pt idx="100">
                  <c:v>19</c:v>
                </c:pt>
                <c:pt idx="101">
                  <c:v>19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16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16</c:v>
                </c:pt>
                <c:pt idx="70">
                  <c:v>16</c:v>
                </c:pt>
                <c:pt idx="71">
                  <c:v>16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1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" workbookViewId="0">
      <selection activeCell="E22" sqref="E2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/>
      <c r="D23" s="3" t="s">
        <v>4</v>
      </c>
      <c r="E23" s="3"/>
      <c r="F23" s="3" t="s">
        <v>49</v>
      </c>
      <c r="G23" s="3" t="str">
        <f t="shared" si="0"/>
        <v>-</v>
      </c>
    </row>
    <row r="24" spans="1:7" ht="14.25" customHeight="1" x14ac:dyDescent="0.3">
      <c r="A24" s="3">
        <v>22</v>
      </c>
      <c r="B24" s="3" t="s">
        <v>50</v>
      </c>
      <c r="C24" s="3"/>
      <c r="D24" s="3" t="s">
        <v>4</v>
      </c>
      <c r="E24" s="3"/>
      <c r="F24" s="3" t="s">
        <v>51</v>
      </c>
      <c r="G24" s="3" t="str">
        <f t="shared" si="0"/>
        <v>-</v>
      </c>
    </row>
    <row r="25" spans="1:7" ht="14.25" customHeight="1" x14ac:dyDescent="0.3">
      <c r="A25" s="3">
        <v>23</v>
      </c>
      <c r="B25" s="3" t="s">
        <v>52</v>
      </c>
      <c r="C25" s="3"/>
      <c r="D25" s="3" t="s">
        <v>4</v>
      </c>
      <c r="E25" s="3"/>
      <c r="F25" s="3" t="s">
        <v>53</v>
      </c>
      <c r="G25" s="3" t="str">
        <f t="shared" si="0"/>
        <v>-</v>
      </c>
    </row>
    <row r="26" spans="1:7" ht="14.25" customHeight="1" x14ac:dyDescent="0.3">
      <c r="A26" s="3">
        <v>24</v>
      </c>
      <c r="B26" s="3" t="s">
        <v>54</v>
      </c>
      <c r="C26" s="3"/>
      <c r="D26" s="3" t="s">
        <v>4</v>
      </c>
      <c r="E26" s="3"/>
      <c r="F26" s="3" t="s">
        <v>55</v>
      </c>
      <c r="G26" s="3" t="str">
        <f t="shared" si="0"/>
        <v>-</v>
      </c>
    </row>
    <row r="27" spans="1:7" ht="14.25" customHeight="1" x14ac:dyDescent="0.3">
      <c r="A27" s="3">
        <v>25</v>
      </c>
      <c r="B27" s="3" t="s">
        <v>11</v>
      </c>
      <c r="C27" s="3"/>
      <c r="D27" s="3" t="s">
        <v>4</v>
      </c>
      <c r="E27" s="3"/>
      <c r="F27" s="3" t="s">
        <v>9</v>
      </c>
      <c r="G27" s="3" t="str">
        <f t="shared" si="0"/>
        <v>-</v>
      </c>
    </row>
    <row r="28" spans="1:7" ht="14.25" customHeight="1" x14ac:dyDescent="0.3">
      <c r="A28" s="3">
        <v>26</v>
      </c>
      <c r="B28" s="3" t="s">
        <v>17</v>
      </c>
      <c r="C28" s="3"/>
      <c r="D28" s="3" t="s">
        <v>4</v>
      </c>
      <c r="E28" s="3"/>
      <c r="F28" s="3" t="s">
        <v>13</v>
      </c>
      <c r="G28" s="3" t="str">
        <f t="shared" si="0"/>
        <v>-</v>
      </c>
    </row>
    <row r="29" spans="1:7" ht="14.25" customHeight="1" x14ac:dyDescent="0.3">
      <c r="A29" s="3">
        <v>27</v>
      </c>
      <c r="B29" s="3" t="s">
        <v>12</v>
      </c>
      <c r="C29" s="3"/>
      <c r="D29" s="3" t="s">
        <v>4</v>
      </c>
      <c r="E29" s="3"/>
      <c r="F29" s="3" t="s">
        <v>16</v>
      </c>
      <c r="G29" s="3" t="str">
        <f t="shared" si="0"/>
        <v>-</v>
      </c>
    </row>
    <row r="30" spans="1:7" ht="14.25" customHeight="1" x14ac:dyDescent="0.3">
      <c r="A30" s="3">
        <v>28</v>
      </c>
      <c r="B30" s="3" t="s">
        <v>8</v>
      </c>
      <c r="C30" s="3"/>
      <c r="D30" s="3" t="s">
        <v>4</v>
      </c>
      <c r="E30" s="3"/>
      <c r="F30" s="3" t="s">
        <v>10</v>
      </c>
      <c r="G30" s="3" t="str">
        <f t="shared" si="0"/>
        <v>-</v>
      </c>
    </row>
    <row r="31" spans="1:7" ht="14.25" customHeight="1" x14ac:dyDescent="0.3">
      <c r="A31" s="3">
        <v>29</v>
      </c>
      <c r="B31" s="3" t="s">
        <v>14</v>
      </c>
      <c r="C31" s="3"/>
      <c r="D31" s="3" t="s">
        <v>4</v>
      </c>
      <c r="E31" s="3"/>
      <c r="F31" s="3" t="s">
        <v>22</v>
      </c>
      <c r="G31" s="3" t="str">
        <f t="shared" si="0"/>
        <v>-</v>
      </c>
    </row>
    <row r="32" spans="1:7" ht="14.25" customHeight="1" x14ac:dyDescent="0.3">
      <c r="A32" s="3">
        <v>30</v>
      </c>
      <c r="B32" s="3" t="s">
        <v>21</v>
      </c>
      <c r="C32" s="3"/>
      <c r="D32" s="3" t="s">
        <v>4</v>
      </c>
      <c r="E32" s="3"/>
      <c r="F32" s="3" t="s">
        <v>19</v>
      </c>
      <c r="G32" s="3" t="str">
        <f t="shared" si="0"/>
        <v>-</v>
      </c>
    </row>
    <row r="33" spans="1:7" ht="14.25" customHeight="1" x14ac:dyDescent="0.3">
      <c r="A33" s="3">
        <v>31</v>
      </c>
      <c r="B33" s="3" t="s">
        <v>18</v>
      </c>
      <c r="C33" s="3"/>
      <c r="D33" s="3" t="s">
        <v>4</v>
      </c>
      <c r="E33" s="3"/>
      <c r="F33" s="3" t="s">
        <v>20</v>
      </c>
      <c r="G33" s="3" t="str">
        <f t="shared" si="0"/>
        <v>-</v>
      </c>
    </row>
    <row r="34" spans="1:7" ht="14.25" customHeight="1" x14ac:dyDescent="0.3">
      <c r="A34" s="3">
        <v>32</v>
      </c>
      <c r="B34" s="3" t="s">
        <v>23</v>
      </c>
      <c r="C34" s="3"/>
      <c r="D34" s="3" t="s">
        <v>4</v>
      </c>
      <c r="E34" s="3"/>
      <c r="F34" s="3" t="s">
        <v>15</v>
      </c>
      <c r="G34" s="3" t="str">
        <f t="shared" si="0"/>
        <v>-</v>
      </c>
    </row>
    <row r="35" spans="1:7" ht="14.25" customHeight="1" x14ac:dyDescent="0.3">
      <c r="A35" s="3">
        <v>33</v>
      </c>
      <c r="B35" s="3" t="s">
        <v>26</v>
      </c>
      <c r="C35" s="3"/>
      <c r="D35" s="3" t="s">
        <v>4</v>
      </c>
      <c r="E35" s="3"/>
      <c r="F35" s="3" t="s">
        <v>30</v>
      </c>
      <c r="G35" s="3" t="str">
        <f t="shared" si="0"/>
        <v>-</v>
      </c>
    </row>
    <row r="36" spans="1:7" ht="14.25" customHeight="1" x14ac:dyDescent="0.3">
      <c r="A36" s="3">
        <v>34</v>
      </c>
      <c r="B36" s="3" t="s">
        <v>24</v>
      </c>
      <c r="C36" s="3"/>
      <c r="D36" s="3" t="s">
        <v>4</v>
      </c>
      <c r="E36" s="3"/>
      <c r="F36" s="3" t="s">
        <v>28</v>
      </c>
      <c r="G36" s="3" t="str">
        <f t="shared" si="0"/>
        <v>-</v>
      </c>
    </row>
    <row r="37" spans="1:7" ht="14.25" customHeight="1" x14ac:dyDescent="0.3">
      <c r="A37" s="3">
        <v>35</v>
      </c>
      <c r="B37" s="3" t="s">
        <v>29</v>
      </c>
      <c r="C37" s="3"/>
      <c r="D37" s="3" t="s">
        <v>4</v>
      </c>
      <c r="E37" s="3"/>
      <c r="F37" s="3" t="s">
        <v>25</v>
      </c>
      <c r="G37" s="3" t="str">
        <f t="shared" si="0"/>
        <v>-</v>
      </c>
    </row>
    <row r="38" spans="1:7" ht="14.25" customHeight="1" x14ac:dyDescent="0.3">
      <c r="A38" s="3">
        <v>36</v>
      </c>
      <c r="B38" s="3" t="s">
        <v>31</v>
      </c>
      <c r="C38" s="3"/>
      <c r="D38" s="3" t="s">
        <v>4</v>
      </c>
      <c r="E38" s="3"/>
      <c r="F38" s="3" t="s">
        <v>27</v>
      </c>
      <c r="G38" s="3" t="str">
        <f t="shared" si="0"/>
        <v>-</v>
      </c>
    </row>
    <row r="39" spans="1:7" ht="14.25" customHeight="1" x14ac:dyDescent="0.3">
      <c r="A39" s="3">
        <v>37</v>
      </c>
      <c r="B39" s="3" t="s">
        <v>32</v>
      </c>
      <c r="C39" s="3"/>
      <c r="D39" s="3" t="s">
        <v>4</v>
      </c>
      <c r="E39" s="3"/>
      <c r="F39" s="3" t="s">
        <v>36</v>
      </c>
      <c r="G39" s="3" t="str">
        <f t="shared" si="0"/>
        <v>-</v>
      </c>
    </row>
    <row r="40" spans="1:7" ht="14.25" customHeight="1" x14ac:dyDescent="0.3">
      <c r="A40" s="3">
        <v>38</v>
      </c>
      <c r="B40" s="3" t="s">
        <v>34</v>
      </c>
      <c r="C40" s="3"/>
      <c r="D40" s="3" t="s">
        <v>4</v>
      </c>
      <c r="E40" s="3"/>
      <c r="F40" s="3" t="s">
        <v>38</v>
      </c>
      <c r="G40" s="3" t="str">
        <f t="shared" si="0"/>
        <v>-</v>
      </c>
    </row>
    <row r="41" spans="1:7" ht="14.25" customHeight="1" x14ac:dyDescent="0.3">
      <c r="A41" s="3">
        <v>39</v>
      </c>
      <c r="B41" s="3" t="s">
        <v>37</v>
      </c>
      <c r="C41" s="3"/>
      <c r="D41" s="3" t="s">
        <v>4</v>
      </c>
      <c r="E41" s="3"/>
      <c r="F41" s="3" t="s">
        <v>33</v>
      </c>
      <c r="G41" s="3" t="str">
        <f t="shared" si="0"/>
        <v>-</v>
      </c>
    </row>
    <row r="42" spans="1:7" ht="14.25" customHeight="1" x14ac:dyDescent="0.3">
      <c r="A42" s="3">
        <v>40</v>
      </c>
      <c r="B42" s="3" t="s">
        <v>39</v>
      </c>
      <c r="C42" s="3"/>
      <c r="D42" s="3" t="s">
        <v>4</v>
      </c>
      <c r="E42" s="3"/>
      <c r="F42" s="3" t="s">
        <v>35</v>
      </c>
      <c r="G42" s="3" t="str">
        <f t="shared" si="0"/>
        <v>-</v>
      </c>
    </row>
    <row r="43" spans="1:7" ht="14.25" customHeight="1" x14ac:dyDescent="0.3">
      <c r="A43" s="3">
        <v>41</v>
      </c>
      <c r="B43" s="3" t="s">
        <v>44</v>
      </c>
      <c r="C43" s="3"/>
      <c r="D43" s="3" t="s">
        <v>4</v>
      </c>
      <c r="E43" s="3"/>
      <c r="F43" s="3" t="s">
        <v>46</v>
      </c>
      <c r="G43" s="3" t="str">
        <f t="shared" si="0"/>
        <v>-</v>
      </c>
    </row>
    <row r="44" spans="1:7" ht="14.25" customHeight="1" x14ac:dyDescent="0.3">
      <c r="A44" s="3">
        <v>42</v>
      </c>
      <c r="B44" s="3" t="s">
        <v>40</v>
      </c>
      <c r="C44" s="3"/>
      <c r="D44" s="3" t="s">
        <v>4</v>
      </c>
      <c r="E44" s="3"/>
      <c r="F44" s="3" t="s">
        <v>42</v>
      </c>
      <c r="G44" s="3" t="str">
        <f t="shared" si="0"/>
        <v>-</v>
      </c>
    </row>
    <row r="45" spans="1:7" ht="14.25" customHeight="1" x14ac:dyDescent="0.3">
      <c r="A45" s="3">
        <v>43</v>
      </c>
      <c r="B45" s="3" t="s">
        <v>43</v>
      </c>
      <c r="C45" s="3"/>
      <c r="D45" s="3" t="s">
        <v>4</v>
      </c>
      <c r="E45" s="3"/>
      <c r="F45" s="3" t="s">
        <v>41</v>
      </c>
      <c r="G45" s="3" t="str">
        <f t="shared" si="0"/>
        <v>-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workbookViewId="0">
      <selection activeCell="H9" sqref="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22</v>
      </c>
      <c r="C3" s="1">
        <f>Rodrigo!Y3</f>
        <v>1</v>
      </c>
      <c r="E3" s="1">
        <v>1</v>
      </c>
      <c r="F3" s="1" t="str" cm="1">
        <f t="array" ref="F3:H9">_xlfn.SORTBY(A3:C9,B3:B9,-1,C3:C9,-1,A3:A9,1)</f>
        <v>Arthur</v>
      </c>
      <c r="G3" s="1">
        <v>33</v>
      </c>
      <c r="H3" s="1">
        <v>2</v>
      </c>
    </row>
    <row r="4" spans="1:8" x14ac:dyDescent="0.45">
      <c r="A4" s="1" t="s">
        <v>62</v>
      </c>
      <c r="B4" s="1">
        <f>Arthur!X3</f>
        <v>33</v>
      </c>
      <c r="C4" s="1">
        <f>Arthur!Y3</f>
        <v>2</v>
      </c>
      <c r="E4" s="1">
        <f>IF(AND(G4=G3,H4=H3),E3,2)</f>
        <v>2</v>
      </c>
      <c r="F4" s="1" t="str">
        <v>Ana</v>
      </c>
      <c r="G4" s="1">
        <v>30</v>
      </c>
      <c r="H4" s="1">
        <v>2</v>
      </c>
    </row>
    <row r="5" spans="1:8" x14ac:dyDescent="0.45">
      <c r="A5" s="1" t="s">
        <v>63</v>
      </c>
      <c r="B5" s="1">
        <f>Dudu!X3</f>
        <v>11</v>
      </c>
      <c r="C5" s="1">
        <f>Dudu!Y3</f>
        <v>0</v>
      </c>
      <c r="E5" s="1">
        <f>IF(AND(G5=G4,H5=H4),E4,3)</f>
        <v>3</v>
      </c>
      <c r="F5" s="1" t="str">
        <v>Carol</v>
      </c>
      <c r="G5" s="1">
        <v>22</v>
      </c>
      <c r="H5" s="1">
        <v>1</v>
      </c>
    </row>
    <row r="6" spans="1:8" x14ac:dyDescent="0.45">
      <c r="A6" s="1" t="s">
        <v>64</v>
      </c>
      <c r="B6" s="1">
        <f>Carol!X3</f>
        <v>22</v>
      </c>
      <c r="C6" s="1">
        <f>Carol!Y3</f>
        <v>1</v>
      </c>
      <c r="E6" s="1">
        <f>IF(AND(G6=G5,H6=H5),E5,4)</f>
        <v>3</v>
      </c>
      <c r="F6" s="1" t="str">
        <v>Rodrigo</v>
      </c>
      <c r="G6" s="1">
        <v>22</v>
      </c>
      <c r="H6" s="1">
        <v>1</v>
      </c>
    </row>
    <row r="7" spans="1:8" x14ac:dyDescent="0.45">
      <c r="A7" s="1" t="s">
        <v>65</v>
      </c>
      <c r="B7" s="1">
        <f>Ana!X3</f>
        <v>30</v>
      </c>
      <c r="C7" s="1">
        <f>Ana!Y3</f>
        <v>2</v>
      </c>
      <c r="E7" s="1">
        <f>IF(AND(G7=G6,H7=H6),E6,5)</f>
        <v>5</v>
      </c>
      <c r="F7" s="1" t="str">
        <v>Isa</v>
      </c>
      <c r="G7" s="1">
        <v>19</v>
      </c>
      <c r="H7" s="1">
        <v>0</v>
      </c>
    </row>
    <row r="8" spans="1:8" x14ac:dyDescent="0.45">
      <c r="A8" s="1" t="s">
        <v>66</v>
      </c>
      <c r="B8" s="1">
        <f>Isa!X3</f>
        <v>19</v>
      </c>
      <c r="C8" s="1">
        <f>Isa!Y3</f>
        <v>0</v>
      </c>
      <c r="E8" s="1">
        <f>IF(AND(G8=G7,H8=H7),E7,6)</f>
        <v>6</v>
      </c>
      <c r="F8" s="1" t="str">
        <v>Trops</v>
      </c>
      <c r="G8" s="1">
        <v>16</v>
      </c>
      <c r="H8" s="1">
        <v>0</v>
      </c>
    </row>
    <row r="9" spans="1:8" x14ac:dyDescent="0.45">
      <c r="A9" s="1" t="s">
        <v>67</v>
      </c>
      <c r="B9" s="1">
        <f>Trops!X3</f>
        <v>16</v>
      </c>
      <c r="C9" s="1">
        <f>Trops!Y3</f>
        <v>0</v>
      </c>
      <c r="E9" s="1">
        <f>IF(AND(G9=G8,H9=H8),E8,7)</f>
        <v>7</v>
      </c>
      <c r="F9" s="1" t="str">
        <v>Dudu</v>
      </c>
      <c r="G9" s="1">
        <v>11</v>
      </c>
      <c r="H9" s="1">
        <v>0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abSelected="1" topLeftCell="I1" workbookViewId="0">
      <selection activeCell="M24" sqref="M2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33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11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22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6" workbookViewId="0">
      <selection activeCell="M27" sqref="M2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30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19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1" workbookViewId="0">
      <selection activeCell="K23" sqref="K2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16</v>
      </c>
      <c r="Y3" s="3">
        <f>COUNTIF(W3:W106,6)</f>
        <v>0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0</v>
      </c>
      <c r="D23" s="3" t="str">
        <f>'Tabela de Jogos'!D23</f>
        <v>x</v>
      </c>
      <c r="E23" s="3">
        <f>'Tabela de Jogos'!E23</f>
        <v>0</v>
      </c>
      <c r="F23" s="3" t="str">
        <f>'Tabela de Jogos'!F23</f>
        <v>RD Congo</v>
      </c>
      <c r="G23" s="3" t="str">
        <f>'Tabela de Jogos'!G23</f>
        <v>-</v>
      </c>
      <c r="H23" s="3"/>
      <c r="I23" s="3">
        <f t="shared" ref="I23:J23" si="29">A23</f>
        <v>21</v>
      </c>
      <c r="J23" s="3" t="str">
        <f t="shared" si="29"/>
        <v>Portugal</v>
      </c>
      <c r="K23" s="3"/>
      <c r="L23" s="3" t="str">
        <f t="shared" si="2"/>
        <v>x</v>
      </c>
      <c r="M23" s="3"/>
      <c r="N23" s="3" t="str">
        <f t="shared" si="3"/>
        <v>RD Congo</v>
      </c>
      <c r="O23" s="3" t="str">
        <f t="shared" si="4"/>
        <v>-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0</v>
      </c>
      <c r="D24" s="3" t="str">
        <f>'Tabela de Jogos'!D24</f>
        <v>x</v>
      </c>
      <c r="E24" s="3">
        <f>'Tabela de Jogos'!E24</f>
        <v>0</v>
      </c>
      <c r="F24" s="3" t="str">
        <f>'Tabela de Jogos'!F24</f>
        <v>Croácia</v>
      </c>
      <c r="G24" s="3" t="str">
        <f>'Tabela de Jogos'!G24</f>
        <v>-</v>
      </c>
      <c r="H24" s="3"/>
      <c r="I24" s="3">
        <f t="shared" ref="I24:J24" si="30">A24</f>
        <v>22</v>
      </c>
      <c r="J24" s="3" t="str">
        <f t="shared" si="30"/>
        <v>Inglaterra</v>
      </c>
      <c r="K24" s="3"/>
      <c r="L24" s="3" t="str">
        <f t="shared" si="2"/>
        <v>x</v>
      </c>
      <c r="M24" s="3"/>
      <c r="N24" s="3" t="str">
        <f t="shared" si="3"/>
        <v>Croácia</v>
      </c>
      <c r="O24" s="3" t="str">
        <f t="shared" si="4"/>
        <v>-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0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-</v>
      </c>
      <c r="H25" s="3"/>
      <c r="I25" s="3">
        <f t="shared" ref="I25:J25" si="31">A25</f>
        <v>23</v>
      </c>
      <c r="J25" s="3" t="str">
        <f t="shared" si="31"/>
        <v>Gana</v>
      </c>
      <c r="K25" s="3"/>
      <c r="L25" s="3" t="str">
        <f t="shared" si="2"/>
        <v>x</v>
      </c>
      <c r="M25" s="3"/>
      <c r="N25" s="3" t="str">
        <f t="shared" si="3"/>
        <v>Panamá</v>
      </c>
      <c r="O25" s="3" t="str">
        <f t="shared" si="4"/>
        <v>-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0</v>
      </c>
      <c r="D26" s="3" t="str">
        <f>'Tabela de Jogos'!D26</f>
        <v>x</v>
      </c>
      <c r="E26" s="3">
        <f>'Tabela de Jogos'!E26</f>
        <v>0</v>
      </c>
      <c r="F26" s="3" t="str">
        <f>'Tabela de Jogos'!F26</f>
        <v>Colômbia</v>
      </c>
      <c r="G26" s="3" t="str">
        <f>'Tabela de Jogos'!G26</f>
        <v>-</v>
      </c>
      <c r="H26" s="3"/>
      <c r="I26" s="3">
        <f t="shared" ref="I26:J26" si="32">A26</f>
        <v>24</v>
      </c>
      <c r="J26" s="3" t="str">
        <f t="shared" si="32"/>
        <v>Uzbequistão</v>
      </c>
      <c r="K26" s="3"/>
      <c r="L26" s="3" t="str">
        <f t="shared" si="2"/>
        <v>x</v>
      </c>
      <c r="M26" s="3"/>
      <c r="N26" s="3" t="str">
        <f t="shared" si="3"/>
        <v>Colômbia</v>
      </c>
      <c r="O26" s="3" t="str">
        <f t="shared" si="4"/>
        <v>-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1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0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0</v>
      </c>
      <c r="D27" s="3" t="str">
        <f>'Tabela de Jogos'!D27</f>
        <v>x</v>
      </c>
      <c r="E27" s="3">
        <f>'Tabela de Jogos'!E27</f>
        <v>0</v>
      </c>
      <c r="F27" s="3" t="str">
        <f>'Tabela de Jogos'!F27</f>
        <v>África do Sul</v>
      </c>
      <c r="G27" s="3" t="str">
        <f>'Tabela de Jogos'!G27</f>
        <v>-</v>
      </c>
      <c r="H27" s="3"/>
      <c r="I27" s="3">
        <f t="shared" ref="I27:J27" si="33">A27</f>
        <v>25</v>
      </c>
      <c r="J27" s="3" t="str">
        <f t="shared" si="33"/>
        <v>Tchéquia</v>
      </c>
      <c r="K27" s="3"/>
      <c r="L27" s="3" t="str">
        <f t="shared" si="2"/>
        <v>x</v>
      </c>
      <c r="M27" s="3"/>
      <c r="N27" s="3" t="str">
        <f t="shared" si="3"/>
        <v>África do Sul</v>
      </c>
      <c r="O27" s="3" t="str">
        <f t="shared" si="4"/>
        <v>-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0</v>
      </c>
      <c r="D28" s="3" t="str">
        <f>'Tabela de Jogos'!D28</f>
        <v>x</v>
      </c>
      <c r="E28" s="3">
        <f>'Tabela de Jogos'!E28</f>
        <v>0</v>
      </c>
      <c r="F28" s="3" t="str">
        <f>'Tabela de Jogos'!F28</f>
        <v>Bósnia</v>
      </c>
      <c r="G28" s="3" t="str">
        <f>'Tabela de Jogos'!G28</f>
        <v>-</v>
      </c>
      <c r="H28" s="3"/>
      <c r="I28" s="3">
        <f t="shared" ref="I28:J28" si="34">A28</f>
        <v>26</v>
      </c>
      <c r="J28" s="3" t="str">
        <f t="shared" si="34"/>
        <v>Suíça</v>
      </c>
      <c r="K28" s="3"/>
      <c r="L28" s="3" t="str">
        <f t="shared" si="2"/>
        <v>x</v>
      </c>
      <c r="M28" s="3"/>
      <c r="N28" s="3" t="str">
        <f t="shared" si="3"/>
        <v>Bósnia</v>
      </c>
      <c r="O28" s="3" t="str">
        <f t="shared" si="4"/>
        <v>-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0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-</v>
      </c>
      <c r="H29" s="3"/>
      <c r="I29" s="3">
        <f t="shared" ref="I29:J29" si="35">A29</f>
        <v>27</v>
      </c>
      <c r="J29" s="3" t="str">
        <f t="shared" si="35"/>
        <v>Canadá</v>
      </c>
      <c r="K29" s="3"/>
      <c r="L29" s="3" t="str">
        <f t="shared" si="2"/>
        <v>x</v>
      </c>
      <c r="M29" s="3"/>
      <c r="N29" s="3" t="str">
        <f t="shared" si="3"/>
        <v>Catar</v>
      </c>
      <c r="O29" s="3" t="str">
        <f t="shared" si="4"/>
        <v>-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0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-</v>
      </c>
      <c r="H30" s="3"/>
      <c r="I30" s="3">
        <f t="shared" ref="I30:J30" si="36">A30</f>
        <v>28</v>
      </c>
      <c r="J30" s="3" t="str">
        <f t="shared" si="36"/>
        <v>México</v>
      </c>
      <c r="K30" s="3"/>
      <c r="L30" s="3" t="str">
        <f t="shared" si="2"/>
        <v>x</v>
      </c>
      <c r="M30" s="3"/>
      <c r="N30" s="3" t="str">
        <f t="shared" si="3"/>
        <v>Coreia do Sul</v>
      </c>
      <c r="O30" s="3" t="str">
        <f t="shared" si="4"/>
        <v>-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0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-</v>
      </c>
      <c r="H31" s="3"/>
      <c r="I31" s="3">
        <f t="shared" ref="I31:J31" si="37">A31</f>
        <v>29</v>
      </c>
      <c r="J31" s="3" t="str">
        <f t="shared" si="37"/>
        <v>EUA</v>
      </c>
      <c r="K31" s="3"/>
      <c r="L31" s="3" t="str">
        <f t="shared" si="2"/>
        <v>x</v>
      </c>
      <c r="M31" s="3"/>
      <c r="N31" s="3" t="str">
        <f t="shared" si="3"/>
        <v>Austrália</v>
      </c>
      <c r="O31" s="3" t="str">
        <f t="shared" si="4"/>
        <v>-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0</v>
      </c>
      <c r="F32" s="3" t="str">
        <f>'Tabela de Jogos'!F32</f>
        <v>Marrocos</v>
      </c>
      <c r="G32" s="3" t="str">
        <f>'Tabela de Jogos'!G32</f>
        <v>-</v>
      </c>
      <c r="H32" s="3"/>
      <c r="I32" s="3">
        <f t="shared" ref="I32:J32" si="38">A32</f>
        <v>30</v>
      </c>
      <c r="J32" s="3" t="str">
        <f t="shared" si="38"/>
        <v>Escócia</v>
      </c>
      <c r="K32" s="3"/>
      <c r="L32" s="3" t="str">
        <f t="shared" si="2"/>
        <v>x</v>
      </c>
      <c r="M32" s="3"/>
      <c r="N32" s="3" t="str">
        <f t="shared" si="3"/>
        <v>Marrocos</v>
      </c>
      <c r="O32" s="3" t="str">
        <f t="shared" si="4"/>
        <v>-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0</v>
      </c>
      <c r="U32" s="3" t="b">
        <f t="shared" si="9"/>
        <v>1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0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0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-</v>
      </c>
      <c r="H33" s="3"/>
      <c r="I33" s="3">
        <f t="shared" ref="I33:J33" si="39">A33</f>
        <v>31</v>
      </c>
      <c r="J33" s="3" t="str">
        <f t="shared" si="39"/>
        <v>Brasil</v>
      </c>
      <c r="K33" s="3"/>
      <c r="L33" s="3" t="str">
        <f t="shared" si="2"/>
        <v>x</v>
      </c>
      <c r="M33" s="3"/>
      <c r="N33" s="3" t="str">
        <f t="shared" si="3"/>
        <v>Haiti</v>
      </c>
      <c r="O33" s="3" t="str">
        <f t="shared" si="4"/>
        <v>-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0</v>
      </c>
      <c r="U33" s="3" t="b">
        <f t="shared" si="9"/>
        <v>1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0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0</v>
      </c>
      <c r="F34" s="3" t="str">
        <f>'Tabela de Jogos'!F34</f>
        <v>Paraguai</v>
      </c>
      <c r="G34" s="3" t="str">
        <f>'Tabela de Jogos'!G34</f>
        <v>-</v>
      </c>
      <c r="H34" s="3"/>
      <c r="I34" s="3">
        <f t="shared" ref="I34:J34" si="40">A34</f>
        <v>32</v>
      </c>
      <c r="J34" s="3" t="str">
        <f t="shared" si="40"/>
        <v>Turquia</v>
      </c>
      <c r="K34" s="3"/>
      <c r="L34" s="3" t="str">
        <f t="shared" si="2"/>
        <v>x</v>
      </c>
      <c r="M34" s="3"/>
      <c r="N34" s="3" t="str">
        <f t="shared" si="3"/>
        <v>Paraguai</v>
      </c>
      <c r="O34" s="3" t="str">
        <f t="shared" si="4"/>
        <v>-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0</v>
      </c>
      <c r="D35" s="3" t="str">
        <f>'Tabela de Jogos'!D35</f>
        <v>x</v>
      </c>
      <c r="E35" s="3">
        <f>'Tabela de Jogos'!E35</f>
        <v>0</v>
      </c>
      <c r="F35" s="3" t="str">
        <f>'Tabela de Jogos'!F35</f>
        <v>Suécia</v>
      </c>
      <c r="G35" s="3" t="str">
        <f>'Tabela de Jogos'!G35</f>
        <v>-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0</v>
      </c>
      <c r="D36" s="3" t="str">
        <f>'Tabela de Jogos'!D36</f>
        <v>x</v>
      </c>
      <c r="E36" s="3">
        <f>'Tabela de Jogos'!E36</f>
        <v>0</v>
      </c>
      <c r="F36" s="3" t="str">
        <f>'Tabela de Jogos'!F36</f>
        <v>Costa do Marfim</v>
      </c>
      <c r="G36" s="3" t="str">
        <f>'Tabela de Jogos'!G36</f>
        <v>-</v>
      </c>
      <c r="H36" s="3"/>
      <c r="I36" s="3">
        <f t="shared" ref="I36:J36" si="42">A36</f>
        <v>34</v>
      </c>
      <c r="J36" s="3" t="str">
        <f t="shared" si="42"/>
        <v>Alemanha</v>
      </c>
      <c r="K36" s="3"/>
      <c r="L36" s="3" t="str">
        <f t="shared" si="2"/>
        <v>x</v>
      </c>
      <c r="M36" s="3"/>
      <c r="N36" s="3" t="str">
        <f t="shared" si="3"/>
        <v>Costa do Marfim</v>
      </c>
      <c r="O36" s="3" t="str">
        <f t="shared" si="4"/>
        <v>-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1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0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-</v>
      </c>
      <c r="H37" s="3"/>
      <c r="I37" s="3">
        <f t="shared" ref="I37:J37" si="43">A37</f>
        <v>35</v>
      </c>
      <c r="J37" s="3" t="str">
        <f t="shared" si="43"/>
        <v>Equador</v>
      </c>
      <c r="K37" s="3"/>
      <c r="L37" s="3" t="str">
        <f t="shared" si="2"/>
        <v>x</v>
      </c>
      <c r="M37" s="3"/>
      <c r="N37" s="3" t="str">
        <f t="shared" si="3"/>
        <v>Curaçao</v>
      </c>
      <c r="O37" s="3" t="str">
        <f t="shared" si="4"/>
        <v>-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0</v>
      </c>
      <c r="F38" s="3" t="str">
        <f>'Tabela de Jogos'!F38</f>
        <v>Japão</v>
      </c>
      <c r="G38" s="3" t="str">
        <f>'Tabela de Jogos'!G38</f>
        <v>-</v>
      </c>
      <c r="H38" s="3"/>
      <c r="I38" s="3">
        <f t="shared" ref="I38:J38" si="44">A38</f>
        <v>36</v>
      </c>
      <c r="J38" s="3" t="str">
        <f t="shared" si="44"/>
        <v>Tunísia</v>
      </c>
      <c r="K38" s="3"/>
      <c r="L38" s="3" t="str">
        <f t="shared" si="2"/>
        <v>x</v>
      </c>
      <c r="M38" s="3"/>
      <c r="N38" s="3" t="str">
        <f t="shared" si="3"/>
        <v>Japão</v>
      </c>
      <c r="O38" s="3" t="str">
        <f t="shared" si="4"/>
        <v>-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1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0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0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-</v>
      </c>
      <c r="H39" s="3"/>
      <c r="I39" s="3">
        <f t="shared" ref="I39:J39" si="45">A39</f>
        <v>37</v>
      </c>
      <c r="J39" s="3" t="str">
        <f t="shared" si="45"/>
        <v>Espanha</v>
      </c>
      <c r="K39" s="3"/>
      <c r="L39" s="3" t="str">
        <f t="shared" si="2"/>
        <v>x</v>
      </c>
      <c r="M39" s="3"/>
      <c r="N39" s="3" t="str">
        <f t="shared" si="3"/>
        <v>Arábia Saudita</v>
      </c>
      <c r="O39" s="3" t="str">
        <f t="shared" si="4"/>
        <v>-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1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0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-</v>
      </c>
      <c r="H40" s="3"/>
      <c r="I40" s="3">
        <f t="shared" ref="I40:J40" si="46">A40</f>
        <v>38</v>
      </c>
      <c r="J40" s="3" t="str">
        <f t="shared" si="46"/>
        <v>Bélgica</v>
      </c>
      <c r="K40" s="3"/>
      <c r="L40" s="3" t="str">
        <f t="shared" si="2"/>
        <v>x</v>
      </c>
      <c r="M40" s="3"/>
      <c r="N40" s="3" t="str">
        <f t="shared" si="3"/>
        <v>Irã</v>
      </c>
      <c r="O40" s="3" t="str">
        <f t="shared" si="4"/>
        <v>-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0</v>
      </c>
      <c r="D41" s="3" t="str">
        <f>'Tabela de Jogos'!D41</f>
        <v>x</v>
      </c>
      <c r="E41" s="3">
        <f>'Tabela de Jogos'!E41</f>
        <v>0</v>
      </c>
      <c r="F41" s="3" t="str">
        <f>'Tabela de Jogos'!F41</f>
        <v>Cabo Verde</v>
      </c>
      <c r="G41" s="3" t="str">
        <f>'Tabela de Jogos'!G41</f>
        <v>-</v>
      </c>
      <c r="H41" s="3"/>
      <c r="I41" s="3">
        <f t="shared" ref="I41:J41" si="47">A41</f>
        <v>39</v>
      </c>
      <c r="J41" s="3" t="str">
        <f t="shared" si="47"/>
        <v>Uruguai</v>
      </c>
      <c r="K41" s="3"/>
      <c r="L41" s="3" t="str">
        <f t="shared" si="2"/>
        <v>x</v>
      </c>
      <c r="M41" s="3"/>
      <c r="N41" s="3" t="str">
        <f t="shared" si="3"/>
        <v>Cabo Verde</v>
      </c>
      <c r="O41" s="3" t="str">
        <f t="shared" si="4"/>
        <v>-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0</v>
      </c>
      <c r="D42" s="3" t="str">
        <f>'Tabela de Jogos'!D42</f>
        <v>x</v>
      </c>
      <c r="E42" s="3">
        <f>'Tabela de Jogos'!E42</f>
        <v>0</v>
      </c>
      <c r="F42" s="3" t="str">
        <f>'Tabela de Jogos'!F42</f>
        <v>Egito</v>
      </c>
      <c r="G42" s="3" t="str">
        <f>'Tabela de Jogos'!G42</f>
        <v>-</v>
      </c>
      <c r="H42" s="3"/>
      <c r="I42" s="3">
        <f t="shared" ref="I42:J42" si="48">A42</f>
        <v>40</v>
      </c>
      <c r="J42" s="3" t="str">
        <f t="shared" si="48"/>
        <v>Nova Zelândia</v>
      </c>
      <c r="K42" s="3"/>
      <c r="L42" s="3" t="str">
        <f t="shared" si="2"/>
        <v>x</v>
      </c>
      <c r="M42" s="3"/>
      <c r="N42" s="3" t="str">
        <f t="shared" si="3"/>
        <v>Egito</v>
      </c>
      <c r="O42" s="3" t="str">
        <f t="shared" si="4"/>
        <v>-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0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-</v>
      </c>
      <c r="H43" s="3"/>
      <c r="I43" s="3">
        <f t="shared" ref="I43:J43" si="49">A43</f>
        <v>41</v>
      </c>
      <c r="J43" s="3" t="str">
        <f t="shared" si="49"/>
        <v>Argentina</v>
      </c>
      <c r="K43" s="3"/>
      <c r="L43" s="3" t="str">
        <f t="shared" si="2"/>
        <v>x</v>
      </c>
      <c r="M43" s="3"/>
      <c r="N43" s="3" t="str">
        <f t="shared" si="3"/>
        <v>Áustria</v>
      </c>
      <c r="O43" s="3" t="str">
        <f t="shared" si="4"/>
        <v>-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1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0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0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-</v>
      </c>
      <c r="H44" s="3"/>
      <c r="I44" s="3">
        <f t="shared" ref="I44:J44" si="50">A44</f>
        <v>42</v>
      </c>
      <c r="J44" s="3" t="str">
        <f t="shared" si="50"/>
        <v>França</v>
      </c>
      <c r="K44" s="3"/>
      <c r="L44" s="3" t="str">
        <f t="shared" si="2"/>
        <v>x</v>
      </c>
      <c r="M44" s="3"/>
      <c r="N44" s="3" t="str">
        <f t="shared" si="3"/>
        <v>Iraque</v>
      </c>
      <c r="O44" s="3" t="str">
        <f t="shared" si="4"/>
        <v>-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1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0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0</v>
      </c>
      <c r="D45" s="3" t="str">
        <f>'Tabela de Jogos'!D45</f>
        <v>x</v>
      </c>
      <c r="E45" s="3">
        <f>'Tabela de Jogos'!E45</f>
        <v>0</v>
      </c>
      <c r="F45" s="3" t="str">
        <f>'Tabela de Jogos'!F45</f>
        <v>Senegal</v>
      </c>
      <c r="G45" s="3" t="str">
        <f>'Tabela de Jogos'!G45</f>
        <v>-</v>
      </c>
      <c r="H45" s="3"/>
      <c r="I45" s="3">
        <f t="shared" ref="I45:J45" si="51">A45</f>
        <v>43</v>
      </c>
      <c r="J45" s="3" t="str">
        <f t="shared" si="51"/>
        <v>Noruega</v>
      </c>
      <c r="K45" s="3"/>
      <c r="L45" s="3" t="str">
        <f t="shared" si="2"/>
        <v>x</v>
      </c>
      <c r="M45" s="3"/>
      <c r="N45" s="3" t="str">
        <f t="shared" si="3"/>
        <v>Senegal</v>
      </c>
      <c r="O45" s="3" t="str">
        <f t="shared" si="4"/>
        <v>-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0</v>
      </c>
      <c r="U45" s="3" t="b">
        <f t="shared" si="9"/>
        <v>1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0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/>
      <c r="L46" s="3" t="str">
        <f t="shared" si="2"/>
        <v>x</v>
      </c>
      <c r="M46" s="3"/>
      <c r="N46" s="3" t="str">
        <f t="shared" si="3"/>
        <v>Argélia</v>
      </c>
      <c r="O46" s="3" t="str">
        <f t="shared" si="4"/>
        <v>-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workbookViewId="0">
      <selection activeCell="M11" sqref="M11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22</v>
      </c>
      <c r="C24" s="2">
        <f>IF('Tabela de Jogos'!C24&lt;&gt;"",Arthur!W24+C23,C23)</f>
        <v>33</v>
      </c>
      <c r="D24" s="2">
        <f>IF('Tabela de Jogos'!C24&lt;&gt;"",Dudu!W24+D23,D23)</f>
        <v>11</v>
      </c>
      <c r="E24" s="2">
        <f>IF('Tabela de Jogos'!C24&lt;&gt;"",Carol!W24+E23,E23)</f>
        <v>22</v>
      </c>
      <c r="F24" s="2">
        <f>IF('Tabela de Jogos'!C24&lt;&gt;"",Ana!W24+F23,F23)</f>
        <v>30</v>
      </c>
      <c r="G24" s="2">
        <f>IF('Tabela de Jogos'!C24&lt;&gt;"",Isa!W24+G23,G23)</f>
        <v>19</v>
      </c>
      <c r="H24" s="2">
        <f>IF('Tabela de Jogos'!C24&lt;&gt;"",Trops!W24+H23,H23)</f>
        <v>16</v>
      </c>
      <c r="J24">
        <f>Rodrigo!W24</f>
        <v>0</v>
      </c>
      <c r="K24">
        <f>Arthur!W24</f>
        <v>0</v>
      </c>
      <c r="L24">
        <f>Dudu!W24</f>
        <v>0</v>
      </c>
      <c r="M24">
        <f>Carol!W24</f>
        <v>0</v>
      </c>
      <c r="N24">
        <f>Ana!W24</f>
        <v>0</v>
      </c>
      <c r="O24">
        <f>Isa!W24</f>
        <v>0</v>
      </c>
      <c r="P24">
        <f>Trops!W24</f>
        <v>0</v>
      </c>
    </row>
    <row r="25" spans="1:16" ht="14.25" customHeight="1" x14ac:dyDescent="0.3">
      <c r="A25" s="2">
        <v>23</v>
      </c>
      <c r="B25" s="2">
        <f>IF('Tabela de Jogos'!C25&lt;&gt;"",Rodrigo!W25+B24,B24)</f>
        <v>22</v>
      </c>
      <c r="C25" s="2">
        <f>IF('Tabela de Jogos'!C25&lt;&gt;"",Arthur!W25+C24,C24)</f>
        <v>33</v>
      </c>
      <c r="D25" s="2">
        <f>IF('Tabela de Jogos'!C25&lt;&gt;"",Dudu!W25+D24,D24)</f>
        <v>11</v>
      </c>
      <c r="E25" s="2">
        <f>IF('Tabela de Jogos'!C25&lt;&gt;"",Carol!W25+E24,E24)</f>
        <v>22</v>
      </c>
      <c r="F25" s="2">
        <f>IF('Tabela de Jogos'!C25&lt;&gt;"",Ana!W25+F24,F24)</f>
        <v>30</v>
      </c>
      <c r="G25" s="2">
        <f>IF('Tabela de Jogos'!C25&lt;&gt;"",Isa!W25+G24,G24)</f>
        <v>19</v>
      </c>
      <c r="H25" s="2">
        <f>IF('Tabela de Jogos'!C25&lt;&gt;"",Trops!W25+H24,H24)</f>
        <v>16</v>
      </c>
      <c r="J25">
        <f>Rodrigo!W25</f>
        <v>0</v>
      </c>
      <c r="K25">
        <f>Arthur!W25</f>
        <v>0</v>
      </c>
      <c r="L25">
        <f>Dudu!W25</f>
        <v>0</v>
      </c>
      <c r="M25">
        <f>Carol!W25</f>
        <v>0</v>
      </c>
      <c r="N25">
        <f>Ana!W25</f>
        <v>0</v>
      </c>
      <c r="O25">
        <f>Isa!W25</f>
        <v>0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22</v>
      </c>
      <c r="C26" s="2">
        <f>IF('Tabela de Jogos'!C26&lt;&gt;"",Arthur!W26+C25,C25)</f>
        <v>33</v>
      </c>
      <c r="D26" s="2">
        <f>IF('Tabela de Jogos'!C26&lt;&gt;"",Dudu!W26+D25,D25)</f>
        <v>11</v>
      </c>
      <c r="E26" s="2">
        <f>IF('Tabela de Jogos'!C26&lt;&gt;"",Carol!W26+E25,E25)</f>
        <v>22</v>
      </c>
      <c r="F26" s="2">
        <f>IF('Tabela de Jogos'!C26&lt;&gt;"",Ana!W26+F25,F25)</f>
        <v>30</v>
      </c>
      <c r="G26" s="2">
        <f>IF('Tabela de Jogos'!C26&lt;&gt;"",Isa!W26+G25,G25)</f>
        <v>19</v>
      </c>
      <c r="H26" s="2">
        <f>IF('Tabela de Jogos'!C26&lt;&gt;"",Trops!W26+H25,H25)</f>
        <v>16</v>
      </c>
      <c r="J26">
        <f>Rodrigo!W26</f>
        <v>0</v>
      </c>
      <c r="K26">
        <f>Arthur!W26</f>
        <v>0</v>
      </c>
      <c r="L26">
        <f>Dudu!W26</f>
        <v>0</v>
      </c>
      <c r="M26">
        <f>Carol!W26</f>
        <v>0</v>
      </c>
      <c r="N26">
        <f>Ana!W26</f>
        <v>0</v>
      </c>
      <c r="O26">
        <f>Isa!W26</f>
        <v>0</v>
      </c>
      <c r="P26">
        <f>Trops!W26</f>
        <v>0</v>
      </c>
    </row>
    <row r="27" spans="1:16" ht="14.25" customHeight="1" x14ac:dyDescent="0.3">
      <c r="A27" s="2">
        <v>25</v>
      </c>
      <c r="B27" s="2">
        <f>IF('Tabela de Jogos'!C27&lt;&gt;"",Rodrigo!W27+B26,B26)</f>
        <v>22</v>
      </c>
      <c r="C27" s="2">
        <f>IF('Tabela de Jogos'!C27&lt;&gt;"",Arthur!W27+C26,C26)</f>
        <v>33</v>
      </c>
      <c r="D27" s="2">
        <f>IF('Tabela de Jogos'!C27&lt;&gt;"",Dudu!W27+D26,D26)</f>
        <v>11</v>
      </c>
      <c r="E27" s="2">
        <f>IF('Tabela de Jogos'!C27&lt;&gt;"",Carol!W27+E26,E26)</f>
        <v>22</v>
      </c>
      <c r="F27" s="2">
        <f>IF('Tabela de Jogos'!C27&lt;&gt;"",Ana!W27+F26,F26)</f>
        <v>30</v>
      </c>
      <c r="G27" s="2">
        <f>IF('Tabela de Jogos'!C27&lt;&gt;"",Isa!W27+G26,G26)</f>
        <v>19</v>
      </c>
      <c r="H27" s="2">
        <f>IF('Tabela de Jogos'!C27&lt;&gt;"",Trops!W27+H26,H26)</f>
        <v>16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0</v>
      </c>
      <c r="P27">
        <f>Trops!W27</f>
        <v>0</v>
      </c>
    </row>
    <row r="28" spans="1:16" ht="14.25" customHeight="1" x14ac:dyDescent="0.3">
      <c r="A28" s="2">
        <v>26</v>
      </c>
      <c r="B28" s="2">
        <f>IF('Tabela de Jogos'!C28&lt;&gt;"",Rodrigo!W28+B27,B27)</f>
        <v>22</v>
      </c>
      <c r="C28" s="2">
        <f>IF('Tabela de Jogos'!C28&lt;&gt;"",Arthur!W28+C27,C27)</f>
        <v>33</v>
      </c>
      <c r="D28" s="2">
        <f>IF('Tabela de Jogos'!C28&lt;&gt;"",Dudu!W28+D27,D27)</f>
        <v>11</v>
      </c>
      <c r="E28" s="2">
        <f>IF('Tabela de Jogos'!C28&lt;&gt;"",Carol!W28+E27,E27)</f>
        <v>22</v>
      </c>
      <c r="F28" s="2">
        <f>IF('Tabela de Jogos'!C28&lt;&gt;"",Ana!W28+F27,F27)</f>
        <v>30</v>
      </c>
      <c r="G28" s="2">
        <f>IF('Tabela de Jogos'!C28&lt;&gt;"",Isa!W28+G27,G27)</f>
        <v>19</v>
      </c>
      <c r="H28" s="2">
        <f>IF('Tabela de Jogos'!C28&lt;&gt;"",Trops!W28+H27,H27)</f>
        <v>16</v>
      </c>
      <c r="J28">
        <f>Rodrigo!W28</f>
        <v>0</v>
      </c>
      <c r="K28">
        <f>Arthur!W28</f>
        <v>0</v>
      </c>
      <c r="L28">
        <f>Dudu!W28</f>
        <v>0</v>
      </c>
      <c r="M28">
        <f>Carol!W28</f>
        <v>0</v>
      </c>
      <c r="N28">
        <f>Ana!W28</f>
        <v>0</v>
      </c>
      <c r="O28">
        <f>Isa!W28</f>
        <v>0</v>
      </c>
      <c r="P28">
        <f>Trops!W28</f>
        <v>0</v>
      </c>
    </row>
    <row r="29" spans="1:16" ht="14.25" customHeight="1" x14ac:dyDescent="0.3">
      <c r="A29" s="2">
        <v>27</v>
      </c>
      <c r="B29" s="2">
        <f>IF('Tabela de Jogos'!C29&lt;&gt;"",Rodrigo!W29+B28,B28)</f>
        <v>22</v>
      </c>
      <c r="C29" s="2">
        <f>IF('Tabela de Jogos'!C29&lt;&gt;"",Arthur!W29+C28,C28)</f>
        <v>33</v>
      </c>
      <c r="D29" s="2">
        <f>IF('Tabela de Jogos'!C29&lt;&gt;"",Dudu!W29+D28,D28)</f>
        <v>11</v>
      </c>
      <c r="E29" s="2">
        <f>IF('Tabela de Jogos'!C29&lt;&gt;"",Carol!W29+E28,E28)</f>
        <v>22</v>
      </c>
      <c r="F29" s="2">
        <f>IF('Tabela de Jogos'!C29&lt;&gt;"",Ana!W29+F28,F28)</f>
        <v>30</v>
      </c>
      <c r="G29" s="2">
        <f>IF('Tabela de Jogos'!C29&lt;&gt;"",Isa!W29+G28,G28)</f>
        <v>19</v>
      </c>
      <c r="H29" s="2">
        <f>IF('Tabela de Jogos'!C29&lt;&gt;"",Trops!W29+H28,H28)</f>
        <v>16</v>
      </c>
      <c r="J29">
        <f>Rodrigo!W29</f>
        <v>0</v>
      </c>
      <c r="K29">
        <f>Arthur!W29</f>
        <v>0</v>
      </c>
      <c r="L29">
        <f>Dudu!W29</f>
        <v>0</v>
      </c>
      <c r="M29">
        <f>Carol!W29</f>
        <v>0</v>
      </c>
      <c r="N29">
        <f>Ana!W29</f>
        <v>0</v>
      </c>
      <c r="O29">
        <f>Isa!W29</f>
        <v>0</v>
      </c>
      <c r="P29">
        <f>Trops!W29</f>
        <v>0</v>
      </c>
    </row>
    <row r="30" spans="1:16" ht="14.25" customHeight="1" x14ac:dyDescent="0.3">
      <c r="A30" s="2">
        <v>28</v>
      </c>
      <c r="B30" s="2">
        <f>IF('Tabela de Jogos'!C30&lt;&gt;"",Rodrigo!W30+B29,B29)</f>
        <v>22</v>
      </c>
      <c r="C30" s="2">
        <f>IF('Tabela de Jogos'!C30&lt;&gt;"",Arthur!W30+C29,C29)</f>
        <v>33</v>
      </c>
      <c r="D30" s="2">
        <f>IF('Tabela de Jogos'!C30&lt;&gt;"",Dudu!W30+D29,D29)</f>
        <v>11</v>
      </c>
      <c r="E30" s="2">
        <f>IF('Tabela de Jogos'!C30&lt;&gt;"",Carol!W30+E29,E29)</f>
        <v>22</v>
      </c>
      <c r="F30" s="2">
        <f>IF('Tabela de Jogos'!C30&lt;&gt;"",Ana!W30+F29,F29)</f>
        <v>30</v>
      </c>
      <c r="G30" s="2">
        <f>IF('Tabela de Jogos'!C30&lt;&gt;"",Isa!W30+G29,G29)</f>
        <v>19</v>
      </c>
      <c r="H30" s="2">
        <f>IF('Tabela de Jogos'!C30&lt;&gt;"",Trops!W30+H29,H29)</f>
        <v>16</v>
      </c>
      <c r="J30">
        <f>Rodrigo!W30</f>
        <v>0</v>
      </c>
      <c r="K30">
        <f>Arthur!W30</f>
        <v>0</v>
      </c>
      <c r="L30">
        <f>Dudu!W30</f>
        <v>0</v>
      </c>
      <c r="M30">
        <f>Carol!W30</f>
        <v>0</v>
      </c>
      <c r="N30">
        <f>Ana!W30</f>
        <v>0</v>
      </c>
      <c r="O30">
        <f>Isa!W30</f>
        <v>0</v>
      </c>
      <c r="P30">
        <f>Trops!W30</f>
        <v>0</v>
      </c>
    </row>
    <row r="31" spans="1:16" ht="14.25" customHeight="1" x14ac:dyDescent="0.3">
      <c r="A31" s="2">
        <v>29</v>
      </c>
      <c r="B31" s="2">
        <f>IF('Tabela de Jogos'!C31&lt;&gt;"",Rodrigo!W31+B30,B30)</f>
        <v>22</v>
      </c>
      <c r="C31" s="2">
        <f>IF('Tabela de Jogos'!C31&lt;&gt;"",Arthur!W31+C30,C30)</f>
        <v>33</v>
      </c>
      <c r="D31" s="2">
        <f>IF('Tabela de Jogos'!C31&lt;&gt;"",Dudu!W31+D30,D30)</f>
        <v>11</v>
      </c>
      <c r="E31" s="2">
        <f>IF('Tabela de Jogos'!C31&lt;&gt;"",Carol!W31+E30,E30)</f>
        <v>22</v>
      </c>
      <c r="F31" s="2">
        <f>IF('Tabela de Jogos'!C31&lt;&gt;"",Ana!W31+F30,F30)</f>
        <v>30</v>
      </c>
      <c r="G31" s="2">
        <f>IF('Tabela de Jogos'!C31&lt;&gt;"",Isa!W31+G30,G30)</f>
        <v>19</v>
      </c>
      <c r="H31" s="2">
        <f>IF('Tabela de Jogos'!C31&lt;&gt;"",Trops!W31+H30,H30)</f>
        <v>16</v>
      </c>
      <c r="J31">
        <f>Rodrigo!W31</f>
        <v>0</v>
      </c>
      <c r="K31">
        <f>Arthur!W31</f>
        <v>0</v>
      </c>
      <c r="L31">
        <f>Dudu!W31</f>
        <v>0</v>
      </c>
      <c r="M31">
        <f>Carol!W31</f>
        <v>0</v>
      </c>
      <c r="N31">
        <f>Ana!W31</f>
        <v>0</v>
      </c>
      <c r="O31">
        <f>Isa!W31</f>
        <v>0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22</v>
      </c>
      <c r="C32" s="2">
        <f>IF('Tabela de Jogos'!C32&lt;&gt;"",Arthur!W32+C31,C31)</f>
        <v>33</v>
      </c>
      <c r="D32" s="2">
        <f>IF('Tabela de Jogos'!C32&lt;&gt;"",Dudu!W32+D31,D31)</f>
        <v>11</v>
      </c>
      <c r="E32" s="2">
        <f>IF('Tabela de Jogos'!C32&lt;&gt;"",Carol!W32+E31,E31)</f>
        <v>22</v>
      </c>
      <c r="F32" s="2">
        <f>IF('Tabela de Jogos'!C32&lt;&gt;"",Ana!W32+F31,F31)</f>
        <v>30</v>
      </c>
      <c r="G32" s="2">
        <f>IF('Tabela de Jogos'!C32&lt;&gt;"",Isa!W32+G31,G31)</f>
        <v>19</v>
      </c>
      <c r="H32" s="2">
        <f>IF('Tabela de Jogos'!C32&lt;&gt;"",Trops!W32+H31,H31)</f>
        <v>16</v>
      </c>
      <c r="J32">
        <f>Rodrigo!W32</f>
        <v>0</v>
      </c>
      <c r="K32">
        <f>Arthur!W32</f>
        <v>0</v>
      </c>
      <c r="L32">
        <f>Dudu!W32</f>
        <v>0</v>
      </c>
      <c r="M32">
        <f>Carol!W32</f>
        <v>0</v>
      </c>
      <c r="N32">
        <f>Ana!W32</f>
        <v>0</v>
      </c>
      <c r="O32">
        <f>Isa!W32</f>
        <v>0</v>
      </c>
      <c r="P32">
        <f>Trops!W32</f>
        <v>0</v>
      </c>
    </row>
    <row r="33" spans="1:16" ht="14.25" customHeight="1" x14ac:dyDescent="0.3">
      <c r="A33" s="2">
        <v>31</v>
      </c>
      <c r="B33" s="2">
        <f>IF('Tabela de Jogos'!C33&lt;&gt;"",Rodrigo!W33+B32,B32)</f>
        <v>22</v>
      </c>
      <c r="C33" s="2">
        <f>IF('Tabela de Jogos'!C33&lt;&gt;"",Arthur!W33+C32,C32)</f>
        <v>33</v>
      </c>
      <c r="D33" s="2">
        <f>IF('Tabela de Jogos'!C33&lt;&gt;"",Dudu!W33+D32,D32)</f>
        <v>11</v>
      </c>
      <c r="E33" s="2">
        <f>IF('Tabela de Jogos'!C33&lt;&gt;"",Carol!W33+E32,E32)</f>
        <v>22</v>
      </c>
      <c r="F33" s="2">
        <f>IF('Tabela de Jogos'!C33&lt;&gt;"",Ana!W33+F32,F32)</f>
        <v>30</v>
      </c>
      <c r="G33" s="2">
        <f>IF('Tabela de Jogos'!C33&lt;&gt;"",Isa!W33+G32,G32)</f>
        <v>19</v>
      </c>
      <c r="H33" s="2">
        <f>IF('Tabela de Jogos'!C33&lt;&gt;"",Trops!W33+H32,H32)</f>
        <v>16</v>
      </c>
      <c r="J33">
        <f>Rodrigo!W33</f>
        <v>0</v>
      </c>
      <c r="K33">
        <f>Arthur!W33</f>
        <v>0</v>
      </c>
      <c r="L33">
        <f>Dudu!W33</f>
        <v>0</v>
      </c>
      <c r="M33">
        <f>Carol!W33</f>
        <v>0</v>
      </c>
      <c r="N33">
        <f>Ana!W33</f>
        <v>0</v>
      </c>
      <c r="O33">
        <f>Isa!W33</f>
        <v>0</v>
      </c>
      <c r="P33">
        <f>Trops!W33</f>
        <v>0</v>
      </c>
    </row>
    <row r="34" spans="1:16" ht="14.25" customHeight="1" x14ac:dyDescent="0.3">
      <c r="A34" s="2">
        <v>32</v>
      </c>
      <c r="B34" s="2">
        <f>IF('Tabela de Jogos'!C34&lt;&gt;"",Rodrigo!W34+B33,B33)</f>
        <v>22</v>
      </c>
      <c r="C34" s="2">
        <f>IF('Tabela de Jogos'!C34&lt;&gt;"",Arthur!W34+C33,C33)</f>
        <v>33</v>
      </c>
      <c r="D34" s="2">
        <f>IF('Tabela de Jogos'!C34&lt;&gt;"",Dudu!W34+D33,D33)</f>
        <v>11</v>
      </c>
      <c r="E34" s="2">
        <f>IF('Tabela de Jogos'!C34&lt;&gt;"",Carol!W34+E33,E33)</f>
        <v>22</v>
      </c>
      <c r="F34" s="2">
        <f>IF('Tabela de Jogos'!C34&lt;&gt;"",Ana!W34+F33,F33)</f>
        <v>30</v>
      </c>
      <c r="G34" s="2">
        <f>IF('Tabela de Jogos'!C34&lt;&gt;"",Isa!W34+G33,G33)</f>
        <v>19</v>
      </c>
      <c r="H34" s="2">
        <f>IF('Tabela de Jogos'!C34&lt;&gt;"",Trops!W34+H33,H33)</f>
        <v>16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0</v>
      </c>
      <c r="N34">
        <f>Ana!W34</f>
        <v>0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22</v>
      </c>
      <c r="C35" s="2">
        <f>IF('Tabela de Jogos'!C35&lt;&gt;"",Arthur!W35+C34,C34)</f>
        <v>33</v>
      </c>
      <c r="D35" s="2">
        <f>IF('Tabela de Jogos'!C35&lt;&gt;"",Dudu!W35+D34,D34)</f>
        <v>11</v>
      </c>
      <c r="E35" s="2">
        <f>IF('Tabela de Jogos'!C35&lt;&gt;"",Carol!W35+E34,E34)</f>
        <v>22</v>
      </c>
      <c r="F35" s="2">
        <f>IF('Tabela de Jogos'!C35&lt;&gt;"",Ana!W35+F34,F34)</f>
        <v>30</v>
      </c>
      <c r="G35" s="2">
        <f>IF('Tabela de Jogos'!C35&lt;&gt;"",Isa!W35+G34,G34)</f>
        <v>19</v>
      </c>
      <c r="H35" s="2">
        <f>IF('Tabela de Jogos'!C35&lt;&gt;"",Trops!W35+H34,H34)</f>
        <v>16</v>
      </c>
      <c r="J35">
        <f>Rodrigo!W35</f>
        <v>0</v>
      </c>
      <c r="K35">
        <f>Arthur!W35</f>
        <v>0</v>
      </c>
      <c r="L35">
        <f>Dudu!W35</f>
        <v>0</v>
      </c>
      <c r="M35">
        <f>Carol!W35</f>
        <v>0</v>
      </c>
      <c r="N35">
        <f>Ana!W35</f>
        <v>0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22</v>
      </c>
      <c r="C36" s="2">
        <f>IF('Tabela de Jogos'!C36&lt;&gt;"",Arthur!W36+C35,C35)</f>
        <v>33</v>
      </c>
      <c r="D36" s="2">
        <f>IF('Tabela de Jogos'!C36&lt;&gt;"",Dudu!W36+D35,D35)</f>
        <v>11</v>
      </c>
      <c r="E36" s="2">
        <f>IF('Tabela de Jogos'!C36&lt;&gt;"",Carol!W36+E35,E35)</f>
        <v>22</v>
      </c>
      <c r="F36" s="2">
        <f>IF('Tabela de Jogos'!C36&lt;&gt;"",Ana!W36+F35,F35)</f>
        <v>30</v>
      </c>
      <c r="G36" s="2">
        <f>IF('Tabela de Jogos'!C36&lt;&gt;"",Isa!W36+G35,G35)</f>
        <v>19</v>
      </c>
      <c r="H36" s="2">
        <f>IF('Tabela de Jogos'!C36&lt;&gt;"",Trops!W36+H35,H35)</f>
        <v>16</v>
      </c>
      <c r="J36">
        <f>Rodrigo!W36</f>
        <v>0</v>
      </c>
      <c r="K36">
        <f>Arthur!W36</f>
        <v>0</v>
      </c>
      <c r="L36">
        <f>Dudu!W36</f>
        <v>0</v>
      </c>
      <c r="M36">
        <f>Carol!W36</f>
        <v>0</v>
      </c>
      <c r="N36">
        <f>Ana!W36</f>
        <v>0</v>
      </c>
      <c r="O36">
        <f>Isa!W36</f>
        <v>0</v>
      </c>
      <c r="P36">
        <f>Trops!W36</f>
        <v>0</v>
      </c>
    </row>
    <row r="37" spans="1:16" ht="14.25" customHeight="1" x14ac:dyDescent="0.3">
      <c r="A37" s="2">
        <v>35</v>
      </c>
      <c r="B37" s="2">
        <f>IF('Tabela de Jogos'!C37&lt;&gt;"",Rodrigo!W37+B36,B36)</f>
        <v>22</v>
      </c>
      <c r="C37" s="2">
        <f>IF('Tabela de Jogos'!C37&lt;&gt;"",Arthur!W37+C36,C36)</f>
        <v>33</v>
      </c>
      <c r="D37" s="2">
        <f>IF('Tabela de Jogos'!C37&lt;&gt;"",Dudu!W37+D36,D36)</f>
        <v>11</v>
      </c>
      <c r="E37" s="2">
        <f>IF('Tabela de Jogos'!C37&lt;&gt;"",Carol!W37+E36,E36)</f>
        <v>22</v>
      </c>
      <c r="F37" s="2">
        <f>IF('Tabela de Jogos'!C37&lt;&gt;"",Ana!W37+F36,F36)</f>
        <v>30</v>
      </c>
      <c r="G37" s="2">
        <f>IF('Tabela de Jogos'!C37&lt;&gt;"",Isa!W37+G36,G36)</f>
        <v>19</v>
      </c>
      <c r="H37" s="2">
        <f>IF('Tabela de Jogos'!C37&lt;&gt;"",Trops!W37+H36,H36)</f>
        <v>16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0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22</v>
      </c>
      <c r="C38" s="2">
        <f>IF('Tabela de Jogos'!C38&lt;&gt;"",Arthur!W38+C37,C37)</f>
        <v>33</v>
      </c>
      <c r="D38" s="2">
        <f>IF('Tabela de Jogos'!C38&lt;&gt;"",Dudu!W38+D37,D37)</f>
        <v>11</v>
      </c>
      <c r="E38" s="2">
        <f>IF('Tabela de Jogos'!C38&lt;&gt;"",Carol!W38+E37,E37)</f>
        <v>22</v>
      </c>
      <c r="F38" s="2">
        <f>IF('Tabela de Jogos'!C38&lt;&gt;"",Ana!W38+F37,F37)</f>
        <v>30</v>
      </c>
      <c r="G38" s="2">
        <f>IF('Tabela de Jogos'!C38&lt;&gt;"",Isa!W38+G37,G37)</f>
        <v>19</v>
      </c>
      <c r="H38" s="2">
        <f>IF('Tabela de Jogos'!C38&lt;&gt;"",Trops!W38+H37,H37)</f>
        <v>16</v>
      </c>
      <c r="J38">
        <f>Rodrigo!W38</f>
        <v>0</v>
      </c>
      <c r="K38">
        <f>Arthur!W38</f>
        <v>0</v>
      </c>
      <c r="L38">
        <f>Dudu!W38</f>
        <v>0</v>
      </c>
      <c r="M38">
        <f>Carol!W38</f>
        <v>0</v>
      </c>
      <c r="N38">
        <f>Ana!W38</f>
        <v>0</v>
      </c>
      <c r="O38">
        <f>Isa!W38</f>
        <v>0</v>
      </c>
      <c r="P38">
        <f>Trops!W38</f>
        <v>0</v>
      </c>
    </row>
    <row r="39" spans="1:16" ht="14.25" customHeight="1" x14ac:dyDescent="0.3">
      <c r="A39" s="2">
        <v>37</v>
      </c>
      <c r="B39" s="2">
        <f>IF('Tabela de Jogos'!C39&lt;&gt;"",Rodrigo!W39+B38,B38)</f>
        <v>22</v>
      </c>
      <c r="C39" s="2">
        <f>IF('Tabela de Jogos'!C39&lt;&gt;"",Arthur!W39+C38,C38)</f>
        <v>33</v>
      </c>
      <c r="D39" s="2">
        <f>IF('Tabela de Jogos'!C39&lt;&gt;"",Dudu!W39+D38,D38)</f>
        <v>11</v>
      </c>
      <c r="E39" s="2">
        <f>IF('Tabela de Jogos'!C39&lt;&gt;"",Carol!W39+E38,E38)</f>
        <v>22</v>
      </c>
      <c r="F39" s="2">
        <f>IF('Tabela de Jogos'!C39&lt;&gt;"",Ana!W39+F38,F38)</f>
        <v>30</v>
      </c>
      <c r="G39" s="2">
        <f>IF('Tabela de Jogos'!C39&lt;&gt;"",Isa!W39+G38,G38)</f>
        <v>19</v>
      </c>
      <c r="H39" s="2">
        <f>IF('Tabela de Jogos'!C39&lt;&gt;"",Trops!W39+H38,H38)</f>
        <v>16</v>
      </c>
      <c r="J39">
        <f>Rodrigo!W39</f>
        <v>0</v>
      </c>
      <c r="K39">
        <f>Arthur!W39</f>
        <v>0</v>
      </c>
      <c r="L39">
        <f>Dudu!W39</f>
        <v>0</v>
      </c>
      <c r="M39">
        <f>Carol!W39</f>
        <v>0</v>
      </c>
      <c r="N39">
        <f>Ana!W39</f>
        <v>0</v>
      </c>
      <c r="O39">
        <f>Isa!W39</f>
        <v>0</v>
      </c>
      <c r="P39">
        <f>Trops!W39</f>
        <v>0</v>
      </c>
    </row>
    <row r="40" spans="1:16" ht="14.25" customHeight="1" x14ac:dyDescent="0.3">
      <c r="A40" s="2">
        <v>38</v>
      </c>
      <c r="B40" s="2">
        <f>IF('Tabela de Jogos'!C40&lt;&gt;"",Rodrigo!W40+B39,B39)</f>
        <v>22</v>
      </c>
      <c r="C40" s="2">
        <f>IF('Tabela de Jogos'!C40&lt;&gt;"",Arthur!W40+C39,C39)</f>
        <v>33</v>
      </c>
      <c r="D40" s="2">
        <f>IF('Tabela de Jogos'!C40&lt;&gt;"",Dudu!W40+D39,D39)</f>
        <v>11</v>
      </c>
      <c r="E40" s="2">
        <f>IF('Tabela de Jogos'!C40&lt;&gt;"",Carol!W40+E39,E39)</f>
        <v>22</v>
      </c>
      <c r="F40" s="2">
        <f>IF('Tabela de Jogos'!C40&lt;&gt;"",Ana!W40+F39,F39)</f>
        <v>30</v>
      </c>
      <c r="G40" s="2">
        <f>IF('Tabela de Jogos'!C40&lt;&gt;"",Isa!W40+G39,G39)</f>
        <v>19</v>
      </c>
      <c r="H40" s="2">
        <f>IF('Tabela de Jogos'!C40&lt;&gt;"",Trops!W40+H39,H39)</f>
        <v>16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22</v>
      </c>
      <c r="C41" s="2">
        <f>IF('Tabela de Jogos'!C41&lt;&gt;"",Arthur!W41+C40,C40)</f>
        <v>33</v>
      </c>
      <c r="D41" s="2">
        <f>IF('Tabela de Jogos'!C41&lt;&gt;"",Dudu!W41+D40,D40)</f>
        <v>11</v>
      </c>
      <c r="E41" s="2">
        <f>IF('Tabela de Jogos'!C41&lt;&gt;"",Carol!W41+E40,E40)</f>
        <v>22</v>
      </c>
      <c r="F41" s="2">
        <f>IF('Tabela de Jogos'!C41&lt;&gt;"",Ana!W41+F40,F40)</f>
        <v>30</v>
      </c>
      <c r="G41" s="2">
        <f>IF('Tabela de Jogos'!C41&lt;&gt;"",Isa!W41+G40,G40)</f>
        <v>19</v>
      </c>
      <c r="H41" s="2">
        <f>IF('Tabela de Jogos'!C41&lt;&gt;"",Trops!W41+H40,H40)</f>
        <v>16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0</v>
      </c>
    </row>
    <row r="42" spans="1:16" ht="14.25" customHeight="1" x14ac:dyDescent="0.3">
      <c r="A42" s="2">
        <v>40</v>
      </c>
      <c r="B42" s="2">
        <f>IF('Tabela de Jogos'!C42&lt;&gt;"",Rodrigo!W42+B41,B41)</f>
        <v>22</v>
      </c>
      <c r="C42" s="2">
        <f>IF('Tabela de Jogos'!C42&lt;&gt;"",Arthur!W42+C41,C41)</f>
        <v>33</v>
      </c>
      <c r="D42" s="2">
        <f>IF('Tabela de Jogos'!C42&lt;&gt;"",Dudu!W42+D41,D41)</f>
        <v>11</v>
      </c>
      <c r="E42" s="2">
        <f>IF('Tabela de Jogos'!C42&lt;&gt;"",Carol!W42+E41,E41)</f>
        <v>22</v>
      </c>
      <c r="F42" s="2">
        <f>IF('Tabela de Jogos'!C42&lt;&gt;"",Ana!W42+F41,F41)</f>
        <v>30</v>
      </c>
      <c r="G42" s="2">
        <f>IF('Tabela de Jogos'!C42&lt;&gt;"",Isa!W42+G41,G41)</f>
        <v>19</v>
      </c>
      <c r="H42" s="2">
        <f>IF('Tabela de Jogos'!C42&lt;&gt;"",Trops!W42+H41,H41)</f>
        <v>16</v>
      </c>
      <c r="J42">
        <f>Rodrigo!W42</f>
        <v>0</v>
      </c>
      <c r="K42">
        <f>Arthur!W42</f>
        <v>0</v>
      </c>
      <c r="L42">
        <f>Dudu!W42</f>
        <v>0</v>
      </c>
      <c r="M42">
        <f>Carol!W42</f>
        <v>0</v>
      </c>
      <c r="N42">
        <f>Ana!W42</f>
        <v>0</v>
      </c>
      <c r="O42">
        <f>Isa!W42</f>
        <v>0</v>
      </c>
      <c r="P42">
        <f>Trops!W42</f>
        <v>0</v>
      </c>
    </row>
    <row r="43" spans="1:16" ht="14.25" customHeight="1" x14ac:dyDescent="0.3">
      <c r="A43" s="2">
        <v>41</v>
      </c>
      <c r="B43" s="2">
        <f>IF('Tabela de Jogos'!C43&lt;&gt;"",Rodrigo!W43+B42,B42)</f>
        <v>22</v>
      </c>
      <c r="C43" s="2">
        <f>IF('Tabela de Jogos'!C43&lt;&gt;"",Arthur!W43+C42,C42)</f>
        <v>33</v>
      </c>
      <c r="D43" s="2">
        <f>IF('Tabela de Jogos'!C43&lt;&gt;"",Dudu!W43+D42,D42)</f>
        <v>11</v>
      </c>
      <c r="E43" s="2">
        <f>IF('Tabela de Jogos'!C43&lt;&gt;"",Carol!W43+E42,E42)</f>
        <v>22</v>
      </c>
      <c r="F43" s="2">
        <f>IF('Tabela de Jogos'!C43&lt;&gt;"",Ana!W43+F42,F42)</f>
        <v>30</v>
      </c>
      <c r="G43" s="2">
        <f>IF('Tabela de Jogos'!C43&lt;&gt;"",Isa!W43+G42,G42)</f>
        <v>19</v>
      </c>
      <c r="H43" s="2">
        <f>IF('Tabela de Jogos'!C43&lt;&gt;"",Trops!W43+H42,H42)</f>
        <v>16</v>
      </c>
      <c r="J43">
        <f>Rodrigo!W43</f>
        <v>0</v>
      </c>
      <c r="K43">
        <f>Arthur!W43</f>
        <v>0</v>
      </c>
      <c r="L43">
        <f>Dudu!W43</f>
        <v>0</v>
      </c>
      <c r="M43">
        <f>Carol!W43</f>
        <v>0</v>
      </c>
      <c r="N43">
        <f>Ana!W43</f>
        <v>0</v>
      </c>
      <c r="O43">
        <f>Isa!W43</f>
        <v>0</v>
      </c>
      <c r="P43">
        <f>Trops!W43</f>
        <v>0</v>
      </c>
    </row>
    <row r="44" spans="1:16" ht="14.25" customHeight="1" x14ac:dyDescent="0.3">
      <c r="A44" s="2">
        <v>42</v>
      </c>
      <c r="B44" s="2">
        <f>IF('Tabela de Jogos'!C44&lt;&gt;"",Rodrigo!W44+B43,B43)</f>
        <v>22</v>
      </c>
      <c r="C44" s="2">
        <f>IF('Tabela de Jogos'!C44&lt;&gt;"",Arthur!W44+C43,C43)</f>
        <v>33</v>
      </c>
      <c r="D44" s="2">
        <f>IF('Tabela de Jogos'!C44&lt;&gt;"",Dudu!W44+D43,D43)</f>
        <v>11</v>
      </c>
      <c r="E44" s="2">
        <f>IF('Tabela de Jogos'!C44&lt;&gt;"",Carol!W44+E43,E43)</f>
        <v>22</v>
      </c>
      <c r="F44" s="2">
        <f>IF('Tabela de Jogos'!C44&lt;&gt;"",Ana!W44+F43,F43)</f>
        <v>30</v>
      </c>
      <c r="G44" s="2">
        <f>IF('Tabela de Jogos'!C44&lt;&gt;"",Isa!W44+G43,G43)</f>
        <v>19</v>
      </c>
      <c r="H44" s="2">
        <f>IF('Tabela de Jogos'!C44&lt;&gt;"",Trops!W44+H43,H43)</f>
        <v>16</v>
      </c>
      <c r="J44">
        <f>Rodrigo!W44</f>
        <v>0</v>
      </c>
      <c r="K44">
        <f>Arthur!W44</f>
        <v>0</v>
      </c>
      <c r="L44">
        <f>Dudu!W44</f>
        <v>0</v>
      </c>
      <c r="M44">
        <f>Carol!W44</f>
        <v>0</v>
      </c>
      <c r="N44">
        <f>Ana!W44</f>
        <v>0</v>
      </c>
      <c r="O44">
        <f>Isa!W44</f>
        <v>0</v>
      </c>
      <c r="P44">
        <f>Trops!W44</f>
        <v>0</v>
      </c>
    </row>
    <row r="45" spans="1:16" ht="14.25" customHeight="1" x14ac:dyDescent="0.3">
      <c r="A45" s="2">
        <v>43</v>
      </c>
      <c r="B45" s="2">
        <f>IF('Tabela de Jogos'!C45&lt;&gt;"",Rodrigo!W45+B44,B44)</f>
        <v>22</v>
      </c>
      <c r="C45" s="2">
        <f>IF('Tabela de Jogos'!C45&lt;&gt;"",Arthur!W45+C44,C44)</f>
        <v>33</v>
      </c>
      <c r="D45" s="2">
        <f>IF('Tabela de Jogos'!C45&lt;&gt;"",Dudu!W45+D44,D44)</f>
        <v>11</v>
      </c>
      <c r="E45" s="2">
        <f>IF('Tabela de Jogos'!C45&lt;&gt;"",Carol!W45+E44,E44)</f>
        <v>22</v>
      </c>
      <c r="F45" s="2">
        <f>IF('Tabela de Jogos'!C45&lt;&gt;"",Ana!W45+F44,F44)</f>
        <v>30</v>
      </c>
      <c r="G45" s="2">
        <f>IF('Tabela de Jogos'!C45&lt;&gt;"",Isa!W45+G44,G44)</f>
        <v>19</v>
      </c>
      <c r="H45" s="2">
        <f>IF('Tabela de Jogos'!C45&lt;&gt;"",Trops!W45+H44,H44)</f>
        <v>16</v>
      </c>
      <c r="J45">
        <f>Rodrigo!W45</f>
        <v>0</v>
      </c>
      <c r="K45">
        <f>Arthur!W45</f>
        <v>0</v>
      </c>
      <c r="L45">
        <f>Dudu!W45</f>
        <v>0</v>
      </c>
      <c r="M45">
        <f>Carol!W45</f>
        <v>0</v>
      </c>
      <c r="N45">
        <f>Ana!W45</f>
        <v>0</v>
      </c>
      <c r="O45">
        <f>Isa!W45</f>
        <v>0</v>
      </c>
      <c r="P45">
        <f>Trops!W45</f>
        <v>0</v>
      </c>
    </row>
    <row r="46" spans="1:16" ht="14.25" customHeight="1" x14ac:dyDescent="0.3">
      <c r="A46" s="2">
        <v>44</v>
      </c>
      <c r="B46" s="2">
        <f>IF('Tabela de Jogos'!C46&lt;&gt;"",Rodrigo!W46+B45,B45)</f>
        <v>22</v>
      </c>
      <c r="C46" s="2">
        <f>IF('Tabela de Jogos'!C46&lt;&gt;"",Arthur!W46+C45,C45)</f>
        <v>33</v>
      </c>
      <c r="D46" s="2">
        <f>IF('Tabela de Jogos'!C46&lt;&gt;"",Dudu!W46+D45,D45)</f>
        <v>11</v>
      </c>
      <c r="E46" s="2">
        <f>IF('Tabela de Jogos'!C46&lt;&gt;"",Carol!W46+E45,E45)</f>
        <v>22</v>
      </c>
      <c r="F46" s="2">
        <f>IF('Tabela de Jogos'!C46&lt;&gt;"",Ana!W46+F45,F45)</f>
        <v>30</v>
      </c>
      <c r="G46" s="2">
        <f>IF('Tabela de Jogos'!C46&lt;&gt;"",Isa!W46+G45,G45)</f>
        <v>19</v>
      </c>
      <c r="H46" s="2">
        <f>IF('Tabela de Jogos'!C46&lt;&gt;"",Trops!W46+H45,H45)</f>
        <v>16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22</v>
      </c>
      <c r="C47" s="2">
        <f>IF('Tabela de Jogos'!C47&lt;&gt;"",Arthur!W47+C46,C46)</f>
        <v>33</v>
      </c>
      <c r="D47" s="2">
        <f>IF('Tabela de Jogos'!C47&lt;&gt;"",Dudu!W47+D46,D46)</f>
        <v>11</v>
      </c>
      <c r="E47" s="2">
        <f>IF('Tabela de Jogos'!C47&lt;&gt;"",Carol!W47+E46,E46)</f>
        <v>22</v>
      </c>
      <c r="F47" s="2">
        <f>IF('Tabela de Jogos'!C47&lt;&gt;"",Ana!W47+F46,F46)</f>
        <v>30</v>
      </c>
      <c r="G47" s="2">
        <f>IF('Tabela de Jogos'!C47&lt;&gt;"",Isa!W47+G46,G46)</f>
        <v>19</v>
      </c>
      <c r="H47" s="2">
        <f>IF('Tabela de Jogos'!C47&lt;&gt;"",Trops!W47+H46,H46)</f>
        <v>16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22</v>
      </c>
      <c r="C48" s="2">
        <f>IF('Tabela de Jogos'!C48&lt;&gt;"",Arthur!W48+C47,C47)</f>
        <v>33</v>
      </c>
      <c r="D48" s="2">
        <f>IF('Tabela de Jogos'!C48&lt;&gt;"",Dudu!W48+D47,D47)</f>
        <v>11</v>
      </c>
      <c r="E48" s="2">
        <f>IF('Tabela de Jogos'!C48&lt;&gt;"",Carol!W48+E47,E47)</f>
        <v>22</v>
      </c>
      <c r="F48" s="2">
        <f>IF('Tabela de Jogos'!C48&lt;&gt;"",Ana!W48+F47,F47)</f>
        <v>30</v>
      </c>
      <c r="G48" s="2">
        <f>IF('Tabela de Jogos'!C48&lt;&gt;"",Isa!W48+G47,G47)</f>
        <v>19</v>
      </c>
      <c r="H48" s="2">
        <f>IF('Tabela de Jogos'!C48&lt;&gt;"",Trops!W48+H47,H47)</f>
        <v>16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22</v>
      </c>
      <c r="C49" s="2">
        <f>IF('Tabela de Jogos'!C49&lt;&gt;"",Arthur!W49+C48,C48)</f>
        <v>33</v>
      </c>
      <c r="D49" s="2">
        <f>IF('Tabela de Jogos'!C49&lt;&gt;"",Dudu!W49+D48,D48)</f>
        <v>11</v>
      </c>
      <c r="E49" s="2">
        <f>IF('Tabela de Jogos'!C49&lt;&gt;"",Carol!W49+E48,E48)</f>
        <v>22</v>
      </c>
      <c r="F49" s="2">
        <f>IF('Tabela de Jogos'!C49&lt;&gt;"",Ana!W49+F48,F48)</f>
        <v>30</v>
      </c>
      <c r="G49" s="2">
        <f>IF('Tabela de Jogos'!C49&lt;&gt;"",Isa!W49+G48,G48)</f>
        <v>19</v>
      </c>
      <c r="H49" s="2">
        <f>IF('Tabela de Jogos'!C49&lt;&gt;"",Trops!W49+H48,H48)</f>
        <v>16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22</v>
      </c>
      <c r="C50" s="2">
        <f>IF('Tabela de Jogos'!C50&lt;&gt;"",Arthur!W50+C49,C49)</f>
        <v>33</v>
      </c>
      <c r="D50" s="2">
        <f>IF('Tabela de Jogos'!C50&lt;&gt;"",Dudu!W50+D49,D49)</f>
        <v>11</v>
      </c>
      <c r="E50" s="2">
        <f>IF('Tabela de Jogos'!C50&lt;&gt;"",Carol!W50+E49,E49)</f>
        <v>22</v>
      </c>
      <c r="F50" s="2">
        <f>IF('Tabela de Jogos'!C50&lt;&gt;"",Ana!W50+F49,F49)</f>
        <v>30</v>
      </c>
      <c r="G50" s="2">
        <f>IF('Tabela de Jogos'!C50&lt;&gt;"",Isa!W50+G49,G49)</f>
        <v>19</v>
      </c>
      <c r="H50" s="2">
        <f>IF('Tabela de Jogos'!C50&lt;&gt;"",Trops!W50+H49,H49)</f>
        <v>16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22</v>
      </c>
      <c r="C51" s="2">
        <f>IF('Tabela de Jogos'!C51&lt;&gt;"",Arthur!W51+C50,C50)</f>
        <v>33</v>
      </c>
      <c r="D51" s="2">
        <f>IF('Tabela de Jogos'!C51&lt;&gt;"",Dudu!W51+D50,D50)</f>
        <v>11</v>
      </c>
      <c r="E51" s="2">
        <f>IF('Tabela de Jogos'!C51&lt;&gt;"",Carol!W51+E50,E50)</f>
        <v>22</v>
      </c>
      <c r="F51" s="2">
        <f>IF('Tabela de Jogos'!C51&lt;&gt;"",Ana!W51+F50,F50)</f>
        <v>30</v>
      </c>
      <c r="G51" s="2">
        <f>IF('Tabela de Jogos'!C51&lt;&gt;"",Isa!W51+G50,G50)</f>
        <v>19</v>
      </c>
      <c r="H51" s="2">
        <f>IF('Tabela de Jogos'!C51&lt;&gt;"",Trops!W51+H50,H50)</f>
        <v>16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22</v>
      </c>
      <c r="C52" s="2">
        <f>IF('Tabela de Jogos'!C52&lt;&gt;"",Arthur!W52+C51,C51)</f>
        <v>33</v>
      </c>
      <c r="D52" s="2">
        <f>IF('Tabela de Jogos'!C52&lt;&gt;"",Dudu!W52+D51,D51)</f>
        <v>11</v>
      </c>
      <c r="E52" s="2">
        <f>IF('Tabela de Jogos'!C52&lt;&gt;"",Carol!W52+E51,E51)</f>
        <v>22</v>
      </c>
      <c r="F52" s="2">
        <f>IF('Tabela de Jogos'!C52&lt;&gt;"",Ana!W52+F51,F51)</f>
        <v>30</v>
      </c>
      <c r="G52" s="2">
        <f>IF('Tabela de Jogos'!C52&lt;&gt;"",Isa!W52+G51,G51)</f>
        <v>19</v>
      </c>
      <c r="H52" s="2">
        <f>IF('Tabela de Jogos'!C52&lt;&gt;"",Trops!W52+H51,H51)</f>
        <v>16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22</v>
      </c>
      <c r="C53" s="2">
        <f>IF('Tabela de Jogos'!C53&lt;&gt;"",Arthur!W53+C52,C52)</f>
        <v>33</v>
      </c>
      <c r="D53" s="2">
        <f>IF('Tabela de Jogos'!C53&lt;&gt;"",Dudu!W53+D52,D52)</f>
        <v>11</v>
      </c>
      <c r="E53" s="2">
        <f>IF('Tabela de Jogos'!C53&lt;&gt;"",Carol!W53+E52,E52)</f>
        <v>22</v>
      </c>
      <c r="F53" s="2">
        <f>IF('Tabela de Jogos'!C53&lt;&gt;"",Ana!W53+F52,F52)</f>
        <v>30</v>
      </c>
      <c r="G53" s="2">
        <f>IF('Tabela de Jogos'!C53&lt;&gt;"",Isa!W53+G52,G52)</f>
        <v>19</v>
      </c>
      <c r="H53" s="2">
        <f>IF('Tabela de Jogos'!C53&lt;&gt;"",Trops!W53+H52,H52)</f>
        <v>16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22</v>
      </c>
      <c r="C54" s="2">
        <f>IF('Tabela de Jogos'!C54&lt;&gt;"",Arthur!W54+C53,C53)</f>
        <v>33</v>
      </c>
      <c r="D54" s="2">
        <f>IF('Tabela de Jogos'!C54&lt;&gt;"",Dudu!W54+D53,D53)</f>
        <v>11</v>
      </c>
      <c r="E54" s="2">
        <f>IF('Tabela de Jogos'!C54&lt;&gt;"",Carol!W54+E53,E53)</f>
        <v>22</v>
      </c>
      <c r="F54" s="2">
        <f>IF('Tabela de Jogos'!C54&lt;&gt;"",Ana!W54+F53,F53)</f>
        <v>30</v>
      </c>
      <c r="G54" s="2">
        <f>IF('Tabela de Jogos'!C54&lt;&gt;"",Isa!W54+G53,G53)</f>
        <v>19</v>
      </c>
      <c r="H54" s="2">
        <f>IF('Tabela de Jogos'!C54&lt;&gt;"",Trops!W54+H53,H53)</f>
        <v>16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22</v>
      </c>
      <c r="C55" s="2">
        <f>IF('Tabela de Jogos'!C55&lt;&gt;"",Arthur!W55+C54,C54)</f>
        <v>33</v>
      </c>
      <c r="D55" s="2">
        <f>IF('Tabela de Jogos'!C55&lt;&gt;"",Dudu!W55+D54,D54)</f>
        <v>11</v>
      </c>
      <c r="E55" s="2">
        <f>IF('Tabela de Jogos'!C55&lt;&gt;"",Carol!W55+E54,E54)</f>
        <v>22</v>
      </c>
      <c r="F55" s="2">
        <f>IF('Tabela de Jogos'!C55&lt;&gt;"",Ana!W55+F54,F54)</f>
        <v>30</v>
      </c>
      <c r="G55" s="2">
        <f>IF('Tabela de Jogos'!C55&lt;&gt;"",Isa!W55+G54,G54)</f>
        <v>19</v>
      </c>
      <c r="H55" s="2">
        <f>IF('Tabela de Jogos'!C55&lt;&gt;"",Trops!W55+H54,H54)</f>
        <v>16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22</v>
      </c>
      <c r="C56" s="2">
        <f>IF('Tabela de Jogos'!C56&lt;&gt;"",Arthur!W56+C55,C55)</f>
        <v>33</v>
      </c>
      <c r="D56" s="2">
        <f>IF('Tabela de Jogos'!C56&lt;&gt;"",Dudu!W56+D55,D55)</f>
        <v>11</v>
      </c>
      <c r="E56" s="2">
        <f>IF('Tabela de Jogos'!C56&lt;&gt;"",Carol!W56+E55,E55)</f>
        <v>22</v>
      </c>
      <c r="F56" s="2">
        <f>IF('Tabela de Jogos'!C56&lt;&gt;"",Ana!W56+F55,F55)</f>
        <v>30</v>
      </c>
      <c r="G56" s="2">
        <f>IF('Tabela de Jogos'!C56&lt;&gt;"",Isa!W56+G55,G55)</f>
        <v>19</v>
      </c>
      <c r="H56" s="2">
        <f>IF('Tabela de Jogos'!C56&lt;&gt;"",Trops!W56+H55,H55)</f>
        <v>16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22</v>
      </c>
      <c r="C57" s="2">
        <f>IF('Tabela de Jogos'!C57&lt;&gt;"",Arthur!W57+C56,C56)</f>
        <v>33</v>
      </c>
      <c r="D57" s="2">
        <f>IF('Tabela de Jogos'!C57&lt;&gt;"",Dudu!W57+D56,D56)</f>
        <v>11</v>
      </c>
      <c r="E57" s="2">
        <f>IF('Tabela de Jogos'!C57&lt;&gt;"",Carol!W57+E56,E56)</f>
        <v>22</v>
      </c>
      <c r="F57" s="2">
        <f>IF('Tabela de Jogos'!C57&lt;&gt;"",Ana!W57+F56,F56)</f>
        <v>30</v>
      </c>
      <c r="G57" s="2">
        <f>IF('Tabela de Jogos'!C57&lt;&gt;"",Isa!W57+G56,G56)</f>
        <v>19</v>
      </c>
      <c r="H57" s="2">
        <f>IF('Tabela de Jogos'!C57&lt;&gt;"",Trops!W57+H56,H56)</f>
        <v>16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22</v>
      </c>
      <c r="C58" s="2">
        <f>IF('Tabela de Jogos'!C58&lt;&gt;"",Arthur!W58+C57,C57)</f>
        <v>33</v>
      </c>
      <c r="D58" s="2">
        <f>IF('Tabela de Jogos'!C58&lt;&gt;"",Dudu!W58+D57,D57)</f>
        <v>11</v>
      </c>
      <c r="E58" s="2">
        <f>IF('Tabela de Jogos'!C58&lt;&gt;"",Carol!W58+E57,E57)</f>
        <v>22</v>
      </c>
      <c r="F58" s="2">
        <f>IF('Tabela de Jogos'!C58&lt;&gt;"",Ana!W58+F57,F57)</f>
        <v>30</v>
      </c>
      <c r="G58" s="2">
        <f>IF('Tabela de Jogos'!C58&lt;&gt;"",Isa!W58+G57,G57)</f>
        <v>19</v>
      </c>
      <c r="H58" s="2">
        <f>IF('Tabela de Jogos'!C58&lt;&gt;"",Trops!W58+H57,H57)</f>
        <v>16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22</v>
      </c>
      <c r="C59" s="2">
        <f>IF('Tabela de Jogos'!C59&lt;&gt;"",Arthur!W59+C58,C58)</f>
        <v>33</v>
      </c>
      <c r="D59" s="2">
        <f>IF('Tabela de Jogos'!C59&lt;&gt;"",Dudu!W59+D58,D58)</f>
        <v>11</v>
      </c>
      <c r="E59" s="2">
        <f>IF('Tabela de Jogos'!C59&lt;&gt;"",Carol!W59+E58,E58)</f>
        <v>22</v>
      </c>
      <c r="F59" s="2">
        <f>IF('Tabela de Jogos'!C59&lt;&gt;"",Ana!W59+F58,F58)</f>
        <v>30</v>
      </c>
      <c r="G59" s="2">
        <f>IF('Tabela de Jogos'!C59&lt;&gt;"",Isa!W59+G58,G58)</f>
        <v>19</v>
      </c>
      <c r="H59" s="2">
        <f>IF('Tabela de Jogos'!C59&lt;&gt;"",Trops!W59+H58,H58)</f>
        <v>16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22</v>
      </c>
      <c r="C60" s="2">
        <f>IF('Tabela de Jogos'!C60&lt;&gt;"",Arthur!W60+C59,C59)</f>
        <v>33</v>
      </c>
      <c r="D60" s="2">
        <f>IF('Tabela de Jogos'!C60&lt;&gt;"",Dudu!W60+D59,D59)</f>
        <v>11</v>
      </c>
      <c r="E60" s="2">
        <f>IF('Tabela de Jogos'!C60&lt;&gt;"",Carol!W60+E59,E59)</f>
        <v>22</v>
      </c>
      <c r="F60" s="2">
        <f>IF('Tabela de Jogos'!C60&lt;&gt;"",Ana!W60+F59,F59)</f>
        <v>30</v>
      </c>
      <c r="G60" s="2">
        <f>IF('Tabela de Jogos'!C60&lt;&gt;"",Isa!W60+G59,G59)</f>
        <v>19</v>
      </c>
      <c r="H60" s="2">
        <f>IF('Tabela de Jogos'!C60&lt;&gt;"",Trops!W60+H59,H59)</f>
        <v>16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22</v>
      </c>
      <c r="C61" s="2">
        <f>IF('Tabela de Jogos'!C61&lt;&gt;"",Arthur!W61+C60,C60)</f>
        <v>33</v>
      </c>
      <c r="D61" s="2">
        <f>IF('Tabela de Jogos'!C61&lt;&gt;"",Dudu!W61+D60,D60)</f>
        <v>11</v>
      </c>
      <c r="E61" s="2">
        <f>IF('Tabela de Jogos'!C61&lt;&gt;"",Carol!W61+E60,E60)</f>
        <v>22</v>
      </c>
      <c r="F61" s="2">
        <f>IF('Tabela de Jogos'!C61&lt;&gt;"",Ana!W61+F60,F60)</f>
        <v>30</v>
      </c>
      <c r="G61" s="2">
        <f>IF('Tabela de Jogos'!C61&lt;&gt;"",Isa!W61+G60,G60)</f>
        <v>19</v>
      </c>
      <c r="H61" s="2">
        <f>IF('Tabela de Jogos'!C61&lt;&gt;"",Trops!W61+H60,H60)</f>
        <v>16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22</v>
      </c>
      <c r="C62" s="2">
        <f>IF('Tabela de Jogos'!C62&lt;&gt;"",Arthur!W62+C61,C61)</f>
        <v>33</v>
      </c>
      <c r="D62" s="2">
        <f>IF('Tabela de Jogos'!C62&lt;&gt;"",Dudu!W62+D61,D61)</f>
        <v>11</v>
      </c>
      <c r="E62" s="2">
        <f>IF('Tabela de Jogos'!C62&lt;&gt;"",Carol!W62+E61,E61)</f>
        <v>22</v>
      </c>
      <c r="F62" s="2">
        <f>IF('Tabela de Jogos'!C62&lt;&gt;"",Ana!W62+F61,F61)</f>
        <v>30</v>
      </c>
      <c r="G62" s="2">
        <f>IF('Tabela de Jogos'!C62&lt;&gt;"",Isa!W62+G61,G61)</f>
        <v>19</v>
      </c>
      <c r="H62" s="2">
        <f>IF('Tabela de Jogos'!C62&lt;&gt;"",Trops!W62+H61,H61)</f>
        <v>16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22</v>
      </c>
      <c r="C63" s="2">
        <f>IF('Tabela de Jogos'!C63&lt;&gt;"",Arthur!W63+C62,C62)</f>
        <v>33</v>
      </c>
      <c r="D63" s="2">
        <f>IF('Tabela de Jogos'!C63&lt;&gt;"",Dudu!W63+D62,D62)</f>
        <v>11</v>
      </c>
      <c r="E63" s="2">
        <f>IF('Tabela de Jogos'!C63&lt;&gt;"",Carol!W63+E62,E62)</f>
        <v>22</v>
      </c>
      <c r="F63" s="2">
        <f>IF('Tabela de Jogos'!C63&lt;&gt;"",Ana!W63+F62,F62)</f>
        <v>30</v>
      </c>
      <c r="G63" s="2">
        <f>IF('Tabela de Jogos'!C63&lt;&gt;"",Isa!W63+G62,G62)</f>
        <v>19</v>
      </c>
      <c r="H63" s="2">
        <f>IF('Tabela de Jogos'!C63&lt;&gt;"",Trops!W63+H62,H62)</f>
        <v>16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22</v>
      </c>
      <c r="C64" s="2">
        <f>IF('Tabela de Jogos'!C64&lt;&gt;"",Arthur!W64+C63,C63)</f>
        <v>33</v>
      </c>
      <c r="D64" s="2">
        <f>IF('Tabela de Jogos'!C64&lt;&gt;"",Dudu!W64+D63,D63)</f>
        <v>11</v>
      </c>
      <c r="E64" s="2">
        <f>IF('Tabela de Jogos'!C64&lt;&gt;"",Carol!W64+E63,E63)</f>
        <v>22</v>
      </c>
      <c r="F64" s="2">
        <f>IF('Tabela de Jogos'!C64&lt;&gt;"",Ana!W64+F63,F63)</f>
        <v>30</v>
      </c>
      <c r="G64" s="2">
        <f>IF('Tabela de Jogos'!C64&lt;&gt;"",Isa!W64+G63,G63)</f>
        <v>19</v>
      </c>
      <c r="H64" s="2">
        <f>IF('Tabela de Jogos'!C64&lt;&gt;"",Trops!W64+H63,H63)</f>
        <v>16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22</v>
      </c>
      <c r="C65" s="2">
        <f>IF('Tabela de Jogos'!C65&lt;&gt;"",Arthur!W65+C64,C64)</f>
        <v>33</v>
      </c>
      <c r="D65" s="2">
        <f>IF('Tabela de Jogos'!C65&lt;&gt;"",Dudu!W65+D64,D64)</f>
        <v>11</v>
      </c>
      <c r="E65" s="2">
        <f>IF('Tabela de Jogos'!C65&lt;&gt;"",Carol!W65+E64,E64)</f>
        <v>22</v>
      </c>
      <c r="F65" s="2">
        <f>IF('Tabela de Jogos'!C65&lt;&gt;"",Ana!W65+F64,F64)</f>
        <v>30</v>
      </c>
      <c r="G65" s="2">
        <f>IF('Tabela de Jogos'!C65&lt;&gt;"",Isa!W65+G64,G64)</f>
        <v>19</v>
      </c>
      <c r="H65" s="2">
        <f>IF('Tabela de Jogos'!C65&lt;&gt;"",Trops!W65+H64,H64)</f>
        <v>16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22</v>
      </c>
      <c r="C66" s="2">
        <f>IF('Tabela de Jogos'!C66&lt;&gt;"",Arthur!W66+C65,C65)</f>
        <v>33</v>
      </c>
      <c r="D66" s="2">
        <f>IF('Tabela de Jogos'!C66&lt;&gt;"",Dudu!W66+D65,D65)</f>
        <v>11</v>
      </c>
      <c r="E66" s="2">
        <f>IF('Tabela de Jogos'!C66&lt;&gt;"",Carol!W66+E65,E65)</f>
        <v>22</v>
      </c>
      <c r="F66" s="2">
        <f>IF('Tabela de Jogos'!C66&lt;&gt;"",Ana!W66+F65,F65)</f>
        <v>30</v>
      </c>
      <c r="G66" s="2">
        <f>IF('Tabela de Jogos'!C66&lt;&gt;"",Isa!W66+G65,G65)</f>
        <v>19</v>
      </c>
      <c r="H66" s="2">
        <f>IF('Tabela de Jogos'!C66&lt;&gt;"",Trops!W66+H65,H65)</f>
        <v>16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22</v>
      </c>
      <c r="C67" s="2">
        <f>IF('Tabela de Jogos'!C67&lt;&gt;"",Arthur!W67+C66,C66)</f>
        <v>33</v>
      </c>
      <c r="D67" s="2">
        <f>IF('Tabela de Jogos'!C67&lt;&gt;"",Dudu!W67+D66,D66)</f>
        <v>11</v>
      </c>
      <c r="E67" s="2">
        <f>IF('Tabela de Jogos'!C67&lt;&gt;"",Carol!W67+E66,E66)</f>
        <v>22</v>
      </c>
      <c r="F67" s="2">
        <f>IF('Tabela de Jogos'!C67&lt;&gt;"",Ana!W67+F66,F66)</f>
        <v>30</v>
      </c>
      <c r="G67" s="2">
        <f>IF('Tabela de Jogos'!C67&lt;&gt;"",Isa!W67+G66,G66)</f>
        <v>19</v>
      </c>
      <c r="H67" s="2">
        <f>IF('Tabela de Jogos'!C67&lt;&gt;"",Trops!W67+H66,H66)</f>
        <v>16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22</v>
      </c>
      <c r="C68" s="2">
        <f>IF('Tabela de Jogos'!C68&lt;&gt;"",Arthur!W68+C67,C67)</f>
        <v>33</v>
      </c>
      <c r="D68" s="2">
        <f>IF('Tabela de Jogos'!C68&lt;&gt;"",Dudu!W68+D67,D67)</f>
        <v>11</v>
      </c>
      <c r="E68" s="2">
        <f>IF('Tabela de Jogos'!C68&lt;&gt;"",Carol!W68+E67,E67)</f>
        <v>22</v>
      </c>
      <c r="F68" s="2">
        <f>IF('Tabela de Jogos'!C68&lt;&gt;"",Ana!W68+F67,F67)</f>
        <v>30</v>
      </c>
      <c r="G68" s="2">
        <f>IF('Tabela de Jogos'!C68&lt;&gt;"",Isa!W68+G67,G67)</f>
        <v>19</v>
      </c>
      <c r="H68" s="2">
        <f>IF('Tabela de Jogos'!C68&lt;&gt;"",Trops!W68+H67,H67)</f>
        <v>16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22</v>
      </c>
      <c r="C69" s="2">
        <f>IF('Tabela de Jogos'!C69&lt;&gt;"",Arthur!W69+C68,C68)</f>
        <v>33</v>
      </c>
      <c r="D69" s="2">
        <f>IF('Tabela de Jogos'!C69&lt;&gt;"",Dudu!W69+D68,D68)</f>
        <v>11</v>
      </c>
      <c r="E69" s="2">
        <f>IF('Tabela de Jogos'!C69&lt;&gt;"",Carol!W69+E68,E68)</f>
        <v>22</v>
      </c>
      <c r="F69" s="2">
        <f>IF('Tabela de Jogos'!C69&lt;&gt;"",Ana!W69+F68,F68)</f>
        <v>30</v>
      </c>
      <c r="G69" s="2">
        <f>IF('Tabela de Jogos'!C69&lt;&gt;"",Isa!W69+G68,G68)</f>
        <v>19</v>
      </c>
      <c r="H69" s="2">
        <f>IF('Tabela de Jogos'!C69&lt;&gt;"",Trops!W69+H68,H68)</f>
        <v>16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22</v>
      </c>
      <c r="C70" s="2">
        <f>IF('Tabela de Jogos'!C70&lt;&gt;"",Arthur!W70+C69,C69)</f>
        <v>33</v>
      </c>
      <c r="D70" s="2">
        <f>IF('Tabela de Jogos'!C70&lt;&gt;"",Dudu!W70+D69,D69)</f>
        <v>11</v>
      </c>
      <c r="E70" s="2">
        <f>IF('Tabela de Jogos'!C70&lt;&gt;"",Carol!W70+E69,E69)</f>
        <v>22</v>
      </c>
      <c r="F70" s="2">
        <f>IF('Tabela de Jogos'!C70&lt;&gt;"",Ana!W70+F69,F69)</f>
        <v>30</v>
      </c>
      <c r="G70" s="2">
        <f>IF('Tabela de Jogos'!C70&lt;&gt;"",Isa!W70+G69,G69)</f>
        <v>19</v>
      </c>
      <c r="H70" s="2">
        <f>IF('Tabela de Jogos'!C70&lt;&gt;"",Trops!W70+H69,H69)</f>
        <v>16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22</v>
      </c>
      <c r="C71" s="2">
        <f>IF('Tabela de Jogos'!C71&lt;&gt;"",Arthur!W71+C70,C70)</f>
        <v>33</v>
      </c>
      <c r="D71" s="2">
        <f>IF('Tabela de Jogos'!C71&lt;&gt;"",Dudu!W71+D70,D70)</f>
        <v>11</v>
      </c>
      <c r="E71" s="2">
        <f>IF('Tabela de Jogos'!C71&lt;&gt;"",Carol!W71+E70,E70)</f>
        <v>22</v>
      </c>
      <c r="F71" s="2">
        <f>IF('Tabela de Jogos'!C71&lt;&gt;"",Ana!W71+F70,F70)</f>
        <v>30</v>
      </c>
      <c r="G71" s="2">
        <f>IF('Tabela de Jogos'!C71&lt;&gt;"",Isa!W71+G70,G70)</f>
        <v>19</v>
      </c>
      <c r="H71" s="2">
        <f>IF('Tabela de Jogos'!C71&lt;&gt;"",Trops!W71+H70,H70)</f>
        <v>16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22</v>
      </c>
      <c r="C72" s="2">
        <f>IF('Tabela de Jogos'!C72&lt;&gt;"",Arthur!W72+C71,C71)</f>
        <v>33</v>
      </c>
      <c r="D72" s="2">
        <f>IF('Tabela de Jogos'!C72&lt;&gt;"",Dudu!W72+D71,D71)</f>
        <v>11</v>
      </c>
      <c r="E72" s="2">
        <f>IF('Tabela de Jogos'!C72&lt;&gt;"",Carol!W72+E71,E71)</f>
        <v>22</v>
      </c>
      <c r="F72" s="2">
        <f>IF('Tabela de Jogos'!C72&lt;&gt;"",Ana!W72+F71,F71)</f>
        <v>30</v>
      </c>
      <c r="G72" s="2">
        <f>IF('Tabela de Jogos'!C72&lt;&gt;"",Isa!W72+G71,G71)</f>
        <v>19</v>
      </c>
      <c r="H72" s="2">
        <f>IF('Tabela de Jogos'!C72&lt;&gt;"",Trops!W72+H71,H71)</f>
        <v>16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22</v>
      </c>
      <c r="C73" s="2">
        <f>IF('Tabela de Jogos'!C73&lt;&gt;"",Arthur!W73+C72,C72)</f>
        <v>33</v>
      </c>
      <c r="D73" s="2">
        <f>IF('Tabela de Jogos'!C73&lt;&gt;"",Dudu!W73+D72,D72)</f>
        <v>11</v>
      </c>
      <c r="E73" s="2">
        <f>IF('Tabela de Jogos'!C73&lt;&gt;"",Carol!W73+E72,E72)</f>
        <v>22</v>
      </c>
      <c r="F73" s="2">
        <f>IF('Tabela de Jogos'!C73&lt;&gt;"",Ana!W73+F72,F72)</f>
        <v>30</v>
      </c>
      <c r="G73" s="2">
        <f>IF('Tabela de Jogos'!C73&lt;&gt;"",Isa!W73+G72,G72)</f>
        <v>19</v>
      </c>
      <c r="H73" s="2">
        <f>IF('Tabela de Jogos'!C73&lt;&gt;"",Trops!W73+H72,H72)</f>
        <v>16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22</v>
      </c>
      <c r="C74" s="2">
        <f>IF('Tabela de Jogos'!C74&lt;&gt;"",Arthur!W74+C73,C73)</f>
        <v>33</v>
      </c>
      <c r="D74" s="2">
        <f>IF('Tabela de Jogos'!C74&lt;&gt;"",Dudu!W74+D73,D73)</f>
        <v>11</v>
      </c>
      <c r="E74" s="2">
        <f>IF('Tabela de Jogos'!C74&lt;&gt;"",Carol!W74+E73,E73)</f>
        <v>22</v>
      </c>
      <c r="F74" s="2">
        <f>IF('Tabela de Jogos'!C74&lt;&gt;"",Ana!W74+F73,F73)</f>
        <v>30</v>
      </c>
      <c r="G74" s="2">
        <f>IF('Tabela de Jogos'!C74&lt;&gt;"",Isa!W74+G73,G73)</f>
        <v>19</v>
      </c>
      <c r="H74" s="2">
        <f>IF('Tabela de Jogos'!C74&lt;&gt;"",Trops!W74+H73,H73)</f>
        <v>16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22</v>
      </c>
      <c r="C75" s="2">
        <f>IF('Tabela de Jogos'!C75&lt;&gt;"",Arthur!W75+C74,C74)</f>
        <v>33</v>
      </c>
      <c r="D75" s="2">
        <f>IF('Tabela de Jogos'!C75&lt;&gt;"",Dudu!W75+D74,D74)</f>
        <v>11</v>
      </c>
      <c r="E75" s="2">
        <f>IF('Tabela de Jogos'!C75&lt;&gt;"",Carol!W75+E74,E74)</f>
        <v>22</v>
      </c>
      <c r="F75" s="2">
        <f>IF('Tabela de Jogos'!C75&lt;&gt;"",Ana!W75+F74,F74)</f>
        <v>30</v>
      </c>
      <c r="G75" s="2">
        <f>IF('Tabela de Jogos'!C75&lt;&gt;"",Isa!W75+G74,G74)</f>
        <v>19</v>
      </c>
      <c r="H75" s="2">
        <f>IF('Tabela de Jogos'!C75&lt;&gt;"",Trops!W75+H74,H74)</f>
        <v>16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22</v>
      </c>
      <c r="C76" s="2">
        <f>IF('Tabela de Jogos'!C76&lt;&gt;"",Arthur!W76+C75,C75)</f>
        <v>33</v>
      </c>
      <c r="D76" s="2">
        <f>IF('Tabela de Jogos'!C76&lt;&gt;"",Dudu!W76+D75,D75)</f>
        <v>11</v>
      </c>
      <c r="E76" s="2">
        <f>IF('Tabela de Jogos'!C76&lt;&gt;"",Carol!W76+E75,E75)</f>
        <v>22</v>
      </c>
      <c r="F76" s="2">
        <f>IF('Tabela de Jogos'!C76&lt;&gt;"",Ana!W76+F75,F75)</f>
        <v>30</v>
      </c>
      <c r="G76" s="2">
        <f>IF('Tabela de Jogos'!C76&lt;&gt;"",Isa!W76+G75,G75)</f>
        <v>19</v>
      </c>
      <c r="H76" s="2">
        <f>IF('Tabela de Jogos'!C76&lt;&gt;"",Trops!W76+H75,H75)</f>
        <v>16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22</v>
      </c>
      <c r="C77" s="2">
        <f>IF('Tabela de Jogos'!C77&lt;&gt;"",Arthur!W77+C76,C76)</f>
        <v>33</v>
      </c>
      <c r="D77" s="2">
        <f>IF('Tabela de Jogos'!C77&lt;&gt;"",Dudu!W77+D76,D76)</f>
        <v>11</v>
      </c>
      <c r="E77" s="2">
        <f>IF('Tabela de Jogos'!C77&lt;&gt;"",Carol!W77+E76,E76)</f>
        <v>22</v>
      </c>
      <c r="F77" s="2">
        <f>IF('Tabela de Jogos'!C77&lt;&gt;"",Ana!W77+F76,F76)</f>
        <v>30</v>
      </c>
      <c r="G77" s="2">
        <f>IF('Tabela de Jogos'!C77&lt;&gt;"",Isa!W77+G76,G76)</f>
        <v>19</v>
      </c>
      <c r="H77" s="2">
        <f>IF('Tabela de Jogos'!C77&lt;&gt;"",Trops!W77+H76,H76)</f>
        <v>16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22</v>
      </c>
      <c r="C78" s="2">
        <f>IF('Tabela de Jogos'!C78&lt;&gt;"",Arthur!W78+C77,C77)</f>
        <v>33</v>
      </c>
      <c r="D78" s="2">
        <f>IF('Tabela de Jogos'!C78&lt;&gt;"",Dudu!W78+D77,D77)</f>
        <v>11</v>
      </c>
      <c r="E78" s="2">
        <f>IF('Tabela de Jogos'!C78&lt;&gt;"",Carol!W78+E77,E77)</f>
        <v>22</v>
      </c>
      <c r="F78" s="2">
        <f>IF('Tabela de Jogos'!C78&lt;&gt;"",Ana!W78+F77,F77)</f>
        <v>30</v>
      </c>
      <c r="G78" s="2">
        <f>IF('Tabela de Jogos'!C78&lt;&gt;"",Isa!W78+G77,G77)</f>
        <v>19</v>
      </c>
      <c r="H78" s="2">
        <f>IF('Tabela de Jogos'!C78&lt;&gt;"",Trops!W78+H77,H77)</f>
        <v>16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22</v>
      </c>
      <c r="C79" s="2">
        <f>IF('Tabela de Jogos'!C79&lt;&gt;"",Arthur!W79+C78,C78)</f>
        <v>33</v>
      </c>
      <c r="D79" s="2">
        <f>IF('Tabela de Jogos'!C79&lt;&gt;"",Dudu!W79+D78,D78)</f>
        <v>11</v>
      </c>
      <c r="E79" s="2">
        <f>IF('Tabela de Jogos'!C79&lt;&gt;"",Carol!W79+E78,E78)</f>
        <v>22</v>
      </c>
      <c r="F79" s="2">
        <f>IF('Tabela de Jogos'!C79&lt;&gt;"",Ana!W79+F78,F78)</f>
        <v>30</v>
      </c>
      <c r="G79" s="2">
        <f>IF('Tabela de Jogos'!C79&lt;&gt;"",Isa!W79+G78,G78)</f>
        <v>19</v>
      </c>
      <c r="H79" s="2">
        <f>IF('Tabela de Jogos'!C79&lt;&gt;"",Trops!W79+H78,H78)</f>
        <v>16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22</v>
      </c>
      <c r="C80" s="2">
        <f>IF('Tabela de Jogos'!C80&lt;&gt;"",Arthur!W80+C79,C79)</f>
        <v>33</v>
      </c>
      <c r="D80" s="2">
        <f>IF('Tabela de Jogos'!C80&lt;&gt;"",Dudu!W80+D79,D79)</f>
        <v>11</v>
      </c>
      <c r="E80" s="2">
        <f>IF('Tabela de Jogos'!C80&lt;&gt;"",Carol!W80+E79,E79)</f>
        <v>22</v>
      </c>
      <c r="F80" s="2">
        <f>IF('Tabela de Jogos'!C80&lt;&gt;"",Ana!W80+F79,F79)</f>
        <v>30</v>
      </c>
      <c r="G80" s="2">
        <f>IF('Tabela de Jogos'!C80&lt;&gt;"",Isa!W80+G79,G79)</f>
        <v>19</v>
      </c>
      <c r="H80" s="2">
        <f>IF('Tabela de Jogos'!C80&lt;&gt;"",Trops!W80+H79,H79)</f>
        <v>16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22</v>
      </c>
      <c r="C81" s="2">
        <f>IF('Tabela de Jogos'!C81&lt;&gt;"",Arthur!W81+C80,C80)</f>
        <v>33</v>
      </c>
      <c r="D81" s="2">
        <f>IF('Tabela de Jogos'!C81&lt;&gt;"",Dudu!W81+D80,D80)</f>
        <v>11</v>
      </c>
      <c r="E81" s="2">
        <f>IF('Tabela de Jogos'!C81&lt;&gt;"",Carol!W81+E80,E80)</f>
        <v>22</v>
      </c>
      <c r="F81" s="2">
        <f>IF('Tabela de Jogos'!C81&lt;&gt;"",Ana!W81+F80,F80)</f>
        <v>30</v>
      </c>
      <c r="G81" s="2">
        <f>IF('Tabela de Jogos'!C81&lt;&gt;"",Isa!W81+G80,G80)</f>
        <v>19</v>
      </c>
      <c r="H81" s="2">
        <f>IF('Tabela de Jogos'!C81&lt;&gt;"",Trops!W81+H80,H80)</f>
        <v>16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22</v>
      </c>
      <c r="C82" s="2">
        <f>IF('Tabela de Jogos'!C82&lt;&gt;"",Arthur!W82+C81,C81)</f>
        <v>33</v>
      </c>
      <c r="D82" s="2">
        <f>IF('Tabela de Jogos'!C82&lt;&gt;"",Dudu!W82+D81,D81)</f>
        <v>11</v>
      </c>
      <c r="E82" s="2">
        <f>IF('Tabela de Jogos'!C82&lt;&gt;"",Carol!W82+E81,E81)</f>
        <v>22</v>
      </c>
      <c r="F82" s="2">
        <f>IF('Tabela de Jogos'!C82&lt;&gt;"",Ana!W82+F81,F81)</f>
        <v>30</v>
      </c>
      <c r="G82" s="2">
        <f>IF('Tabela de Jogos'!C82&lt;&gt;"",Isa!W82+G81,G81)</f>
        <v>19</v>
      </c>
      <c r="H82" s="2">
        <f>IF('Tabela de Jogos'!C82&lt;&gt;"",Trops!W82+H81,H81)</f>
        <v>16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22</v>
      </c>
      <c r="C83" s="2">
        <f>IF('Tabela de Jogos'!C83&lt;&gt;"",Arthur!W83+C82,C82)</f>
        <v>33</v>
      </c>
      <c r="D83" s="2">
        <f>IF('Tabela de Jogos'!C83&lt;&gt;"",Dudu!W83+D82,D82)</f>
        <v>11</v>
      </c>
      <c r="E83" s="2">
        <f>IF('Tabela de Jogos'!C83&lt;&gt;"",Carol!W83+E82,E82)</f>
        <v>22</v>
      </c>
      <c r="F83" s="2">
        <f>IF('Tabela de Jogos'!C83&lt;&gt;"",Ana!W83+F82,F82)</f>
        <v>30</v>
      </c>
      <c r="G83" s="2">
        <f>IF('Tabela de Jogos'!C83&lt;&gt;"",Isa!W83+G82,G82)</f>
        <v>19</v>
      </c>
      <c r="H83" s="2">
        <f>IF('Tabela de Jogos'!C83&lt;&gt;"",Trops!W83+H82,H82)</f>
        <v>16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22</v>
      </c>
      <c r="C84" s="2">
        <f>IF('Tabela de Jogos'!C84&lt;&gt;"",Arthur!W84+C83,C83)</f>
        <v>33</v>
      </c>
      <c r="D84" s="2">
        <f>IF('Tabela de Jogos'!C84&lt;&gt;"",Dudu!W84+D83,D83)</f>
        <v>11</v>
      </c>
      <c r="E84" s="2">
        <f>IF('Tabela de Jogos'!C84&lt;&gt;"",Carol!W84+E83,E83)</f>
        <v>22</v>
      </c>
      <c r="F84" s="2">
        <f>IF('Tabela de Jogos'!C84&lt;&gt;"",Ana!W84+F83,F83)</f>
        <v>30</v>
      </c>
      <c r="G84" s="2">
        <f>IF('Tabela de Jogos'!C84&lt;&gt;"",Isa!W84+G83,G83)</f>
        <v>19</v>
      </c>
      <c r="H84" s="2">
        <f>IF('Tabela de Jogos'!C84&lt;&gt;"",Trops!W84+H83,H83)</f>
        <v>16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22</v>
      </c>
      <c r="C85" s="2">
        <f>IF('Tabela de Jogos'!C85&lt;&gt;"",Arthur!W85+C84,C84)</f>
        <v>33</v>
      </c>
      <c r="D85" s="2">
        <f>IF('Tabela de Jogos'!C85&lt;&gt;"",Dudu!W85+D84,D84)</f>
        <v>11</v>
      </c>
      <c r="E85" s="2">
        <f>IF('Tabela de Jogos'!C85&lt;&gt;"",Carol!W85+E84,E84)</f>
        <v>22</v>
      </c>
      <c r="F85" s="2">
        <f>IF('Tabela de Jogos'!C85&lt;&gt;"",Ana!W85+F84,F84)</f>
        <v>30</v>
      </c>
      <c r="G85" s="2">
        <f>IF('Tabela de Jogos'!C85&lt;&gt;"",Isa!W85+G84,G84)</f>
        <v>19</v>
      </c>
      <c r="H85" s="2">
        <f>IF('Tabela de Jogos'!C85&lt;&gt;"",Trops!W85+H84,H84)</f>
        <v>16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22</v>
      </c>
      <c r="C86" s="2">
        <f>IF('Tabela de Jogos'!C86&lt;&gt;"",Arthur!W86+C85,C85)</f>
        <v>33</v>
      </c>
      <c r="D86" s="2">
        <f>IF('Tabela de Jogos'!C86&lt;&gt;"",Dudu!W86+D85,D85)</f>
        <v>11</v>
      </c>
      <c r="E86" s="2">
        <f>IF('Tabela de Jogos'!C86&lt;&gt;"",Carol!W86+E85,E85)</f>
        <v>22</v>
      </c>
      <c r="F86" s="2">
        <f>IF('Tabela de Jogos'!C86&lt;&gt;"",Ana!W86+F85,F85)</f>
        <v>30</v>
      </c>
      <c r="G86" s="2">
        <f>IF('Tabela de Jogos'!C86&lt;&gt;"",Isa!W86+G85,G85)</f>
        <v>19</v>
      </c>
      <c r="H86" s="2">
        <f>IF('Tabela de Jogos'!C86&lt;&gt;"",Trops!W86+H85,H85)</f>
        <v>16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22</v>
      </c>
      <c r="C87" s="2">
        <f>IF('Tabela de Jogos'!C87&lt;&gt;"",Arthur!W87+C86,C86)</f>
        <v>33</v>
      </c>
      <c r="D87" s="2">
        <f>IF('Tabela de Jogos'!C87&lt;&gt;"",Dudu!W87+D86,D86)</f>
        <v>11</v>
      </c>
      <c r="E87" s="2">
        <f>IF('Tabela de Jogos'!C87&lt;&gt;"",Carol!W87+E86,E86)</f>
        <v>22</v>
      </c>
      <c r="F87" s="2">
        <f>IF('Tabela de Jogos'!C87&lt;&gt;"",Ana!W87+F86,F86)</f>
        <v>30</v>
      </c>
      <c r="G87" s="2">
        <f>IF('Tabela de Jogos'!C87&lt;&gt;"",Isa!W87+G86,G86)</f>
        <v>19</v>
      </c>
      <c r="H87" s="2">
        <f>IF('Tabela de Jogos'!C87&lt;&gt;"",Trops!W87+H86,H86)</f>
        <v>16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22</v>
      </c>
      <c r="C88" s="2">
        <f>IF('Tabela de Jogos'!C88&lt;&gt;"",Arthur!W88+C87,C87)</f>
        <v>33</v>
      </c>
      <c r="D88" s="2">
        <f>IF('Tabela de Jogos'!C88&lt;&gt;"",Dudu!W88+D87,D87)</f>
        <v>11</v>
      </c>
      <c r="E88" s="2">
        <f>IF('Tabela de Jogos'!C88&lt;&gt;"",Carol!W88+E87,E87)</f>
        <v>22</v>
      </c>
      <c r="F88" s="2">
        <f>IF('Tabela de Jogos'!C88&lt;&gt;"",Ana!W88+F87,F87)</f>
        <v>30</v>
      </c>
      <c r="G88" s="2">
        <f>IF('Tabela de Jogos'!C88&lt;&gt;"",Isa!W88+G87,G87)</f>
        <v>19</v>
      </c>
      <c r="H88" s="2">
        <f>IF('Tabela de Jogos'!C88&lt;&gt;"",Trops!W88+H87,H87)</f>
        <v>16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22</v>
      </c>
      <c r="C89" s="2">
        <f>IF('Tabela de Jogos'!C89&lt;&gt;"",Arthur!W89+C88,C88)</f>
        <v>33</v>
      </c>
      <c r="D89" s="2">
        <f>IF('Tabela de Jogos'!C89&lt;&gt;"",Dudu!W89+D88,D88)</f>
        <v>11</v>
      </c>
      <c r="E89" s="2">
        <f>IF('Tabela de Jogos'!C89&lt;&gt;"",Carol!W89+E88,E88)</f>
        <v>22</v>
      </c>
      <c r="F89" s="2">
        <f>IF('Tabela de Jogos'!C89&lt;&gt;"",Ana!W89+F88,F88)</f>
        <v>30</v>
      </c>
      <c r="G89" s="2">
        <f>IF('Tabela de Jogos'!C89&lt;&gt;"",Isa!W89+G88,G88)</f>
        <v>19</v>
      </c>
      <c r="H89" s="2">
        <f>IF('Tabela de Jogos'!C89&lt;&gt;"",Trops!W89+H88,H88)</f>
        <v>16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22</v>
      </c>
      <c r="C90" s="2">
        <f>IF('Tabela de Jogos'!C90&lt;&gt;"",Arthur!W90+C89,C89)</f>
        <v>33</v>
      </c>
      <c r="D90" s="2">
        <f>IF('Tabela de Jogos'!C90&lt;&gt;"",Dudu!W90+D89,D89)</f>
        <v>11</v>
      </c>
      <c r="E90" s="2">
        <f>IF('Tabela de Jogos'!C90&lt;&gt;"",Carol!W90+E89,E89)</f>
        <v>22</v>
      </c>
      <c r="F90" s="2">
        <f>IF('Tabela de Jogos'!C90&lt;&gt;"",Ana!W90+F89,F89)</f>
        <v>30</v>
      </c>
      <c r="G90" s="2">
        <f>IF('Tabela de Jogos'!C90&lt;&gt;"",Isa!W90+G89,G89)</f>
        <v>19</v>
      </c>
      <c r="H90" s="2">
        <f>IF('Tabela de Jogos'!C90&lt;&gt;"",Trops!W90+H89,H89)</f>
        <v>16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22</v>
      </c>
      <c r="C91" s="2">
        <f>IF('Tabela de Jogos'!C91&lt;&gt;"",Arthur!W91+C90,C90)</f>
        <v>33</v>
      </c>
      <c r="D91" s="2">
        <f>IF('Tabela de Jogos'!C91&lt;&gt;"",Dudu!W91+D90,D90)</f>
        <v>11</v>
      </c>
      <c r="E91" s="2">
        <f>IF('Tabela de Jogos'!C91&lt;&gt;"",Carol!W91+E90,E90)</f>
        <v>22</v>
      </c>
      <c r="F91" s="2">
        <f>IF('Tabela de Jogos'!C91&lt;&gt;"",Ana!W91+F90,F90)</f>
        <v>30</v>
      </c>
      <c r="G91" s="2">
        <f>IF('Tabela de Jogos'!C91&lt;&gt;"",Isa!W91+G90,G90)</f>
        <v>19</v>
      </c>
      <c r="H91" s="2">
        <f>IF('Tabela de Jogos'!C91&lt;&gt;"",Trops!W91+H90,H90)</f>
        <v>16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22</v>
      </c>
      <c r="C92" s="2">
        <f>IF('Tabela de Jogos'!C92&lt;&gt;"",Arthur!W92+C91,C91)</f>
        <v>33</v>
      </c>
      <c r="D92" s="2">
        <f>IF('Tabela de Jogos'!C92&lt;&gt;"",Dudu!W92+D91,D91)</f>
        <v>11</v>
      </c>
      <c r="E92" s="2">
        <f>IF('Tabela de Jogos'!C92&lt;&gt;"",Carol!W92+E91,E91)</f>
        <v>22</v>
      </c>
      <c r="F92" s="2">
        <f>IF('Tabela de Jogos'!C92&lt;&gt;"",Ana!W92+F91,F91)</f>
        <v>30</v>
      </c>
      <c r="G92" s="2">
        <f>IF('Tabela de Jogos'!C92&lt;&gt;"",Isa!W92+G91,G91)</f>
        <v>19</v>
      </c>
      <c r="H92" s="2">
        <f>IF('Tabela de Jogos'!C92&lt;&gt;"",Trops!W92+H91,H91)</f>
        <v>16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22</v>
      </c>
      <c r="C93" s="2">
        <f>IF('Tabela de Jogos'!C93&lt;&gt;"",Arthur!W93+C92,C92)</f>
        <v>33</v>
      </c>
      <c r="D93" s="2">
        <f>IF('Tabela de Jogos'!C93&lt;&gt;"",Dudu!W93+D92,D92)</f>
        <v>11</v>
      </c>
      <c r="E93" s="2">
        <f>IF('Tabela de Jogos'!C93&lt;&gt;"",Carol!W93+E92,E92)</f>
        <v>22</v>
      </c>
      <c r="F93" s="2">
        <f>IF('Tabela de Jogos'!C93&lt;&gt;"",Ana!W93+F92,F92)</f>
        <v>30</v>
      </c>
      <c r="G93" s="2">
        <f>IF('Tabela de Jogos'!C93&lt;&gt;"",Isa!W93+G92,G92)</f>
        <v>19</v>
      </c>
      <c r="H93" s="2">
        <f>IF('Tabela de Jogos'!C93&lt;&gt;"",Trops!W93+H92,H92)</f>
        <v>16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22</v>
      </c>
      <c r="C94" s="2">
        <f>IF('Tabela de Jogos'!C94&lt;&gt;"",Arthur!W94+C93,C93)</f>
        <v>33</v>
      </c>
      <c r="D94" s="2">
        <f>IF('Tabela de Jogos'!C94&lt;&gt;"",Dudu!W94+D93,D93)</f>
        <v>11</v>
      </c>
      <c r="E94" s="2">
        <f>IF('Tabela de Jogos'!C94&lt;&gt;"",Carol!W94+E93,E93)</f>
        <v>22</v>
      </c>
      <c r="F94" s="2">
        <f>IF('Tabela de Jogos'!C94&lt;&gt;"",Ana!W94+F93,F93)</f>
        <v>30</v>
      </c>
      <c r="G94" s="2">
        <f>IF('Tabela de Jogos'!C94&lt;&gt;"",Isa!W94+G93,G93)</f>
        <v>19</v>
      </c>
      <c r="H94" s="2">
        <f>IF('Tabela de Jogos'!C94&lt;&gt;"",Trops!W94+H93,H93)</f>
        <v>16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22</v>
      </c>
      <c r="C95" s="2">
        <f>IF('Tabela de Jogos'!C95&lt;&gt;"",Arthur!W95+C94,C94)</f>
        <v>33</v>
      </c>
      <c r="D95" s="2">
        <f>IF('Tabela de Jogos'!C95&lt;&gt;"",Dudu!W95+D94,D94)</f>
        <v>11</v>
      </c>
      <c r="E95" s="2">
        <f>IF('Tabela de Jogos'!C95&lt;&gt;"",Carol!W95+E94,E94)</f>
        <v>22</v>
      </c>
      <c r="F95" s="2">
        <f>IF('Tabela de Jogos'!C95&lt;&gt;"",Ana!W95+F94,F94)</f>
        <v>30</v>
      </c>
      <c r="G95" s="2">
        <f>IF('Tabela de Jogos'!C95&lt;&gt;"",Isa!W95+G94,G94)</f>
        <v>19</v>
      </c>
      <c r="H95" s="2">
        <f>IF('Tabela de Jogos'!C95&lt;&gt;"",Trops!W95+H94,H94)</f>
        <v>16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22</v>
      </c>
      <c r="C96" s="2">
        <f>IF('Tabela de Jogos'!C96&lt;&gt;"",Arthur!W96+C95,C95)</f>
        <v>33</v>
      </c>
      <c r="D96" s="2">
        <f>IF('Tabela de Jogos'!C96&lt;&gt;"",Dudu!W96+D95,D95)</f>
        <v>11</v>
      </c>
      <c r="E96" s="2">
        <f>IF('Tabela de Jogos'!C96&lt;&gt;"",Carol!W96+E95,E95)</f>
        <v>22</v>
      </c>
      <c r="F96" s="2">
        <f>IF('Tabela de Jogos'!C96&lt;&gt;"",Ana!W96+F95,F95)</f>
        <v>30</v>
      </c>
      <c r="G96" s="2">
        <f>IF('Tabela de Jogos'!C96&lt;&gt;"",Isa!W96+G95,G95)</f>
        <v>19</v>
      </c>
      <c r="H96" s="2">
        <f>IF('Tabela de Jogos'!C96&lt;&gt;"",Trops!W96+H95,H95)</f>
        <v>16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22</v>
      </c>
      <c r="C97" s="2">
        <f>IF('Tabela de Jogos'!C97&lt;&gt;"",Arthur!W97+C96,C96)</f>
        <v>33</v>
      </c>
      <c r="D97" s="2">
        <f>IF('Tabela de Jogos'!C97&lt;&gt;"",Dudu!W97+D96,D96)</f>
        <v>11</v>
      </c>
      <c r="E97" s="2">
        <f>IF('Tabela de Jogos'!C97&lt;&gt;"",Carol!W97+E96,E96)</f>
        <v>22</v>
      </c>
      <c r="F97" s="2">
        <f>IF('Tabela de Jogos'!C97&lt;&gt;"",Ana!W97+F96,F96)</f>
        <v>30</v>
      </c>
      <c r="G97" s="2">
        <f>IF('Tabela de Jogos'!C97&lt;&gt;"",Isa!W97+G96,G96)</f>
        <v>19</v>
      </c>
      <c r="H97" s="2">
        <f>IF('Tabela de Jogos'!C97&lt;&gt;"",Trops!W97+H96,H96)</f>
        <v>16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22</v>
      </c>
      <c r="C98" s="2">
        <f>IF('Tabela de Jogos'!C98&lt;&gt;"",Arthur!W98+C97,C97)</f>
        <v>33</v>
      </c>
      <c r="D98" s="2">
        <f>IF('Tabela de Jogos'!C98&lt;&gt;"",Dudu!W98+D97,D97)</f>
        <v>11</v>
      </c>
      <c r="E98" s="2">
        <f>IF('Tabela de Jogos'!C98&lt;&gt;"",Carol!W98+E97,E97)</f>
        <v>22</v>
      </c>
      <c r="F98" s="2">
        <f>IF('Tabela de Jogos'!C98&lt;&gt;"",Ana!W98+F97,F97)</f>
        <v>30</v>
      </c>
      <c r="G98" s="2">
        <f>IF('Tabela de Jogos'!C98&lt;&gt;"",Isa!W98+G97,G97)</f>
        <v>19</v>
      </c>
      <c r="H98" s="2">
        <f>IF('Tabela de Jogos'!C98&lt;&gt;"",Trops!W98+H97,H97)</f>
        <v>16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22</v>
      </c>
      <c r="C99" s="2">
        <f>IF('Tabela de Jogos'!C99&lt;&gt;"",Arthur!W99+C98,C98)</f>
        <v>33</v>
      </c>
      <c r="D99" s="2">
        <f>IF('Tabela de Jogos'!C99&lt;&gt;"",Dudu!W99+D98,D98)</f>
        <v>11</v>
      </c>
      <c r="E99" s="2">
        <f>IF('Tabela de Jogos'!C99&lt;&gt;"",Carol!W99+E98,E98)</f>
        <v>22</v>
      </c>
      <c r="F99" s="2">
        <f>IF('Tabela de Jogos'!C99&lt;&gt;"",Ana!W99+F98,F98)</f>
        <v>30</v>
      </c>
      <c r="G99" s="2">
        <f>IF('Tabela de Jogos'!C99&lt;&gt;"",Isa!W99+G98,G98)</f>
        <v>19</v>
      </c>
      <c r="H99" s="2">
        <f>IF('Tabela de Jogos'!C99&lt;&gt;"",Trops!W99+H98,H98)</f>
        <v>16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22</v>
      </c>
      <c r="C100" s="2">
        <f>IF('Tabela de Jogos'!C100&lt;&gt;"",Arthur!W100+C99,C99)</f>
        <v>33</v>
      </c>
      <c r="D100" s="2">
        <f>IF('Tabela de Jogos'!C100&lt;&gt;"",Dudu!W100+D99,D99)</f>
        <v>11</v>
      </c>
      <c r="E100" s="2">
        <f>IF('Tabela de Jogos'!C100&lt;&gt;"",Carol!W100+E99,E99)</f>
        <v>22</v>
      </c>
      <c r="F100" s="2">
        <f>IF('Tabela de Jogos'!C100&lt;&gt;"",Ana!W100+F99,F99)</f>
        <v>30</v>
      </c>
      <c r="G100" s="2">
        <f>IF('Tabela de Jogos'!C100&lt;&gt;"",Isa!W100+G99,G99)</f>
        <v>19</v>
      </c>
      <c r="H100" s="2">
        <f>IF('Tabela de Jogos'!C100&lt;&gt;"",Trops!W100+H99,H99)</f>
        <v>16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22</v>
      </c>
      <c r="C101" s="2">
        <f>IF('Tabela de Jogos'!C101&lt;&gt;"",Arthur!W101+C100,C100)</f>
        <v>33</v>
      </c>
      <c r="D101" s="2">
        <f>IF('Tabela de Jogos'!C101&lt;&gt;"",Dudu!W101+D100,D100)</f>
        <v>11</v>
      </c>
      <c r="E101" s="2">
        <f>IF('Tabela de Jogos'!C101&lt;&gt;"",Carol!W101+E100,E100)</f>
        <v>22</v>
      </c>
      <c r="F101" s="2">
        <f>IF('Tabela de Jogos'!C101&lt;&gt;"",Ana!W101+F100,F100)</f>
        <v>30</v>
      </c>
      <c r="G101" s="2">
        <f>IF('Tabela de Jogos'!C101&lt;&gt;"",Isa!W101+G100,G100)</f>
        <v>19</v>
      </c>
      <c r="H101" s="2">
        <f>IF('Tabela de Jogos'!C101&lt;&gt;"",Trops!W101+H100,H100)</f>
        <v>16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22</v>
      </c>
      <c r="C102" s="2">
        <f>IF('Tabela de Jogos'!C102&lt;&gt;"",Arthur!W102+C101,C101)</f>
        <v>33</v>
      </c>
      <c r="D102" s="2">
        <f>IF('Tabela de Jogos'!C102&lt;&gt;"",Dudu!W102+D101,D101)</f>
        <v>11</v>
      </c>
      <c r="E102" s="2">
        <f>IF('Tabela de Jogos'!C102&lt;&gt;"",Carol!W102+E101,E101)</f>
        <v>22</v>
      </c>
      <c r="F102" s="2">
        <f>IF('Tabela de Jogos'!C102&lt;&gt;"",Ana!W102+F101,F101)</f>
        <v>30</v>
      </c>
      <c r="G102" s="2">
        <f>IF('Tabela de Jogos'!C102&lt;&gt;"",Isa!W102+G101,G101)</f>
        <v>19</v>
      </c>
      <c r="H102" s="2">
        <f>IF('Tabela de Jogos'!C102&lt;&gt;"",Trops!W102+H101,H101)</f>
        <v>16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22</v>
      </c>
      <c r="C103" s="2">
        <f>IF('Tabela de Jogos'!C103&lt;&gt;"",Arthur!W103+C102,C102)</f>
        <v>33</v>
      </c>
      <c r="D103" s="2">
        <f>IF('Tabela de Jogos'!C103&lt;&gt;"",Dudu!W103+D102,D102)</f>
        <v>11</v>
      </c>
      <c r="E103" s="2">
        <f>IF('Tabela de Jogos'!C103&lt;&gt;"",Carol!W103+E102,E102)</f>
        <v>22</v>
      </c>
      <c r="F103" s="2">
        <f>IF('Tabela de Jogos'!C103&lt;&gt;"",Ana!W103+F102,F102)</f>
        <v>30</v>
      </c>
      <c r="G103" s="2">
        <f>IF('Tabela de Jogos'!C103&lt;&gt;"",Isa!W103+G102,G102)</f>
        <v>19</v>
      </c>
      <c r="H103" s="2">
        <f>IF('Tabela de Jogos'!C103&lt;&gt;"",Trops!W103+H102,H102)</f>
        <v>16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22</v>
      </c>
      <c r="C104" s="2">
        <f>IF('Tabela de Jogos'!C104&lt;&gt;"",Arthur!W104+C103,C103)</f>
        <v>33</v>
      </c>
      <c r="D104" s="2">
        <f>IF('Tabela de Jogos'!C104&lt;&gt;"",Dudu!W104+D103,D103)</f>
        <v>11</v>
      </c>
      <c r="E104" s="2">
        <f>IF('Tabela de Jogos'!C104&lt;&gt;"",Carol!W104+E103,E103)</f>
        <v>22</v>
      </c>
      <c r="F104" s="2">
        <f>IF('Tabela de Jogos'!C104&lt;&gt;"",Ana!W104+F103,F103)</f>
        <v>30</v>
      </c>
      <c r="G104" s="2">
        <f>IF('Tabela de Jogos'!C104&lt;&gt;"",Isa!W104+G103,G103)</f>
        <v>19</v>
      </c>
      <c r="H104" s="2">
        <f>IF('Tabela de Jogos'!C104&lt;&gt;"",Trops!W104+H103,H103)</f>
        <v>16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22</v>
      </c>
      <c r="C105" s="2">
        <f>IF('Tabela de Jogos'!C105&lt;&gt;"",Arthur!W105+C104,C104)</f>
        <v>33</v>
      </c>
      <c r="D105" s="2">
        <f>IF('Tabela de Jogos'!C105&lt;&gt;"",Dudu!W105+D104,D104)</f>
        <v>11</v>
      </c>
      <c r="E105" s="2">
        <f>IF('Tabela de Jogos'!C105&lt;&gt;"",Carol!W105+E104,E104)</f>
        <v>22</v>
      </c>
      <c r="F105" s="2">
        <f>IF('Tabela de Jogos'!C105&lt;&gt;"",Ana!W105+F104,F104)</f>
        <v>30</v>
      </c>
      <c r="G105" s="2">
        <f>IF('Tabela de Jogos'!C105&lt;&gt;"",Isa!W105+G104,G104)</f>
        <v>19</v>
      </c>
      <c r="H105" s="2">
        <f>IF('Tabela de Jogos'!C105&lt;&gt;"",Trops!W105+H104,H104)</f>
        <v>16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22</v>
      </c>
      <c r="C106" s="2">
        <f>IF('Tabela de Jogos'!C106&lt;&gt;"",Arthur!W106+C105,C105)</f>
        <v>33</v>
      </c>
      <c r="D106" s="2">
        <f>IF('Tabela de Jogos'!C106&lt;&gt;"",Dudu!W106+D105,D105)</f>
        <v>11</v>
      </c>
      <c r="E106" s="2">
        <f>IF('Tabela de Jogos'!C106&lt;&gt;"",Carol!W106+E105,E105)</f>
        <v>22</v>
      </c>
      <c r="F106" s="2">
        <f>IF('Tabela de Jogos'!C106&lt;&gt;"",Ana!W106+F105,F105)</f>
        <v>30</v>
      </c>
      <c r="G106" s="2">
        <f>IF('Tabela de Jogos'!C106&lt;&gt;"",Isa!W106+G105,G105)</f>
        <v>19</v>
      </c>
      <c r="H106" s="2">
        <f>IF('Tabela de Jogos'!C106&lt;&gt;"",Trops!W106+H105,H105)</f>
        <v>16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2026-06-17T15:10:10Z</dcterms:modified>
  <cp:category/>
  <cp:contentStatus/>
</cp:coreProperties>
</file>